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13.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16.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never" codeName="ThisWorkbook"/>
  <mc:AlternateContent xmlns:mc="http://schemas.openxmlformats.org/markup-compatibility/2006">
    <mc:Choice Requires="x15">
      <x15ac:absPath xmlns:x15ac="http://schemas.microsoft.com/office/spreadsheetml/2010/11/ac" url="https://d.docs.live.net/fa2fd4695a624543/Documents/"/>
    </mc:Choice>
  </mc:AlternateContent>
  <xr:revisionPtr revIDLastSave="63" documentId="8_{BECB7F40-236A-44AC-8F00-A41E1CA535F2}" xr6:coauthVersionLast="47" xr6:coauthVersionMax="47" xr10:uidLastSave="{7021EDB8-0C43-4C1A-8C89-EF6BFE680A37}"/>
  <bookViews>
    <workbookView xWindow="-108" yWindow="-108" windowWidth="23256" windowHeight="12456" tabRatio="676" firstSheet="7" activeTab="15" xr2:uid="{00000000-000D-0000-FFFF-FFFF00000000}"/>
  </bookViews>
  <sheets>
    <sheet name="Coverpage" sheetId="29" r:id="rId1"/>
    <sheet name="Index" sheetId="27" r:id="rId2"/>
    <sheet name="One Pager" sheetId="26" r:id="rId3"/>
    <sheet name=" Financials&gt;" sheetId="7" r:id="rId4"/>
    <sheet name="Historical FS" sheetId="8" r:id="rId5"/>
    <sheet name="Ratio Analysis" sheetId="12" r:id="rId6"/>
    <sheet name="Common size " sheetId="11" r:id="rId7"/>
    <sheet name="Forcasting" sheetId="13" r:id="rId8"/>
    <sheet name="Rm" sheetId="18" r:id="rId9"/>
    <sheet name="WACC" sheetId="14" r:id="rId10"/>
    <sheet name="Intrinsic value" sheetId="16" r:id="rId11"/>
    <sheet name="DCF" sheetId="19" r:id="rId12"/>
    <sheet name="Comps_Val." sheetId="20" r:id="rId13"/>
    <sheet name="VAR" sheetId="31" r:id="rId14"/>
    <sheet name="Football Field" sheetId="24" r:id="rId15"/>
    <sheet name="Dupont" sheetId="22" r:id="rId16"/>
    <sheet name="Altman's Z score" sheetId="30" r:id="rId17"/>
    <sheet name="Data&gt;" sheetId="9" r:id="rId18"/>
    <sheet name="Data Sheet" sheetId="6" r:id="rId19"/>
    <sheet name="P&amp;L" sheetId="34" r:id="rId20"/>
    <sheet name="Raw CF" sheetId="10" r:id="rId21"/>
    <sheet name="Raw BS" sheetId="17" r:id="rId22"/>
    <sheet name="Raw Comp_val." sheetId="25" r:id="rId23"/>
    <sheet name="share Price" sheetId="32" r:id="rId24"/>
  </sheets>
  <externalReferences>
    <externalReference r:id="rId25"/>
  </externalReferences>
  <definedNames>
    <definedName name="_xlnm._FilterDatabase" localSheetId="23" hidden="1">'share Price'!$B$2:$E$1241</definedName>
    <definedName name="_xlnm._FilterDatabase" localSheetId="13" hidden="1">VAR!$B$12:$E$47</definedName>
    <definedName name="_xlchart.v1.0" hidden="1">VAR!$H$13:$H$5012</definedName>
    <definedName name="_xlnm.Print_Area" localSheetId="16">'Altman''s Z score'!$A$1:$I$101</definedName>
    <definedName name="_xlnm.Print_Area" localSheetId="6">'Common size '!$A$1:$L$47</definedName>
    <definedName name="_xlnm.Print_Area" localSheetId="12">'Comps_Val.'!$A$1:$P$44</definedName>
    <definedName name="_xlnm.Print_Area" localSheetId="15">Dupont!$A$1:$I$105</definedName>
    <definedName name="_xlnm.Print_Area" localSheetId="14">'Football Field'!$A$1:$P$35</definedName>
    <definedName name="_xlnm.Print_Area" localSheetId="4">'Historical FS'!$A$1:$M$122</definedName>
    <definedName name="_xlnm.Print_Area" localSheetId="1">Index!$A$1:$F$22</definedName>
    <definedName name="_xlnm.Print_Area" localSheetId="10">'Intrinsic value'!$A$1:$G$74</definedName>
    <definedName name="_xlnm.Print_Area" localSheetId="2">'One Pager'!$A$1:$O$63</definedName>
    <definedName name="_xlnm.Print_Area" localSheetId="5">'Ratio Analysis'!$A$1:$O$50</definedName>
    <definedName name="_xlnm.Print_Area" localSheetId="8">Rm!$A$1:$I$42</definedName>
    <definedName name="_xlnm.Print_Area" localSheetId="23">'share Price'!$A$1:$Q$1241</definedName>
    <definedName name="_xlnm.Print_Area" localSheetId="13">VAR!$A$1:$N$47</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13" i="31" l="1"/>
  <c r="N14" i="31"/>
  <c r="H676" i="31" s="1"/>
  <c r="K30" i="31"/>
  <c r="K29" i="31"/>
  <c r="K28" i="31"/>
  <c r="K27" i="31"/>
  <c r="N16" i="31"/>
  <c r="N15" i="31"/>
  <c r="D36" i="31"/>
  <c r="D29" i="31"/>
  <c r="D28" i="31"/>
  <c r="D18" i="31"/>
  <c r="D32" i="31"/>
  <c r="D40" i="31"/>
  <c r="D16" i="31"/>
  <c r="D17" i="31"/>
  <c r="D15" i="31"/>
  <c r="D31" i="31"/>
  <c r="D46" i="31"/>
  <c r="D41" i="31"/>
  <c r="D34" i="31"/>
  <c r="D14" i="31"/>
  <c r="D13" i="31"/>
  <c r="D22" i="31"/>
  <c r="D37" i="31"/>
  <c r="D43" i="31"/>
  <c r="D19" i="31"/>
  <c r="D30" i="31"/>
  <c r="D33" i="31"/>
  <c r="D45" i="31"/>
  <c r="D44" i="31"/>
  <c r="D39" i="31"/>
  <c r="D21" i="31"/>
  <c r="D26" i="31"/>
  <c r="D42" i="31"/>
  <c r="D35" i="31"/>
  <c r="D25" i="31"/>
  <c r="D20" i="31"/>
  <c r="D24" i="31"/>
  <c r="D27" i="31"/>
  <c r="D47" i="31"/>
  <c r="D38" i="31"/>
  <c r="D23" i="31"/>
  <c r="B10" i="16"/>
  <c r="O48" i="26"/>
  <c r="O47" i="26"/>
  <c r="G31" i="10"/>
  <c r="H31" i="26" s="1"/>
  <c r="F32" i="26"/>
  <c r="G32" i="26"/>
  <c r="F33" i="26"/>
  <c r="G33" i="26"/>
  <c r="F34" i="26"/>
  <c r="G34" i="26"/>
  <c r="F35" i="26"/>
  <c r="G35" i="26"/>
  <c r="F36" i="26"/>
  <c r="G36" i="26"/>
  <c r="F37" i="26"/>
  <c r="G37" i="26"/>
  <c r="F38" i="26"/>
  <c r="G38" i="26"/>
  <c r="F39" i="26"/>
  <c r="G39" i="26"/>
  <c r="F40" i="26"/>
  <c r="G40" i="26"/>
  <c r="G31" i="26"/>
  <c r="F31" i="26"/>
  <c r="B32" i="26"/>
  <c r="B33" i="26"/>
  <c r="B34" i="26"/>
  <c r="B35" i="26"/>
  <c r="B36" i="26"/>
  <c r="B37" i="26"/>
  <c r="B38" i="26"/>
  <c r="B39" i="26"/>
  <c r="B40" i="26"/>
  <c r="B31" i="26"/>
  <c r="G40" i="10"/>
  <c r="H40" i="26" s="1"/>
  <c r="G39" i="10"/>
  <c r="H39" i="26" s="1"/>
  <c r="G38" i="10"/>
  <c r="H38" i="26" s="1"/>
  <c r="G37" i="10"/>
  <c r="H37" i="26" s="1"/>
  <c r="G36" i="10"/>
  <c r="H36" i="26" s="1"/>
  <c r="G35" i="10"/>
  <c r="H35" i="26" s="1"/>
  <c r="G34" i="10"/>
  <c r="H34" i="26" s="1"/>
  <c r="G33" i="10"/>
  <c r="H33" i="26" s="1"/>
  <c r="G32" i="10"/>
  <c r="H32" i="26" s="1"/>
  <c r="E1241" i="32"/>
  <c r="E1240" i="32"/>
  <c r="E1239" i="32"/>
  <c r="E1238" i="32"/>
  <c r="E1237" i="32"/>
  <c r="E1236" i="32"/>
  <c r="E1235" i="32"/>
  <c r="E1234" i="32"/>
  <c r="E1233" i="32"/>
  <c r="E1232" i="32"/>
  <c r="E1231" i="32"/>
  <c r="E1230" i="32"/>
  <c r="E1229" i="32"/>
  <c r="E1228" i="32"/>
  <c r="E1227" i="32"/>
  <c r="E1226" i="32"/>
  <c r="E1225" i="32"/>
  <c r="E1224" i="32"/>
  <c r="E1223" i="32"/>
  <c r="E1222" i="32"/>
  <c r="E1221" i="32"/>
  <c r="E1220" i="32"/>
  <c r="E1219" i="32"/>
  <c r="E1218" i="32"/>
  <c r="E1217" i="32"/>
  <c r="E1216" i="32"/>
  <c r="E1215" i="32"/>
  <c r="E1214" i="32"/>
  <c r="E1213" i="32"/>
  <c r="E1212" i="32"/>
  <c r="E1211" i="32"/>
  <c r="E1210" i="32"/>
  <c r="E1209" i="32"/>
  <c r="E1208" i="32"/>
  <c r="E1207" i="32"/>
  <c r="E1206" i="32"/>
  <c r="E1205" i="32"/>
  <c r="E1204" i="32"/>
  <c r="E1203" i="32"/>
  <c r="E1202" i="32"/>
  <c r="E1201" i="32"/>
  <c r="E1200" i="32"/>
  <c r="E1199" i="32"/>
  <c r="E1198" i="32"/>
  <c r="E1197" i="32"/>
  <c r="E1196" i="32"/>
  <c r="E1195" i="32"/>
  <c r="E1194" i="32"/>
  <c r="E1193" i="32"/>
  <c r="E1192" i="32"/>
  <c r="E1191" i="32"/>
  <c r="E1190" i="32"/>
  <c r="E1189" i="32"/>
  <c r="E1188" i="32"/>
  <c r="E1187" i="32"/>
  <c r="E1186" i="32"/>
  <c r="E1185" i="32"/>
  <c r="E1184" i="32"/>
  <c r="E1183" i="32"/>
  <c r="E1182" i="32"/>
  <c r="E1181" i="32"/>
  <c r="E1180" i="32"/>
  <c r="E1179" i="32"/>
  <c r="E1178" i="32"/>
  <c r="E1177" i="32"/>
  <c r="E1176" i="32"/>
  <c r="E1175" i="32"/>
  <c r="E1174" i="32"/>
  <c r="E1173" i="32"/>
  <c r="E1172" i="32"/>
  <c r="E1171" i="32"/>
  <c r="E1170" i="32"/>
  <c r="E1169" i="32"/>
  <c r="E1168" i="32"/>
  <c r="E1167" i="32"/>
  <c r="E1166" i="32"/>
  <c r="E1165" i="32"/>
  <c r="E1164" i="32"/>
  <c r="E1163" i="32"/>
  <c r="E1162" i="32"/>
  <c r="E1161" i="32"/>
  <c r="E1160" i="32"/>
  <c r="E1159" i="32"/>
  <c r="E1158" i="32"/>
  <c r="E1157" i="32"/>
  <c r="E1156" i="32"/>
  <c r="E1155" i="32"/>
  <c r="E1154" i="32"/>
  <c r="E1153" i="32"/>
  <c r="E1152" i="32"/>
  <c r="E1151" i="32"/>
  <c r="E1150" i="32"/>
  <c r="E1149" i="32"/>
  <c r="E1148" i="32"/>
  <c r="E1147" i="32"/>
  <c r="E1146" i="32"/>
  <c r="E1145" i="32"/>
  <c r="E1144" i="32"/>
  <c r="E1143" i="32"/>
  <c r="E1142" i="32"/>
  <c r="E1141" i="32"/>
  <c r="E1140" i="32"/>
  <c r="E1139" i="32"/>
  <c r="E1138" i="32"/>
  <c r="E1137" i="32"/>
  <c r="E1136" i="32"/>
  <c r="E1135" i="32"/>
  <c r="E1134" i="32"/>
  <c r="E1133" i="32"/>
  <c r="E1132" i="32"/>
  <c r="E1131" i="32"/>
  <c r="E1130" i="32"/>
  <c r="E1129" i="32"/>
  <c r="E1128" i="32"/>
  <c r="E1127" i="32"/>
  <c r="E1126" i="32"/>
  <c r="E1125" i="32"/>
  <c r="E1124" i="32"/>
  <c r="E1123" i="32"/>
  <c r="E1122" i="32"/>
  <c r="E1121" i="32"/>
  <c r="E1120" i="32"/>
  <c r="E1119" i="32"/>
  <c r="E1118" i="32"/>
  <c r="E1117" i="32"/>
  <c r="E1116" i="32"/>
  <c r="E1115" i="32"/>
  <c r="E1114" i="32"/>
  <c r="E1113" i="32"/>
  <c r="E1112" i="32"/>
  <c r="E1111" i="32"/>
  <c r="E1110" i="32"/>
  <c r="E1109" i="32"/>
  <c r="E1108" i="32"/>
  <c r="E1107" i="32"/>
  <c r="E1106" i="32"/>
  <c r="E1105" i="32"/>
  <c r="E1104" i="32"/>
  <c r="E1103" i="32"/>
  <c r="E1102" i="32"/>
  <c r="E1101" i="32"/>
  <c r="E1100" i="32"/>
  <c r="E1099" i="32"/>
  <c r="E1098" i="32"/>
  <c r="E1097" i="32"/>
  <c r="E1096" i="32"/>
  <c r="E1095" i="32"/>
  <c r="E1094" i="32"/>
  <c r="E1093" i="32"/>
  <c r="E1092" i="32"/>
  <c r="E1091" i="32"/>
  <c r="E1090" i="32"/>
  <c r="E1089" i="32"/>
  <c r="E1088" i="32"/>
  <c r="E1087" i="32"/>
  <c r="E1086" i="32"/>
  <c r="E1085" i="32"/>
  <c r="E1084" i="32"/>
  <c r="E1083" i="32"/>
  <c r="E1082" i="32"/>
  <c r="E1081" i="32"/>
  <c r="E1080" i="32"/>
  <c r="E1079" i="32"/>
  <c r="E1078" i="32"/>
  <c r="E1077" i="32"/>
  <c r="E1076" i="32"/>
  <c r="E1075" i="32"/>
  <c r="E1074" i="32"/>
  <c r="E1073" i="32"/>
  <c r="E1072" i="32"/>
  <c r="E1071" i="32"/>
  <c r="E1070" i="32"/>
  <c r="E1069" i="32"/>
  <c r="E1068" i="32"/>
  <c r="E1067" i="32"/>
  <c r="E1066" i="32"/>
  <c r="E1065" i="32"/>
  <c r="E1064" i="32"/>
  <c r="E1063" i="32"/>
  <c r="E1062" i="32"/>
  <c r="E1061" i="32"/>
  <c r="E1060" i="32"/>
  <c r="E1059" i="32"/>
  <c r="E1058" i="32"/>
  <c r="E1057" i="32"/>
  <c r="E1056" i="32"/>
  <c r="E1055" i="32"/>
  <c r="E1054" i="32"/>
  <c r="E1053" i="32"/>
  <c r="E1052" i="32"/>
  <c r="E1051" i="32"/>
  <c r="E1050" i="32"/>
  <c r="E1049" i="32"/>
  <c r="E1048" i="32"/>
  <c r="E1047" i="32"/>
  <c r="E1046" i="32"/>
  <c r="E1045" i="32"/>
  <c r="E1044" i="32"/>
  <c r="E1043" i="32"/>
  <c r="E1042" i="32"/>
  <c r="E1041" i="32"/>
  <c r="E1040" i="32"/>
  <c r="E1039" i="32"/>
  <c r="E1038" i="32"/>
  <c r="E1037" i="32"/>
  <c r="E1036" i="32"/>
  <c r="E1035" i="32"/>
  <c r="E1034" i="32"/>
  <c r="E1033" i="32"/>
  <c r="E1032" i="32"/>
  <c r="E1031" i="32"/>
  <c r="E1030" i="32"/>
  <c r="E1029" i="32"/>
  <c r="E1028" i="32"/>
  <c r="E1027" i="32"/>
  <c r="E1026" i="32"/>
  <c r="E1025" i="32"/>
  <c r="E1024" i="32"/>
  <c r="E1023" i="32"/>
  <c r="E1022" i="32"/>
  <c r="E1021" i="32"/>
  <c r="E1020" i="32"/>
  <c r="E1019" i="32"/>
  <c r="E1018" i="32"/>
  <c r="E1017" i="32"/>
  <c r="E1016" i="32"/>
  <c r="E1015" i="32"/>
  <c r="E1014" i="32"/>
  <c r="E1013" i="32"/>
  <c r="E1012" i="32"/>
  <c r="E1011" i="32"/>
  <c r="E1010" i="32"/>
  <c r="E1009" i="32"/>
  <c r="E1008" i="32"/>
  <c r="E1007" i="32"/>
  <c r="E1006" i="32"/>
  <c r="E1005" i="32"/>
  <c r="E1004" i="32"/>
  <c r="E1003" i="32"/>
  <c r="E1002" i="32"/>
  <c r="E1001" i="32"/>
  <c r="E1000" i="32"/>
  <c r="E999" i="32"/>
  <c r="E998" i="32"/>
  <c r="E997" i="32"/>
  <c r="E996" i="32"/>
  <c r="E995" i="32"/>
  <c r="E994" i="32"/>
  <c r="E993" i="32"/>
  <c r="E992" i="32"/>
  <c r="E991" i="32"/>
  <c r="E990" i="32"/>
  <c r="E989" i="32"/>
  <c r="E988" i="32"/>
  <c r="E987" i="32"/>
  <c r="E986" i="32"/>
  <c r="E985" i="32"/>
  <c r="E984" i="32"/>
  <c r="E983" i="32"/>
  <c r="E982" i="32"/>
  <c r="E981" i="32"/>
  <c r="E980" i="32"/>
  <c r="E979" i="32"/>
  <c r="E978" i="32"/>
  <c r="E977" i="32"/>
  <c r="E976" i="32"/>
  <c r="E975" i="32"/>
  <c r="E974" i="32"/>
  <c r="E973" i="32"/>
  <c r="E972" i="32"/>
  <c r="E971" i="32"/>
  <c r="E970" i="32"/>
  <c r="E969" i="32"/>
  <c r="E968" i="32"/>
  <c r="E967" i="32"/>
  <c r="E966" i="32"/>
  <c r="E965" i="32"/>
  <c r="E964" i="32"/>
  <c r="E963" i="32"/>
  <c r="E962" i="32"/>
  <c r="E961" i="32"/>
  <c r="E960" i="32"/>
  <c r="E959" i="32"/>
  <c r="E958" i="32"/>
  <c r="E957" i="32"/>
  <c r="E956" i="32"/>
  <c r="E955" i="32"/>
  <c r="E954" i="32"/>
  <c r="E953" i="32"/>
  <c r="E952" i="32"/>
  <c r="E951" i="32"/>
  <c r="E950" i="32"/>
  <c r="E949" i="32"/>
  <c r="E948" i="32"/>
  <c r="E947" i="32"/>
  <c r="E946" i="32"/>
  <c r="E945" i="32"/>
  <c r="E944" i="32"/>
  <c r="E943" i="32"/>
  <c r="E942" i="32"/>
  <c r="E941" i="32"/>
  <c r="E940" i="32"/>
  <c r="E939" i="32"/>
  <c r="E938" i="32"/>
  <c r="E937" i="32"/>
  <c r="E936" i="32"/>
  <c r="E935" i="32"/>
  <c r="E934" i="32"/>
  <c r="E933" i="32"/>
  <c r="E932" i="32"/>
  <c r="E931" i="32"/>
  <c r="E930" i="32"/>
  <c r="E929" i="32"/>
  <c r="E928" i="32"/>
  <c r="E927" i="32"/>
  <c r="E926" i="32"/>
  <c r="E925" i="32"/>
  <c r="E924" i="32"/>
  <c r="E923" i="32"/>
  <c r="E922" i="32"/>
  <c r="E921" i="32"/>
  <c r="E920" i="32"/>
  <c r="E919" i="32"/>
  <c r="E918" i="32"/>
  <c r="E917" i="32"/>
  <c r="E916" i="32"/>
  <c r="E915" i="32"/>
  <c r="E914" i="32"/>
  <c r="E913" i="32"/>
  <c r="E912" i="32"/>
  <c r="E911" i="32"/>
  <c r="E910" i="32"/>
  <c r="E909" i="32"/>
  <c r="E908" i="32"/>
  <c r="E907" i="32"/>
  <c r="E906" i="32"/>
  <c r="E905" i="32"/>
  <c r="E904" i="32"/>
  <c r="E903" i="32"/>
  <c r="E902" i="32"/>
  <c r="E901" i="32"/>
  <c r="E900" i="32"/>
  <c r="E899" i="32"/>
  <c r="E898" i="32"/>
  <c r="E897" i="32"/>
  <c r="E896" i="32"/>
  <c r="E895" i="32"/>
  <c r="E894" i="32"/>
  <c r="E893" i="32"/>
  <c r="E892" i="32"/>
  <c r="E891" i="32"/>
  <c r="E890" i="32"/>
  <c r="E889" i="32"/>
  <c r="E888" i="32"/>
  <c r="E887" i="32"/>
  <c r="E886" i="32"/>
  <c r="E885" i="32"/>
  <c r="E884" i="32"/>
  <c r="E883" i="32"/>
  <c r="E882" i="32"/>
  <c r="E881" i="32"/>
  <c r="E880" i="32"/>
  <c r="E879" i="32"/>
  <c r="E878" i="32"/>
  <c r="E877" i="32"/>
  <c r="E876" i="32"/>
  <c r="E875" i="32"/>
  <c r="E874" i="32"/>
  <c r="E873" i="32"/>
  <c r="E872" i="32"/>
  <c r="E871" i="32"/>
  <c r="E870" i="32"/>
  <c r="E869" i="32"/>
  <c r="E868" i="32"/>
  <c r="E867" i="32"/>
  <c r="E866" i="32"/>
  <c r="E865" i="32"/>
  <c r="E864" i="32"/>
  <c r="E863" i="32"/>
  <c r="E862" i="32"/>
  <c r="E861" i="32"/>
  <c r="E860" i="32"/>
  <c r="E859" i="32"/>
  <c r="E858" i="32"/>
  <c r="E857" i="32"/>
  <c r="E856" i="32"/>
  <c r="E855" i="32"/>
  <c r="E854" i="32"/>
  <c r="E853" i="32"/>
  <c r="E852" i="32"/>
  <c r="E851" i="32"/>
  <c r="E850" i="32"/>
  <c r="E849" i="32"/>
  <c r="E848" i="32"/>
  <c r="E847" i="32"/>
  <c r="E846" i="32"/>
  <c r="E845" i="32"/>
  <c r="E844" i="32"/>
  <c r="E843" i="32"/>
  <c r="E842" i="32"/>
  <c r="E841" i="32"/>
  <c r="E840" i="32"/>
  <c r="E839" i="32"/>
  <c r="E838" i="32"/>
  <c r="E837" i="32"/>
  <c r="E836" i="32"/>
  <c r="E835" i="32"/>
  <c r="E834" i="32"/>
  <c r="E833" i="32"/>
  <c r="E832" i="32"/>
  <c r="E831" i="32"/>
  <c r="E830" i="32"/>
  <c r="E829" i="32"/>
  <c r="E828" i="32"/>
  <c r="E827" i="32"/>
  <c r="E826" i="32"/>
  <c r="E825" i="32"/>
  <c r="E824" i="32"/>
  <c r="E823" i="32"/>
  <c r="E822" i="32"/>
  <c r="E821" i="32"/>
  <c r="E820" i="32"/>
  <c r="E819" i="32"/>
  <c r="E818" i="32"/>
  <c r="E817" i="32"/>
  <c r="E816" i="32"/>
  <c r="E815" i="32"/>
  <c r="E814" i="32"/>
  <c r="E813" i="32"/>
  <c r="E812" i="32"/>
  <c r="E811" i="32"/>
  <c r="E810" i="32"/>
  <c r="E809" i="32"/>
  <c r="E808" i="32"/>
  <c r="E807" i="32"/>
  <c r="E806" i="32"/>
  <c r="E805" i="32"/>
  <c r="E804" i="32"/>
  <c r="E803" i="32"/>
  <c r="E802" i="32"/>
  <c r="E801" i="32"/>
  <c r="E800" i="32"/>
  <c r="E799" i="32"/>
  <c r="E798" i="32"/>
  <c r="E797" i="32"/>
  <c r="E796" i="32"/>
  <c r="E795" i="32"/>
  <c r="E794" i="32"/>
  <c r="E793" i="32"/>
  <c r="E792" i="32"/>
  <c r="E791" i="32"/>
  <c r="E790" i="32"/>
  <c r="E789" i="32"/>
  <c r="E788" i="32"/>
  <c r="E787" i="32"/>
  <c r="E786" i="32"/>
  <c r="E785" i="32"/>
  <c r="E784" i="32"/>
  <c r="E783" i="32"/>
  <c r="E782" i="32"/>
  <c r="E781" i="32"/>
  <c r="E780" i="32"/>
  <c r="E779" i="32"/>
  <c r="E778" i="32"/>
  <c r="E777" i="32"/>
  <c r="E776" i="32"/>
  <c r="E775" i="32"/>
  <c r="E774" i="32"/>
  <c r="E773" i="32"/>
  <c r="E772" i="32"/>
  <c r="E771" i="32"/>
  <c r="E770" i="32"/>
  <c r="E769" i="32"/>
  <c r="E768" i="32"/>
  <c r="E767" i="32"/>
  <c r="E766" i="32"/>
  <c r="E765" i="32"/>
  <c r="E764" i="32"/>
  <c r="E763" i="32"/>
  <c r="E762" i="32"/>
  <c r="E761" i="32"/>
  <c r="E760" i="32"/>
  <c r="E759" i="32"/>
  <c r="E758" i="32"/>
  <c r="E757" i="32"/>
  <c r="E756" i="32"/>
  <c r="E755" i="32"/>
  <c r="E754" i="32"/>
  <c r="E753" i="32"/>
  <c r="E752" i="32"/>
  <c r="E751" i="32"/>
  <c r="E750" i="32"/>
  <c r="E749" i="32"/>
  <c r="E748" i="32"/>
  <c r="E747" i="32"/>
  <c r="E746" i="32"/>
  <c r="E745" i="32"/>
  <c r="E744" i="32"/>
  <c r="E743" i="32"/>
  <c r="E742" i="32"/>
  <c r="E741" i="32"/>
  <c r="E740" i="32"/>
  <c r="E739" i="32"/>
  <c r="E738" i="32"/>
  <c r="E737" i="32"/>
  <c r="E736" i="32"/>
  <c r="E735" i="32"/>
  <c r="E734" i="32"/>
  <c r="E733" i="32"/>
  <c r="E732" i="32"/>
  <c r="E731" i="32"/>
  <c r="E730" i="32"/>
  <c r="E729" i="32"/>
  <c r="E728" i="32"/>
  <c r="E727" i="32"/>
  <c r="E726" i="32"/>
  <c r="E725" i="32"/>
  <c r="E724" i="32"/>
  <c r="E723" i="32"/>
  <c r="E722" i="32"/>
  <c r="E721" i="32"/>
  <c r="E720" i="32"/>
  <c r="E719" i="32"/>
  <c r="E718" i="32"/>
  <c r="E717" i="32"/>
  <c r="E716" i="32"/>
  <c r="E715" i="32"/>
  <c r="E714" i="32"/>
  <c r="E713" i="32"/>
  <c r="E712" i="32"/>
  <c r="E711" i="32"/>
  <c r="E710" i="32"/>
  <c r="E709" i="32"/>
  <c r="E708" i="32"/>
  <c r="E707" i="32"/>
  <c r="E706" i="32"/>
  <c r="E705" i="32"/>
  <c r="E704" i="32"/>
  <c r="E703" i="32"/>
  <c r="E702" i="32"/>
  <c r="E701" i="32"/>
  <c r="E700" i="32"/>
  <c r="E699" i="32"/>
  <c r="E698" i="32"/>
  <c r="E697" i="32"/>
  <c r="E696" i="32"/>
  <c r="E695" i="32"/>
  <c r="E694" i="32"/>
  <c r="E693" i="32"/>
  <c r="E692" i="32"/>
  <c r="E691" i="32"/>
  <c r="E690" i="32"/>
  <c r="E689" i="32"/>
  <c r="E688" i="32"/>
  <c r="E687" i="32"/>
  <c r="E686" i="32"/>
  <c r="E685" i="32"/>
  <c r="E684" i="32"/>
  <c r="E683" i="32"/>
  <c r="E682" i="32"/>
  <c r="E681" i="32"/>
  <c r="E680" i="32"/>
  <c r="E679" i="32"/>
  <c r="E678" i="32"/>
  <c r="E677" i="32"/>
  <c r="E676" i="32"/>
  <c r="E675" i="32"/>
  <c r="E674" i="32"/>
  <c r="E673" i="32"/>
  <c r="E672" i="32"/>
  <c r="E671" i="32"/>
  <c r="E670" i="32"/>
  <c r="E669" i="32"/>
  <c r="E668" i="32"/>
  <c r="E667" i="32"/>
  <c r="E666" i="32"/>
  <c r="E665" i="32"/>
  <c r="E664" i="32"/>
  <c r="E663" i="32"/>
  <c r="E662" i="32"/>
  <c r="E661" i="32"/>
  <c r="E660" i="32"/>
  <c r="E659" i="32"/>
  <c r="E658" i="32"/>
  <c r="E657" i="32"/>
  <c r="E656" i="32"/>
  <c r="E655" i="32"/>
  <c r="E654" i="32"/>
  <c r="E653" i="32"/>
  <c r="E652" i="32"/>
  <c r="E651" i="32"/>
  <c r="E650" i="32"/>
  <c r="E649" i="32"/>
  <c r="E648" i="32"/>
  <c r="E647" i="32"/>
  <c r="E646" i="32"/>
  <c r="E645" i="32"/>
  <c r="E644" i="32"/>
  <c r="E643" i="32"/>
  <c r="E642" i="32"/>
  <c r="E641" i="32"/>
  <c r="E640" i="32"/>
  <c r="E639" i="32"/>
  <c r="E638" i="32"/>
  <c r="E637" i="32"/>
  <c r="E636" i="32"/>
  <c r="E635" i="32"/>
  <c r="E634" i="32"/>
  <c r="E633" i="32"/>
  <c r="E632" i="32"/>
  <c r="E631" i="32"/>
  <c r="E630" i="32"/>
  <c r="E629" i="32"/>
  <c r="E628" i="32"/>
  <c r="E627" i="32"/>
  <c r="E626" i="32"/>
  <c r="E625" i="32"/>
  <c r="E624" i="32"/>
  <c r="E623" i="32"/>
  <c r="E622" i="32"/>
  <c r="E621" i="32"/>
  <c r="E620" i="32"/>
  <c r="E619" i="32"/>
  <c r="E618" i="32"/>
  <c r="E617" i="32"/>
  <c r="E616" i="32"/>
  <c r="E615" i="32"/>
  <c r="E614" i="32"/>
  <c r="E613" i="32"/>
  <c r="E612" i="32"/>
  <c r="E611" i="32"/>
  <c r="E610" i="32"/>
  <c r="E609" i="32"/>
  <c r="E608" i="32"/>
  <c r="E607" i="32"/>
  <c r="E606" i="32"/>
  <c r="E605" i="32"/>
  <c r="E604" i="32"/>
  <c r="E603" i="32"/>
  <c r="E602" i="32"/>
  <c r="E601" i="32"/>
  <c r="E600" i="32"/>
  <c r="E599" i="32"/>
  <c r="E598" i="32"/>
  <c r="E597" i="32"/>
  <c r="E596" i="32"/>
  <c r="E595" i="32"/>
  <c r="E594" i="32"/>
  <c r="E593" i="32"/>
  <c r="E592" i="32"/>
  <c r="E591" i="32"/>
  <c r="E590" i="32"/>
  <c r="E589" i="32"/>
  <c r="E588" i="32"/>
  <c r="E587" i="32"/>
  <c r="E586" i="32"/>
  <c r="E585" i="32"/>
  <c r="E584" i="32"/>
  <c r="E583" i="32"/>
  <c r="E582" i="32"/>
  <c r="E581" i="32"/>
  <c r="E580" i="32"/>
  <c r="E579" i="32"/>
  <c r="E578" i="32"/>
  <c r="E577" i="32"/>
  <c r="E576" i="32"/>
  <c r="E575" i="32"/>
  <c r="E574" i="32"/>
  <c r="E573" i="32"/>
  <c r="E572" i="32"/>
  <c r="E571" i="32"/>
  <c r="E570" i="32"/>
  <c r="E569" i="32"/>
  <c r="E568" i="32"/>
  <c r="E567" i="32"/>
  <c r="E566" i="32"/>
  <c r="E565" i="32"/>
  <c r="E564" i="32"/>
  <c r="E563" i="32"/>
  <c r="E562" i="32"/>
  <c r="E561" i="32"/>
  <c r="E560" i="32"/>
  <c r="E559" i="32"/>
  <c r="E558" i="32"/>
  <c r="E557" i="32"/>
  <c r="E556" i="32"/>
  <c r="E555" i="32"/>
  <c r="E554" i="32"/>
  <c r="E553" i="32"/>
  <c r="E552" i="32"/>
  <c r="E551" i="32"/>
  <c r="E550" i="32"/>
  <c r="E549" i="32"/>
  <c r="E548" i="32"/>
  <c r="E547" i="32"/>
  <c r="E546" i="32"/>
  <c r="E545" i="32"/>
  <c r="E544" i="32"/>
  <c r="E543" i="32"/>
  <c r="E542" i="32"/>
  <c r="E541" i="32"/>
  <c r="E540" i="32"/>
  <c r="E539" i="32"/>
  <c r="E538" i="32"/>
  <c r="E537" i="32"/>
  <c r="E536" i="32"/>
  <c r="E535" i="32"/>
  <c r="E534" i="32"/>
  <c r="E533" i="32"/>
  <c r="E532" i="32"/>
  <c r="E531" i="32"/>
  <c r="E530" i="32"/>
  <c r="E529" i="32"/>
  <c r="E528" i="32"/>
  <c r="E527" i="32"/>
  <c r="E526" i="32"/>
  <c r="E525" i="32"/>
  <c r="E524" i="32"/>
  <c r="E523" i="32"/>
  <c r="E522" i="32"/>
  <c r="E521" i="32"/>
  <c r="E520" i="32"/>
  <c r="E519" i="32"/>
  <c r="E518" i="32"/>
  <c r="E517" i="32"/>
  <c r="E516" i="32"/>
  <c r="E515" i="32"/>
  <c r="E514" i="32"/>
  <c r="E513" i="32"/>
  <c r="E512" i="32"/>
  <c r="E511" i="32"/>
  <c r="E510" i="32"/>
  <c r="E509" i="32"/>
  <c r="E508" i="32"/>
  <c r="E507" i="32"/>
  <c r="E506" i="32"/>
  <c r="E505" i="32"/>
  <c r="E504" i="32"/>
  <c r="E503" i="32"/>
  <c r="E502" i="32"/>
  <c r="E501" i="32"/>
  <c r="E500" i="32"/>
  <c r="E499" i="32"/>
  <c r="E498" i="32"/>
  <c r="E497" i="32"/>
  <c r="E496" i="32"/>
  <c r="E495" i="32"/>
  <c r="E494" i="32"/>
  <c r="E493" i="32"/>
  <c r="E492" i="32"/>
  <c r="E491" i="32"/>
  <c r="E490" i="32"/>
  <c r="E489" i="32"/>
  <c r="E488" i="32"/>
  <c r="E487" i="32"/>
  <c r="E486" i="32"/>
  <c r="E485" i="32"/>
  <c r="E484" i="32"/>
  <c r="E483" i="32"/>
  <c r="E482" i="32"/>
  <c r="E481" i="32"/>
  <c r="E480" i="32"/>
  <c r="E479" i="32"/>
  <c r="E478" i="32"/>
  <c r="E477" i="32"/>
  <c r="E476" i="32"/>
  <c r="E475" i="32"/>
  <c r="E474" i="32"/>
  <c r="E473" i="32"/>
  <c r="E472" i="32"/>
  <c r="E471" i="32"/>
  <c r="E470" i="32"/>
  <c r="E469" i="32"/>
  <c r="E468" i="32"/>
  <c r="E467" i="32"/>
  <c r="E466" i="32"/>
  <c r="E465" i="32"/>
  <c r="E464" i="32"/>
  <c r="E463" i="32"/>
  <c r="E462" i="32"/>
  <c r="E461" i="32"/>
  <c r="E460" i="32"/>
  <c r="E459" i="32"/>
  <c r="E458" i="32"/>
  <c r="E457" i="32"/>
  <c r="E456" i="32"/>
  <c r="E455" i="32"/>
  <c r="E454" i="32"/>
  <c r="E453" i="32"/>
  <c r="E452" i="32"/>
  <c r="E451" i="32"/>
  <c r="E450" i="32"/>
  <c r="E449" i="32"/>
  <c r="E448" i="32"/>
  <c r="E447" i="32"/>
  <c r="E446" i="32"/>
  <c r="E445" i="32"/>
  <c r="E444" i="32"/>
  <c r="E443" i="32"/>
  <c r="E442" i="32"/>
  <c r="E441" i="32"/>
  <c r="E440" i="32"/>
  <c r="E439" i="32"/>
  <c r="E438" i="32"/>
  <c r="E437" i="32"/>
  <c r="E436" i="32"/>
  <c r="E435" i="32"/>
  <c r="E434" i="32"/>
  <c r="E433" i="32"/>
  <c r="E432" i="32"/>
  <c r="E431" i="32"/>
  <c r="E430" i="32"/>
  <c r="E429" i="32"/>
  <c r="E428" i="32"/>
  <c r="E427" i="32"/>
  <c r="E426" i="32"/>
  <c r="E425" i="32"/>
  <c r="E424" i="32"/>
  <c r="E423" i="32"/>
  <c r="E422" i="32"/>
  <c r="E421" i="32"/>
  <c r="E420" i="32"/>
  <c r="E419" i="32"/>
  <c r="E418" i="32"/>
  <c r="E417" i="32"/>
  <c r="E416" i="32"/>
  <c r="E415" i="32"/>
  <c r="E414" i="32"/>
  <c r="E413" i="32"/>
  <c r="E412" i="32"/>
  <c r="E411" i="32"/>
  <c r="E410" i="32"/>
  <c r="E409" i="32"/>
  <c r="E408" i="32"/>
  <c r="E407" i="32"/>
  <c r="E406" i="32"/>
  <c r="E405" i="32"/>
  <c r="E404" i="32"/>
  <c r="E403" i="32"/>
  <c r="E402" i="32"/>
  <c r="E401" i="32"/>
  <c r="E400" i="32"/>
  <c r="E399" i="32"/>
  <c r="E398" i="32"/>
  <c r="E397" i="32"/>
  <c r="E396" i="32"/>
  <c r="E395" i="32"/>
  <c r="E394" i="32"/>
  <c r="E393" i="32"/>
  <c r="E392" i="32"/>
  <c r="E391" i="32"/>
  <c r="E390" i="32"/>
  <c r="E389" i="32"/>
  <c r="E388" i="32"/>
  <c r="E387" i="32"/>
  <c r="E386" i="32"/>
  <c r="E385" i="32"/>
  <c r="E384" i="32"/>
  <c r="E383" i="32"/>
  <c r="E382" i="32"/>
  <c r="E381" i="32"/>
  <c r="E380" i="32"/>
  <c r="E379" i="32"/>
  <c r="E378" i="32"/>
  <c r="E377" i="32"/>
  <c r="E376" i="32"/>
  <c r="E375" i="32"/>
  <c r="E374" i="32"/>
  <c r="E373" i="32"/>
  <c r="E372" i="32"/>
  <c r="E371" i="32"/>
  <c r="E370" i="32"/>
  <c r="E369" i="32"/>
  <c r="E368" i="32"/>
  <c r="E367" i="32"/>
  <c r="E366" i="32"/>
  <c r="E365" i="32"/>
  <c r="E364" i="32"/>
  <c r="E363" i="32"/>
  <c r="E362" i="32"/>
  <c r="E361" i="32"/>
  <c r="E360" i="32"/>
  <c r="E359" i="32"/>
  <c r="E358" i="32"/>
  <c r="E357" i="32"/>
  <c r="E356" i="32"/>
  <c r="E355" i="32"/>
  <c r="E354" i="32"/>
  <c r="E353" i="32"/>
  <c r="E352" i="32"/>
  <c r="E351" i="32"/>
  <c r="E350" i="32"/>
  <c r="E349" i="32"/>
  <c r="E348" i="32"/>
  <c r="E347" i="32"/>
  <c r="E346" i="32"/>
  <c r="E345" i="32"/>
  <c r="E344" i="32"/>
  <c r="E343" i="32"/>
  <c r="E342" i="32"/>
  <c r="E341" i="32"/>
  <c r="E340" i="32"/>
  <c r="E339" i="32"/>
  <c r="E338" i="32"/>
  <c r="E337" i="32"/>
  <c r="E336" i="32"/>
  <c r="E335" i="32"/>
  <c r="E334" i="32"/>
  <c r="E333" i="32"/>
  <c r="E332" i="32"/>
  <c r="E331" i="32"/>
  <c r="E330" i="32"/>
  <c r="E329" i="32"/>
  <c r="E328" i="32"/>
  <c r="E327" i="32"/>
  <c r="E326" i="32"/>
  <c r="E325" i="32"/>
  <c r="E324" i="32"/>
  <c r="E323" i="32"/>
  <c r="E322" i="32"/>
  <c r="E321" i="32"/>
  <c r="E320" i="32"/>
  <c r="E319" i="32"/>
  <c r="E318" i="32"/>
  <c r="E317" i="32"/>
  <c r="E316" i="32"/>
  <c r="E315" i="32"/>
  <c r="E314" i="32"/>
  <c r="E313" i="32"/>
  <c r="E312" i="32"/>
  <c r="E311" i="32"/>
  <c r="E310" i="32"/>
  <c r="E309" i="32"/>
  <c r="E308" i="32"/>
  <c r="E307" i="32"/>
  <c r="E306" i="32"/>
  <c r="E305" i="32"/>
  <c r="E304" i="32"/>
  <c r="E303" i="32"/>
  <c r="E302" i="32"/>
  <c r="E301" i="32"/>
  <c r="E300" i="32"/>
  <c r="E299" i="32"/>
  <c r="E298" i="32"/>
  <c r="E297" i="32"/>
  <c r="E296" i="32"/>
  <c r="E295" i="32"/>
  <c r="E294" i="32"/>
  <c r="E293" i="32"/>
  <c r="E292" i="32"/>
  <c r="E291" i="32"/>
  <c r="E290" i="32"/>
  <c r="E289" i="32"/>
  <c r="E288" i="32"/>
  <c r="E287" i="32"/>
  <c r="E286" i="32"/>
  <c r="E285" i="32"/>
  <c r="E284" i="32"/>
  <c r="E283" i="32"/>
  <c r="E282" i="32"/>
  <c r="E281" i="32"/>
  <c r="E280" i="32"/>
  <c r="E279" i="32"/>
  <c r="E278" i="32"/>
  <c r="E277" i="32"/>
  <c r="E276" i="32"/>
  <c r="E275" i="32"/>
  <c r="E274" i="32"/>
  <c r="E273" i="32"/>
  <c r="E272" i="32"/>
  <c r="E271" i="32"/>
  <c r="E270" i="32"/>
  <c r="E269" i="32"/>
  <c r="E268" i="32"/>
  <c r="E267" i="32"/>
  <c r="E266" i="32"/>
  <c r="E265" i="32"/>
  <c r="E264" i="32"/>
  <c r="E263" i="32"/>
  <c r="E262" i="32"/>
  <c r="E261" i="32"/>
  <c r="E260" i="32"/>
  <c r="E259" i="32"/>
  <c r="E258" i="32"/>
  <c r="E257" i="32"/>
  <c r="E256" i="32"/>
  <c r="E255" i="32"/>
  <c r="E254" i="32"/>
  <c r="E253" i="32"/>
  <c r="E252" i="32"/>
  <c r="E251" i="32"/>
  <c r="E250" i="32"/>
  <c r="E249" i="32"/>
  <c r="E248" i="32"/>
  <c r="E247" i="32"/>
  <c r="E246" i="32"/>
  <c r="E245" i="32"/>
  <c r="E244" i="32"/>
  <c r="E243" i="32"/>
  <c r="E242" i="32"/>
  <c r="E241" i="32"/>
  <c r="E240" i="32"/>
  <c r="E239" i="32"/>
  <c r="E238" i="32"/>
  <c r="E237" i="32"/>
  <c r="E236" i="32"/>
  <c r="E235" i="32"/>
  <c r="E234" i="32"/>
  <c r="E233" i="32"/>
  <c r="E232" i="32"/>
  <c r="E231" i="32"/>
  <c r="E230" i="32"/>
  <c r="E229" i="32"/>
  <c r="E228" i="32"/>
  <c r="E227" i="32"/>
  <c r="E226" i="32"/>
  <c r="E225" i="32"/>
  <c r="E224" i="32"/>
  <c r="E223" i="32"/>
  <c r="E222" i="32"/>
  <c r="E221" i="32"/>
  <c r="E220" i="32"/>
  <c r="E219" i="32"/>
  <c r="E218" i="32"/>
  <c r="E217" i="32"/>
  <c r="E216" i="32"/>
  <c r="E215" i="32"/>
  <c r="E214" i="32"/>
  <c r="E213" i="32"/>
  <c r="E212" i="32"/>
  <c r="E211" i="32"/>
  <c r="E210" i="32"/>
  <c r="E209" i="32"/>
  <c r="E208" i="32"/>
  <c r="E207" i="32"/>
  <c r="E206" i="32"/>
  <c r="E205" i="32"/>
  <c r="E204" i="32"/>
  <c r="E203" i="32"/>
  <c r="E202" i="32"/>
  <c r="E201" i="32"/>
  <c r="E200" i="32"/>
  <c r="E199" i="32"/>
  <c r="E198" i="32"/>
  <c r="E197" i="32"/>
  <c r="E196" i="32"/>
  <c r="E195" i="32"/>
  <c r="E194" i="32"/>
  <c r="E193" i="32"/>
  <c r="E192" i="32"/>
  <c r="E191" i="32"/>
  <c r="E190" i="32"/>
  <c r="E189" i="32"/>
  <c r="E188" i="32"/>
  <c r="E187" i="32"/>
  <c r="E186" i="32"/>
  <c r="E185" i="32"/>
  <c r="E184" i="32"/>
  <c r="E183" i="32"/>
  <c r="E182" i="32"/>
  <c r="E181" i="32"/>
  <c r="E180" i="32"/>
  <c r="E179" i="32"/>
  <c r="E178" i="32"/>
  <c r="E177" i="32"/>
  <c r="E176" i="32"/>
  <c r="E175" i="32"/>
  <c r="E174" i="32"/>
  <c r="E173" i="32"/>
  <c r="E172" i="32"/>
  <c r="E171" i="32"/>
  <c r="E170" i="32"/>
  <c r="E169" i="32"/>
  <c r="E168" i="32"/>
  <c r="E167" i="32"/>
  <c r="E166" i="32"/>
  <c r="E165" i="32"/>
  <c r="E164" i="32"/>
  <c r="E163" i="32"/>
  <c r="E162" i="32"/>
  <c r="E161" i="32"/>
  <c r="E160" i="32"/>
  <c r="E159" i="32"/>
  <c r="E158" i="32"/>
  <c r="E157" i="32"/>
  <c r="E156" i="32"/>
  <c r="E155" i="32"/>
  <c r="E154" i="32"/>
  <c r="E153" i="32"/>
  <c r="E152" i="32"/>
  <c r="E151" i="32"/>
  <c r="E150" i="32"/>
  <c r="E149" i="32"/>
  <c r="E148" i="32"/>
  <c r="E147" i="32"/>
  <c r="E146" i="32"/>
  <c r="E145" i="32"/>
  <c r="E144" i="32"/>
  <c r="E143" i="32"/>
  <c r="E142" i="32"/>
  <c r="E141" i="32"/>
  <c r="E140" i="32"/>
  <c r="E139" i="32"/>
  <c r="E138" i="32"/>
  <c r="E137" i="32"/>
  <c r="E136" i="32"/>
  <c r="E135" i="32"/>
  <c r="E134" i="32"/>
  <c r="E133" i="32"/>
  <c r="E132" i="32"/>
  <c r="E131" i="32"/>
  <c r="E130" i="32"/>
  <c r="E129" i="32"/>
  <c r="E128" i="32"/>
  <c r="E127" i="32"/>
  <c r="E126" i="32"/>
  <c r="E125" i="32"/>
  <c r="E124" i="32"/>
  <c r="E123" i="32"/>
  <c r="E122" i="32"/>
  <c r="E121" i="32"/>
  <c r="E120" i="32"/>
  <c r="E119" i="32"/>
  <c r="E118" i="32"/>
  <c r="E117" i="32"/>
  <c r="E116" i="32"/>
  <c r="E115" i="32"/>
  <c r="E114" i="32"/>
  <c r="E113" i="32"/>
  <c r="E112" i="32"/>
  <c r="E111" i="32"/>
  <c r="E110" i="32"/>
  <c r="E109" i="32"/>
  <c r="E108" i="32"/>
  <c r="E107" i="32"/>
  <c r="E106" i="32"/>
  <c r="E105" i="32"/>
  <c r="E104" i="32"/>
  <c r="E103" i="32"/>
  <c r="E102" i="32"/>
  <c r="E101" i="32"/>
  <c r="E100" i="32"/>
  <c r="E99" i="32"/>
  <c r="E98" i="32"/>
  <c r="E97" i="32"/>
  <c r="E96" i="32"/>
  <c r="E95" i="32"/>
  <c r="E94" i="32"/>
  <c r="E93" i="32"/>
  <c r="E92" i="32"/>
  <c r="E91" i="32"/>
  <c r="E90" i="32"/>
  <c r="E89" i="32"/>
  <c r="E88" i="32"/>
  <c r="E87" i="32"/>
  <c r="E86" i="32"/>
  <c r="E85" i="32"/>
  <c r="E84" i="32"/>
  <c r="E83" i="32"/>
  <c r="E82" i="32"/>
  <c r="E81" i="32"/>
  <c r="E80" i="32"/>
  <c r="E79" i="32"/>
  <c r="E78" i="32"/>
  <c r="E77" i="32"/>
  <c r="E76" i="32"/>
  <c r="E75" i="32"/>
  <c r="E74" i="32"/>
  <c r="E73" i="32"/>
  <c r="E72" i="32"/>
  <c r="E71" i="32"/>
  <c r="E70" i="32"/>
  <c r="E69" i="32"/>
  <c r="E68" i="32"/>
  <c r="E67" i="32"/>
  <c r="E66" i="32"/>
  <c r="E65" i="32"/>
  <c r="E64" i="32"/>
  <c r="E63" i="32"/>
  <c r="E62" i="32"/>
  <c r="E61" i="32"/>
  <c r="E60" i="32"/>
  <c r="E59" i="32"/>
  <c r="E58" i="32"/>
  <c r="E57" i="32"/>
  <c r="E56" i="32"/>
  <c r="E55" i="32"/>
  <c r="E54" i="32"/>
  <c r="E53" i="32"/>
  <c r="E52" i="32"/>
  <c r="E51" i="32"/>
  <c r="E50" i="32"/>
  <c r="E49" i="32"/>
  <c r="E48" i="32"/>
  <c r="E47" i="32"/>
  <c r="E46" i="32"/>
  <c r="E45" i="32"/>
  <c r="E44" i="32"/>
  <c r="E43" i="32"/>
  <c r="E42" i="32"/>
  <c r="E41" i="32"/>
  <c r="E40" i="32"/>
  <c r="E39" i="32"/>
  <c r="E38" i="32"/>
  <c r="E37" i="32"/>
  <c r="E36" i="32"/>
  <c r="E35" i="32"/>
  <c r="E34" i="32"/>
  <c r="E33" i="32"/>
  <c r="E32" i="32"/>
  <c r="E31" i="32"/>
  <c r="E30" i="32"/>
  <c r="E29" i="32"/>
  <c r="E28" i="32"/>
  <c r="E27" i="32"/>
  <c r="E26" i="32"/>
  <c r="E25" i="32"/>
  <c r="E24" i="32"/>
  <c r="E23" i="32"/>
  <c r="E22" i="32"/>
  <c r="E21" i="32"/>
  <c r="E20" i="32"/>
  <c r="E19" i="32"/>
  <c r="E18" i="32"/>
  <c r="E17" i="32"/>
  <c r="E16" i="32"/>
  <c r="E15" i="32"/>
  <c r="E14" i="32"/>
  <c r="E13" i="32"/>
  <c r="E12" i="32"/>
  <c r="E11" i="32"/>
  <c r="E10" i="32"/>
  <c r="E9" i="32"/>
  <c r="E8" i="32"/>
  <c r="E7" i="32"/>
  <c r="E6" i="32"/>
  <c r="E5" i="32"/>
  <c r="E4" i="32"/>
  <c r="E3" i="32"/>
  <c r="K18" i="34"/>
  <c r="J18" i="34"/>
  <c r="I18" i="34"/>
  <c r="H18" i="34"/>
  <c r="G18" i="34"/>
  <c r="F18" i="34"/>
  <c r="E18" i="34"/>
  <c r="D18" i="34"/>
  <c r="C18" i="34"/>
  <c r="B18" i="34"/>
  <c r="L15" i="34"/>
  <c r="K15" i="34"/>
  <c r="J15" i="34"/>
  <c r="I15" i="34"/>
  <c r="H15" i="34"/>
  <c r="G15" i="34"/>
  <c r="F15" i="34"/>
  <c r="E15" i="34"/>
  <c r="D15" i="34"/>
  <c r="C15" i="34"/>
  <c r="B15" i="34"/>
  <c r="N13" i="34"/>
  <c r="M13" i="34"/>
  <c r="L13" i="34"/>
  <c r="L12" i="34"/>
  <c r="K12" i="34"/>
  <c r="K13" i="34" s="1"/>
  <c r="J12" i="34"/>
  <c r="J13" i="34" s="1"/>
  <c r="I12" i="34"/>
  <c r="I13" i="34" s="1"/>
  <c r="H12" i="34"/>
  <c r="H13" i="34" s="1"/>
  <c r="G12" i="34"/>
  <c r="G13" i="34" s="1"/>
  <c r="F12" i="34"/>
  <c r="F13" i="34" s="1"/>
  <c r="E12" i="34"/>
  <c r="E13" i="34" s="1"/>
  <c r="D12" i="34"/>
  <c r="D13" i="34" s="1"/>
  <c r="C12" i="34"/>
  <c r="C13" i="34" s="1"/>
  <c r="B12" i="34"/>
  <c r="B13" i="34" s="1"/>
  <c r="L11" i="34"/>
  <c r="K11" i="34"/>
  <c r="J11" i="34"/>
  <c r="I11" i="34"/>
  <c r="H11" i="34"/>
  <c r="G11" i="34"/>
  <c r="F11" i="34"/>
  <c r="E11" i="34"/>
  <c r="D11" i="34"/>
  <c r="C11" i="34"/>
  <c r="B11" i="34"/>
  <c r="L10" i="34"/>
  <c r="M11" i="34" s="1"/>
  <c r="K10" i="34"/>
  <c r="J10" i="34"/>
  <c r="I10" i="34"/>
  <c r="H10" i="34"/>
  <c r="G10" i="34"/>
  <c r="F10" i="34"/>
  <c r="E10" i="34"/>
  <c r="D10" i="34"/>
  <c r="C10" i="34"/>
  <c r="B10" i="34"/>
  <c r="L9" i="34"/>
  <c r="N9" i="34" s="1"/>
  <c r="K9" i="34"/>
  <c r="J9" i="34"/>
  <c r="I9" i="34"/>
  <c r="H9" i="34"/>
  <c r="G9" i="34"/>
  <c r="F9" i="34"/>
  <c r="E9" i="34"/>
  <c r="D9" i="34"/>
  <c r="C9" i="34"/>
  <c r="B9" i="34"/>
  <c r="L8" i="34"/>
  <c r="M8" i="34" s="1"/>
  <c r="K8" i="34"/>
  <c r="J8" i="34"/>
  <c r="I8" i="34"/>
  <c r="H8" i="34"/>
  <c r="G8" i="34"/>
  <c r="F8" i="34"/>
  <c r="E8" i="34"/>
  <c r="D8" i="34"/>
  <c r="C8" i="34"/>
  <c r="B8" i="34"/>
  <c r="L7" i="34"/>
  <c r="K7" i="34"/>
  <c r="J7" i="34"/>
  <c r="I7" i="34"/>
  <c r="H7" i="34"/>
  <c r="G7" i="34"/>
  <c r="F7" i="34"/>
  <c r="E7" i="34"/>
  <c r="D7" i="34"/>
  <c r="C7" i="34"/>
  <c r="B7" i="34"/>
  <c r="L6" i="34"/>
  <c r="L19" i="34" s="1"/>
  <c r="L24" i="34" s="1"/>
  <c r="L5" i="34"/>
  <c r="K5" i="34"/>
  <c r="J5" i="34"/>
  <c r="I5" i="34"/>
  <c r="H5" i="34"/>
  <c r="G5" i="34"/>
  <c r="F5" i="34"/>
  <c r="E5" i="34"/>
  <c r="D5" i="34"/>
  <c r="C5" i="34"/>
  <c r="B5" i="34"/>
  <c r="L4" i="34"/>
  <c r="K4" i="34"/>
  <c r="J4" i="34"/>
  <c r="I4" i="34"/>
  <c r="H4" i="34"/>
  <c r="G4" i="34"/>
  <c r="F4" i="34"/>
  <c r="E4" i="34"/>
  <c r="D4" i="34"/>
  <c r="C4" i="34"/>
  <c r="B4" i="34"/>
  <c r="K3" i="34"/>
  <c r="J3" i="34"/>
  <c r="I3" i="34"/>
  <c r="H3" i="34"/>
  <c r="G3" i="34"/>
  <c r="F3" i="34"/>
  <c r="E3" i="34"/>
  <c r="D3" i="34"/>
  <c r="C3" i="34"/>
  <c r="B3" i="34"/>
  <c r="A1" i="34"/>
  <c r="L23" i="34" l="1"/>
  <c r="H1632" i="31"/>
  <c r="H4310" i="31"/>
  <c r="H4801" i="31"/>
  <c r="H4301" i="31"/>
  <c r="H3677" i="31"/>
  <c r="H4972" i="31"/>
  <c r="H4652" i="31"/>
  <c r="H4019" i="31"/>
  <c r="H3280" i="31"/>
  <c r="H3785" i="31"/>
  <c r="H2628" i="31"/>
  <c r="H4954" i="31"/>
  <c r="H4527" i="31"/>
  <c r="H4018" i="31"/>
  <c r="H3202" i="31"/>
  <c r="H4491" i="31"/>
  <c r="H4834" i="31"/>
  <c r="H3738" i="31"/>
  <c r="H4945" i="31"/>
  <c r="H4515" i="31"/>
  <c r="H3981" i="31"/>
  <c r="H2734" i="31"/>
  <c r="H4835" i="31"/>
  <c r="H4435" i="31"/>
  <c r="H2453" i="31"/>
  <c r="H4855" i="31"/>
  <c r="H4492" i="31"/>
  <c r="H3980" i="31"/>
  <c r="H2732" i="31"/>
  <c r="H4708" i="31"/>
  <c r="H4250" i="31"/>
  <c r="H3676" i="31"/>
  <c r="H1766" i="31"/>
  <c r="H2630" i="31"/>
  <c r="H3364" i="31"/>
  <c r="H4976" i="31"/>
  <c r="H4675" i="31"/>
  <c r="H4224" i="31"/>
  <c r="H3346" i="31"/>
  <c r="H3754" i="31"/>
  <c r="H4803" i="31"/>
  <c r="H1851" i="31"/>
  <c r="H659" i="31"/>
  <c r="H4676" i="31"/>
  <c r="H4248" i="31"/>
  <c r="H1678" i="31"/>
  <c r="H4975" i="31"/>
  <c r="H4672" i="31"/>
  <c r="H4032" i="31"/>
  <c r="H3281" i="31"/>
  <c r="H1425" i="31"/>
  <c r="H4921" i="31"/>
  <c r="H4787" i="31"/>
  <c r="H4645" i="31"/>
  <c r="H4433" i="31"/>
  <c r="H4210" i="31"/>
  <c r="H3934" i="31"/>
  <c r="H3648" i="31"/>
  <c r="H3159" i="31"/>
  <c r="H2451" i="31"/>
  <c r="H1371" i="31"/>
  <c r="H36" i="31"/>
  <c r="H4910" i="31"/>
  <c r="H4776" i="31"/>
  <c r="H4606" i="31"/>
  <c r="H4427" i="31"/>
  <c r="H4209" i="31"/>
  <c r="H3904" i="31"/>
  <c r="H3627" i="31"/>
  <c r="H3111" i="31"/>
  <c r="H2314" i="31"/>
  <c r="H1252" i="31"/>
  <c r="H38" i="31"/>
  <c r="H4906" i="31"/>
  <c r="H4775" i="31"/>
  <c r="H4603" i="31"/>
  <c r="H4409" i="31"/>
  <c r="H4137" i="31"/>
  <c r="H3903" i="31"/>
  <c r="H3626" i="31"/>
  <c r="H3080" i="31"/>
  <c r="H2308" i="31"/>
  <c r="H1183" i="31"/>
  <c r="H41" i="31"/>
  <c r="H4887" i="31"/>
  <c r="H4738" i="31"/>
  <c r="H4602" i="31"/>
  <c r="H4397" i="31"/>
  <c r="H4136" i="31"/>
  <c r="H3875" i="31"/>
  <c r="H3540" i="31"/>
  <c r="H2981" i="31"/>
  <c r="H2147" i="31"/>
  <c r="H919" i="31"/>
  <c r="C6" i="34"/>
  <c r="C19" i="34" s="1"/>
  <c r="H4885" i="31"/>
  <c r="H4737" i="31"/>
  <c r="H4579" i="31"/>
  <c r="H4352" i="31"/>
  <c r="H4113" i="31"/>
  <c r="H3859" i="31"/>
  <c r="H3536" i="31"/>
  <c r="H2956" i="31"/>
  <c r="H2129" i="31"/>
  <c r="H903" i="31"/>
  <c r="H5006" i="31"/>
  <c r="H4857" i="31"/>
  <c r="H4732" i="31"/>
  <c r="H4570" i="31"/>
  <c r="H4339" i="31"/>
  <c r="H4086" i="31"/>
  <c r="H3798" i="31"/>
  <c r="H3461" i="31"/>
  <c r="H2888" i="31"/>
  <c r="H1999" i="31"/>
  <c r="H5005" i="31"/>
  <c r="H4856" i="31"/>
  <c r="H4723" i="31"/>
  <c r="H4528" i="31"/>
  <c r="H4335" i="31"/>
  <c r="H4085" i="31"/>
  <c r="H3790" i="31"/>
  <c r="H3456" i="31"/>
  <c r="H2861" i="31"/>
  <c r="H1992" i="31"/>
  <c r="H548" i="31"/>
  <c r="H3502" i="31"/>
  <c r="H3344" i="31"/>
  <c r="H3158" i="31"/>
  <c r="H2948" i="31"/>
  <c r="H2679" i="31"/>
  <c r="H2386" i="31"/>
  <c r="H2115" i="31"/>
  <c r="H1764" i="31"/>
  <c r="H1363" i="31"/>
  <c r="H753" i="31"/>
  <c r="H4958" i="31"/>
  <c r="H4904" i="31"/>
  <c r="H4847" i="31"/>
  <c r="H4786" i="31"/>
  <c r="H4725" i="31"/>
  <c r="H4655" i="31"/>
  <c r="H4582" i="31"/>
  <c r="H4512" i="31"/>
  <c r="H4423" i="31"/>
  <c r="H4334" i="31"/>
  <c r="H4218" i="31"/>
  <c r="H4112" i="31"/>
  <c r="H4004" i="31"/>
  <c r="H3887" i="31"/>
  <c r="H3782" i="31"/>
  <c r="H3647" i="31"/>
  <c r="H3500" i="31"/>
  <c r="H3318" i="31"/>
  <c r="H3129" i="31"/>
  <c r="H2945" i="31"/>
  <c r="H2675" i="31"/>
  <c r="H2385" i="31"/>
  <c r="H2064" i="31"/>
  <c r="H1719" i="31"/>
  <c r="H1361" i="31"/>
  <c r="H717" i="31"/>
  <c r="H5007" i="31"/>
  <c r="H4956" i="31"/>
  <c r="H4903" i="31"/>
  <c r="H4838" i="31"/>
  <c r="H4785" i="31"/>
  <c r="H4724" i="31"/>
  <c r="H4653" i="31"/>
  <c r="H4580" i="31"/>
  <c r="H4496" i="31"/>
  <c r="H4411" i="31"/>
  <c r="H4313" i="31"/>
  <c r="H4211" i="31"/>
  <c r="H4111" i="31"/>
  <c r="H4003" i="31"/>
  <c r="H3876" i="31"/>
  <c r="H3755" i="31"/>
  <c r="H3632" i="31"/>
  <c r="H3496" i="31"/>
  <c r="H3317" i="31"/>
  <c r="H3116" i="31"/>
  <c r="H2890" i="31"/>
  <c r="H2638" i="31"/>
  <c r="H2384" i="31"/>
  <c r="H2060" i="31"/>
  <c r="H1679" i="31"/>
  <c r="H1254" i="31"/>
  <c r="H185" i="31"/>
  <c r="H508" i="31"/>
  <c r="H852" i="31"/>
  <c r="H1092" i="31"/>
  <c r="H1284" i="31"/>
  <c r="H1482" i="31"/>
  <c r="H1641" i="31"/>
  <c r="H1804" i="31"/>
  <c r="H1972" i="31"/>
  <c r="H2085" i="31"/>
  <c r="H2206" i="31"/>
  <c r="H2359" i="31"/>
  <c r="H2482" i="31"/>
  <c r="H2589" i="31"/>
  <c r="H2714" i="31"/>
  <c r="H2808" i="31"/>
  <c r="H2910" i="31"/>
  <c r="H3015" i="31"/>
  <c r="H3094" i="31"/>
  <c r="H3171" i="31"/>
  <c r="H3259" i="31"/>
  <c r="H3331" i="31"/>
  <c r="H3398" i="31"/>
  <c r="H3479" i="31"/>
  <c r="H3548" i="31"/>
  <c r="H3607" i="31"/>
  <c r="H3667" i="31"/>
  <c r="H3714" i="31"/>
  <c r="H3760" i="31"/>
  <c r="H3819" i="31"/>
  <c r="H3869" i="31"/>
  <c r="H3914" i="31"/>
  <c r="H3966" i="31"/>
  <c r="H4007" i="31"/>
  <c r="H4055" i="31"/>
  <c r="H4106" i="31"/>
  <c r="H4145" i="31"/>
  <c r="H4188" i="31"/>
  <c r="H4238" i="31"/>
  <c r="H4282" i="31"/>
  <c r="H4318" i="31"/>
  <c r="H4362" i="31"/>
  <c r="H4404" i="31"/>
  <c r="H4440" i="31"/>
  <c r="H4486" i="31"/>
  <c r="H4517" i="31"/>
  <c r="H4554" i="31"/>
  <c r="H4594" i="31"/>
  <c r="H4629" i="31"/>
  <c r="H4659" i="31"/>
  <c r="H4696" i="31"/>
  <c r="H4729" i="31"/>
  <c r="H4760" i="31"/>
  <c r="H4799" i="31"/>
  <c r="H4831" i="31"/>
  <c r="H4861" i="31"/>
  <c r="H4898" i="31"/>
  <c r="H4930" i="31"/>
  <c r="H4960" i="31"/>
  <c r="H5001" i="31"/>
  <c r="H33" i="31"/>
  <c r="H201" i="31"/>
  <c r="H3028" i="31"/>
  <c r="H3488" i="31"/>
  <c r="H3675" i="31"/>
  <c r="H3773" i="31"/>
  <c r="H3871" i="31"/>
  <c r="H3969" i="31"/>
  <c r="H4066" i="31"/>
  <c r="H4109" i="31"/>
  <c r="H4199" i="31"/>
  <c r="H4242" i="31"/>
  <c r="H4331" i="31"/>
  <c r="H4370" i="31"/>
  <c r="H4451" i="31"/>
  <c r="H4490" i="31"/>
  <c r="H4564" i="31"/>
  <c r="H4601" i="31"/>
  <c r="H4670" i="31"/>
  <c r="H4702" i="31"/>
  <c r="H4772" i="31"/>
  <c r="H546" i="31"/>
  <c r="H887" i="31"/>
  <c r="H1113" i="31"/>
  <c r="H1338" i="31"/>
  <c r="H1502" i="31"/>
  <c r="H1656" i="31"/>
  <c r="H1832" i="31"/>
  <c r="H1977" i="31"/>
  <c r="H2092" i="31"/>
  <c r="H2246" i="31"/>
  <c r="H2364" i="31"/>
  <c r="H2484" i="31"/>
  <c r="H2615" i="31"/>
  <c r="H2717" i="31"/>
  <c r="H2818" i="31"/>
  <c r="H2931" i="31"/>
  <c r="H3096" i="31"/>
  <c r="H3189" i="31"/>
  <c r="H3267" i="31"/>
  <c r="H3338" i="31"/>
  <c r="H3422" i="31"/>
  <c r="H3551" i="31"/>
  <c r="H3619" i="31"/>
  <c r="H3717" i="31"/>
  <c r="H3823" i="31"/>
  <c r="H3928" i="31"/>
  <c r="H4015" i="31"/>
  <c r="H4149" i="31"/>
  <c r="H4287" i="31"/>
  <c r="H4407" i="31"/>
  <c r="H4524" i="31"/>
  <c r="H4631" i="31"/>
  <c r="H4812" i="31"/>
  <c r="H4848" i="31"/>
  <c r="H4881" i="31"/>
  <c r="H4911" i="31"/>
  <c r="H4947" i="31"/>
  <c r="H4981" i="31"/>
  <c r="H5012" i="31"/>
  <c r="H17" i="31"/>
  <c r="H711" i="31"/>
  <c r="H1013" i="31"/>
  <c r="H1396" i="31"/>
  <c r="H1754" i="31"/>
  <c r="H2046" i="31"/>
  <c r="H2289" i="31"/>
  <c r="H2558" i="31"/>
  <c r="H2779" i="31"/>
  <c r="H2974" i="31"/>
  <c r="H3146" i="31"/>
  <c r="H3305" i="31"/>
  <c r="H3444" i="31"/>
  <c r="H3590" i="31"/>
  <c r="H3701" i="31"/>
  <c r="H3794" i="31"/>
  <c r="H3902" i="31"/>
  <c r="H4000" i="31"/>
  <c r="H4084" i="31"/>
  <c r="H4174" i="31"/>
  <c r="H4267" i="31"/>
  <c r="H4344" i="31"/>
  <c r="H13" i="31"/>
  <c r="H423" i="31"/>
  <c r="H1241" i="31"/>
  <c r="H1593" i="31"/>
  <c r="H1900" i="31"/>
  <c r="H2175" i="31"/>
  <c r="H2442" i="31"/>
  <c r="H2656" i="31"/>
  <c r="H2884" i="31"/>
  <c r="H3069" i="31"/>
  <c r="H3221" i="31"/>
  <c r="H3382" i="31"/>
  <c r="H3525" i="31"/>
  <c r="H3640" i="31"/>
  <c r="H3746" i="31"/>
  <c r="H3849" i="31"/>
  <c r="H3947" i="31"/>
  <c r="H4040" i="31"/>
  <c r="H4135" i="31"/>
  <c r="H4216" i="31"/>
  <c r="H4308" i="31"/>
  <c r="H4391" i="31"/>
  <c r="H4470" i="31"/>
  <c r="H4511" i="31"/>
  <c r="H4543" i="31"/>
  <c r="H5004" i="31"/>
  <c r="H4941" i="31"/>
  <c r="H4883" i="31"/>
  <c r="H4773" i="31"/>
  <c r="H4707" i="31"/>
  <c r="H4636" i="31"/>
  <c r="H4568" i="31"/>
  <c r="H4473" i="31"/>
  <c r="H4396" i="31"/>
  <c r="H4289" i="31"/>
  <c r="H4183" i="31"/>
  <c r="H4073" i="31"/>
  <c r="H3979" i="31"/>
  <c r="H3858" i="31"/>
  <c r="H3728" i="31"/>
  <c r="H3594" i="31"/>
  <c r="H3431" i="31"/>
  <c r="H3273" i="31"/>
  <c r="H3079" i="31"/>
  <c r="H2831" i="31"/>
  <c r="H2572" i="31"/>
  <c r="H2286" i="31"/>
  <c r="H1991" i="31"/>
  <c r="H451" i="31"/>
  <c r="H18" i="31"/>
  <c r="H4989" i="31"/>
  <c r="H4939" i="31"/>
  <c r="H4879" i="31"/>
  <c r="H4823" i="31"/>
  <c r="H4755" i="31"/>
  <c r="H4704" i="31"/>
  <c r="H4633" i="31"/>
  <c r="H4566" i="31"/>
  <c r="H4472" i="31"/>
  <c r="H4378" i="31"/>
  <c r="H4288" i="31"/>
  <c r="H4179" i="31"/>
  <c r="H4071" i="31"/>
  <c r="H3953" i="31"/>
  <c r="H3832" i="31"/>
  <c r="H3726" i="31"/>
  <c r="H3593" i="31"/>
  <c r="H3429" i="31"/>
  <c r="H3234" i="31"/>
  <c r="H3034" i="31"/>
  <c r="H2830" i="31"/>
  <c r="H2570" i="31"/>
  <c r="H2272" i="31"/>
  <c r="H1906" i="31"/>
  <c r="H1533" i="31"/>
  <c r="H1128" i="31"/>
  <c r="H448" i="31"/>
  <c r="H25" i="31"/>
  <c r="H4988" i="31"/>
  <c r="H4933" i="31"/>
  <c r="H4876" i="31"/>
  <c r="H4820" i="31"/>
  <c r="H4754" i="31"/>
  <c r="H4689" i="31"/>
  <c r="H4627" i="31"/>
  <c r="H4550" i="31"/>
  <c r="H4459" i="31"/>
  <c r="H4374" i="31"/>
  <c r="H4276" i="31"/>
  <c r="H4164" i="31"/>
  <c r="H4068" i="31"/>
  <c r="H3952" i="31"/>
  <c r="H3831" i="31"/>
  <c r="H3705" i="31"/>
  <c r="H3576" i="31"/>
  <c r="H3427" i="31"/>
  <c r="H3227" i="31"/>
  <c r="H3031" i="31"/>
  <c r="H2799" i="31"/>
  <c r="H2525" i="31"/>
  <c r="H2264" i="31"/>
  <c r="H1905" i="31"/>
  <c r="H1532" i="31"/>
  <c r="H1054" i="31"/>
  <c r="H273" i="31"/>
  <c r="H4825" i="31"/>
  <c r="H1143" i="31"/>
  <c r="H26" i="31"/>
  <c r="H4984" i="31"/>
  <c r="H4927" i="31"/>
  <c r="H4874" i="31"/>
  <c r="H4809" i="31"/>
  <c r="H4753" i="31"/>
  <c r="H4687" i="31"/>
  <c r="H4623" i="31"/>
  <c r="H4545" i="31"/>
  <c r="H4458" i="31"/>
  <c r="H4373" i="31"/>
  <c r="H4269" i="31"/>
  <c r="H4158" i="31"/>
  <c r="H4044" i="31"/>
  <c r="H3938" i="31"/>
  <c r="H3830" i="31"/>
  <c r="H3704" i="31"/>
  <c r="H3562" i="31"/>
  <c r="H3384" i="31"/>
  <c r="H3210" i="31"/>
  <c r="H3029" i="31"/>
  <c r="H2796" i="31"/>
  <c r="H2505" i="31"/>
  <c r="H2194" i="31"/>
  <c r="H1863" i="31"/>
  <c r="H1530" i="31"/>
  <c r="H1051" i="31"/>
  <c r="H263" i="31"/>
  <c r="H1617" i="31"/>
  <c r="H30" i="31"/>
  <c r="H4979" i="31"/>
  <c r="H4924" i="31"/>
  <c r="H4871" i="31"/>
  <c r="H4807" i="31"/>
  <c r="H4744" i="31"/>
  <c r="H4682" i="31"/>
  <c r="H4618" i="31"/>
  <c r="H4538" i="31"/>
  <c r="H4457" i="31"/>
  <c r="H4354" i="31"/>
  <c r="H4251" i="31"/>
  <c r="H4157" i="31"/>
  <c r="H4042" i="31"/>
  <c r="H3935" i="31"/>
  <c r="H3799" i="31"/>
  <c r="H3678" i="31"/>
  <c r="H3561" i="31"/>
  <c r="H3383" i="31"/>
  <c r="H3207" i="31"/>
  <c r="H2982" i="31"/>
  <c r="H2742" i="31"/>
  <c r="H2494" i="31"/>
  <c r="H2186" i="31"/>
  <c r="H1857" i="31"/>
  <c r="H1442" i="31"/>
  <c r="H920" i="31"/>
  <c r="H248" i="31"/>
  <c r="E14" i="34"/>
  <c r="H95" i="31"/>
  <c r="H359" i="31"/>
  <c r="H575" i="31"/>
  <c r="H775" i="31"/>
  <c r="H980" i="31"/>
  <c r="H1149" i="31"/>
  <c r="H1307" i="31"/>
  <c r="H1447" i="31"/>
  <c r="H1566" i="31"/>
  <c r="H1688" i="31"/>
  <c r="H1814" i="31"/>
  <c r="H1922" i="31"/>
  <c r="H2020" i="31"/>
  <c r="H2133" i="31"/>
  <c r="H2222" i="31"/>
  <c r="H2319" i="31"/>
  <c r="H2426" i="31"/>
  <c r="H2507" i="31"/>
  <c r="H2597" i="31"/>
  <c r="H2681" i="31"/>
  <c r="H2759" i="31"/>
  <c r="H2839" i="31"/>
  <c r="H2924" i="31"/>
  <c r="H2984" i="31"/>
  <c r="H3053" i="31"/>
  <c r="H3118" i="31"/>
  <c r="H3176" i="31"/>
  <c r="H3237" i="31"/>
  <c r="H3302" i="31"/>
  <c r="H3351" i="31"/>
  <c r="H3407" i="31"/>
  <c r="H3463" i="31"/>
  <c r="H3515" i="31"/>
  <c r="H3564" i="31"/>
  <c r="H3612" i="31"/>
  <c r="H3652" i="31"/>
  <c r="H3690" i="31"/>
  <c r="H3730" i="31"/>
  <c r="H3766" i="31"/>
  <c r="H3806" i="31"/>
  <c r="H3846" i="31"/>
  <c r="H3882" i="31"/>
  <c r="H3917" i="31"/>
  <c r="H3955" i="31"/>
  <c r="H3989" i="31"/>
  <c r="H4020" i="31"/>
  <c r="H4058" i="31"/>
  <c r="H4091" i="31"/>
  <c r="H4123" i="31"/>
  <c r="H4160" i="31"/>
  <c r="H4191" i="31"/>
  <c r="H4227" i="31"/>
  <c r="H4263" i="31"/>
  <c r="H4292" i="31"/>
  <c r="H4322" i="31"/>
  <c r="H4355" i="31"/>
  <c r="H4383" i="31"/>
  <c r="H4412" i="31"/>
  <c r="H4446" i="31"/>
  <c r="H4474" i="31"/>
  <c r="H4503" i="31"/>
  <c r="H4531" i="31"/>
  <c r="H4558" i="31"/>
  <c r="H4583" i="31"/>
  <c r="H4611" i="31"/>
  <c r="H4640" i="31"/>
  <c r="H4666" i="31"/>
  <c r="H4690" i="31"/>
  <c r="H4714" i="31"/>
  <c r="H4739" i="31"/>
  <c r="H4765" i="31"/>
  <c r="H4790" i="31"/>
  <c r="H4815" i="31"/>
  <c r="H4839" i="31"/>
  <c r="H4863" i="31"/>
  <c r="H4891" i="31"/>
  <c r="H4917" i="31"/>
  <c r="H4942" i="31"/>
  <c r="H4965" i="31"/>
  <c r="H4990" i="31"/>
  <c r="H47" i="31"/>
  <c r="H24" i="31"/>
  <c r="H127" i="31"/>
  <c r="H360" i="31"/>
  <c r="H593" i="31"/>
  <c r="H816" i="31"/>
  <c r="H1007" i="31"/>
  <c r="H1179" i="31"/>
  <c r="H1330" i="31"/>
  <c r="H1450" i="31"/>
  <c r="H1582" i="31"/>
  <c r="H1711" i="31"/>
  <c r="H1830" i="31"/>
  <c r="H1932" i="31"/>
  <c r="H2042" i="31"/>
  <c r="H2134" i="31"/>
  <c r="H2242" i="31"/>
  <c r="H2342" i="31"/>
  <c r="H2429" i="31"/>
  <c r="H2517" i="31"/>
  <c r="H2611" i="31"/>
  <c r="H2692" i="31"/>
  <c r="H2767" i="31"/>
  <c r="H2850" i="31"/>
  <c r="H2927" i="31"/>
  <c r="H2996" i="31"/>
  <c r="H3066" i="31"/>
  <c r="H3123" i="31"/>
  <c r="H3182" i="31"/>
  <c r="H3244" i="31"/>
  <c r="H3303" i="31"/>
  <c r="H3359" i="31"/>
  <c r="H3414" i="31"/>
  <c r="H3470" i="31"/>
  <c r="H3523" i="31"/>
  <c r="H3574" i="31"/>
  <c r="H3617" i="31"/>
  <c r="H3655" i="31"/>
  <c r="H3694" i="31"/>
  <c r="H3732" i="31"/>
  <c r="H3771" i="31"/>
  <c r="H3810" i="31"/>
  <c r="H3847" i="31"/>
  <c r="H3885" i="31"/>
  <c r="H3926" i="31"/>
  <c r="H3962" i="31"/>
  <c r="H3991" i="31"/>
  <c r="H4028" i="31"/>
  <c r="H4059" i="31"/>
  <c r="H4095" i="31"/>
  <c r="H4132" i="31"/>
  <c r="H4161" i="31"/>
  <c r="H4196" i="31"/>
  <c r="H4230" i="31"/>
  <c r="H4265" i="31"/>
  <c r="H4294" i="31"/>
  <c r="H4328" i="31"/>
  <c r="H4356" i="31"/>
  <c r="H4387" i="31"/>
  <c r="H4421" i="31"/>
  <c r="H4448" i="31"/>
  <c r="H4476" i="31"/>
  <c r="H4505" i="31"/>
  <c r="H4532" i="31"/>
  <c r="H4562" i="31"/>
  <c r="H4584" i="31"/>
  <c r="H4615" i="31"/>
  <c r="H4642" i="31"/>
  <c r="H4667" i="31"/>
  <c r="H4691" i="31"/>
  <c r="H4715" i="31"/>
  <c r="H4741" i="31"/>
  <c r="H4767" i="31"/>
  <c r="H4791" i="31"/>
  <c r="H4816" i="31"/>
  <c r="H4840" i="31"/>
  <c r="H4868" i="31"/>
  <c r="H4893" i="31"/>
  <c r="H4918" i="31"/>
  <c r="H4943" i="31"/>
  <c r="H4967" i="31"/>
  <c r="H4992" i="31"/>
  <c r="H45" i="31"/>
  <c r="H22" i="31"/>
  <c r="H147" i="31"/>
  <c r="H372" i="31"/>
  <c r="H594" i="31"/>
  <c r="H819" i="31"/>
  <c r="H1008" i="31"/>
  <c r="H1181" i="31"/>
  <c r="H1332" i="31"/>
  <c r="H1456" i="31"/>
  <c r="H1587" i="31"/>
  <c r="H1718" i="31"/>
  <c r="H1831" i="31"/>
  <c r="H1942" i="31"/>
  <c r="H2043" i="31"/>
  <c r="H2135" i="31"/>
  <c r="H2243" i="31"/>
  <c r="H2343" i="31"/>
  <c r="H2430" i="31"/>
  <c r="H2524" i="31"/>
  <c r="H2613" i="31"/>
  <c r="H2693" i="31"/>
  <c r="H2778" i="31"/>
  <c r="H2859" i="31"/>
  <c r="H2930" i="31"/>
  <c r="H2999" i="31"/>
  <c r="H3068" i="31"/>
  <c r="H3128" i="31"/>
  <c r="H3186" i="31"/>
  <c r="H3249" i="31"/>
  <c r="H3304" i="31"/>
  <c r="H3362" i="31"/>
  <c r="H3417" i="31"/>
  <c r="H3471" i="31"/>
  <c r="H3524" i="31"/>
  <c r="H3575" i="31"/>
  <c r="H3618" i="31"/>
  <c r="H3659" i="31"/>
  <c r="H3700" i="31"/>
  <c r="H3734" i="31"/>
  <c r="H3772" i="31"/>
  <c r="H3811" i="31"/>
  <c r="H3848" i="31"/>
  <c r="H3886" i="31"/>
  <c r="H3927" i="31"/>
  <c r="H3963" i="31"/>
  <c r="H3994" i="31"/>
  <c r="H4030" i="31"/>
  <c r="H4060" i="31"/>
  <c r="H4096" i="31"/>
  <c r="H4133" i="31"/>
  <c r="H4162" i="31"/>
  <c r="H4198" i="31"/>
  <c r="H4231" i="31"/>
  <c r="H4266" i="31"/>
  <c r="H4296" i="31"/>
  <c r="H4329" i="31"/>
  <c r="H4358" i="31"/>
  <c r="H4388" i="31"/>
  <c r="H4422" i="31"/>
  <c r="H4449" i="31"/>
  <c r="H4480" i="31"/>
  <c r="H4509" i="31"/>
  <c r="H4535" i="31"/>
  <c r="H4563" i="31"/>
  <c r="H4590" i="31"/>
  <c r="H4617" i="31"/>
  <c r="H4644" i="31"/>
  <c r="H4668" i="31"/>
  <c r="H4693" i="31"/>
  <c r="H4717" i="31"/>
  <c r="H4743" i="31"/>
  <c r="H4771" i="31"/>
  <c r="H4795" i="31"/>
  <c r="H4819" i="31"/>
  <c r="H4844" i="31"/>
  <c r="H4870" i="31"/>
  <c r="H4896" i="31"/>
  <c r="H4919" i="31"/>
  <c r="H4944" i="31"/>
  <c r="H4969" i="31"/>
  <c r="H4995" i="31"/>
  <c r="H43" i="31"/>
  <c r="H19" i="31"/>
  <c r="H400" i="31"/>
  <c r="H597" i="31"/>
  <c r="H843" i="31"/>
  <c r="H4982" i="31"/>
  <c r="H4951" i="31"/>
  <c r="H4912" i="31"/>
  <c r="H4882" i="31"/>
  <c r="H4849" i="31"/>
  <c r="H4814" i="31"/>
  <c r="H4780" i="31"/>
  <c r="H4752" i="31"/>
  <c r="H4713" i="31"/>
  <c r="H4681" i="31"/>
  <c r="H4651" i="31"/>
  <c r="H4610" i="31"/>
  <c r="H4578" i="31"/>
  <c r="H4542" i="31"/>
  <c r="H4500" i="31"/>
  <c r="H4466" i="31"/>
  <c r="H4425" i="31"/>
  <c r="H4380" i="31"/>
  <c r="H4343" i="31"/>
  <c r="H4306" i="31"/>
  <c r="H4257" i="31"/>
  <c r="H4214" i="31"/>
  <c r="H4173" i="31"/>
  <c r="H4122" i="31"/>
  <c r="H4080" i="31"/>
  <c r="H4039" i="31"/>
  <c r="H3987" i="31"/>
  <c r="H3943" i="31"/>
  <c r="H3899" i="31"/>
  <c r="H3844" i="31"/>
  <c r="H3792" i="31"/>
  <c r="H3743" i="31"/>
  <c r="H3688" i="31"/>
  <c r="H3639" i="31"/>
  <c r="H3582" i="31"/>
  <c r="H3510" i="31"/>
  <c r="H3443" i="31"/>
  <c r="H3379" i="31"/>
  <c r="H3298" i="31"/>
  <c r="H3220" i="31"/>
  <c r="H3142" i="31"/>
  <c r="H3050" i="31"/>
  <c r="H2968" i="31"/>
  <c r="H2877" i="31"/>
  <c r="H2753" i="31"/>
  <c r="H2654" i="31"/>
  <c r="H2555" i="31"/>
  <c r="H2419" i="31"/>
  <c r="H2288" i="31"/>
  <c r="H2160" i="31"/>
  <c r="H2016" i="31"/>
  <c r="H1887" i="31"/>
  <c r="H1738" i="31"/>
  <c r="H1554" i="31"/>
  <c r="H1392" i="31"/>
  <c r="H1227" i="31"/>
  <c r="H978" i="31"/>
  <c r="H705" i="31"/>
  <c r="H331" i="31"/>
  <c r="H4777" i="31"/>
  <c r="H4749" i="31"/>
  <c r="H4711" i="31"/>
  <c r="H4679" i="31"/>
  <c r="H4646" i="31"/>
  <c r="H4608" i="31"/>
  <c r="H4576" i="31"/>
  <c r="H4540" i="31"/>
  <c r="H4498" i="31"/>
  <c r="H4464" i="31"/>
  <c r="H4424" i="31"/>
  <c r="H4379" i="31"/>
  <c r="H4341" i="31"/>
  <c r="H4304" i="31"/>
  <c r="H4256" i="31"/>
  <c r="H4212" i="31"/>
  <c r="H4172" i="31"/>
  <c r="H4120" i="31"/>
  <c r="H4079" i="31"/>
  <c r="H4035" i="31"/>
  <c r="H3982" i="31"/>
  <c r="H3942" i="31"/>
  <c r="H3897" i="31"/>
  <c r="H3838" i="31"/>
  <c r="H3791" i="31"/>
  <c r="H3742" i="31"/>
  <c r="H3687" i="31"/>
  <c r="H3636" i="31"/>
  <c r="H3581" i="31"/>
  <c r="H3509" i="31"/>
  <c r="H3442" i="31"/>
  <c r="H3375" i="31"/>
  <c r="H3291" i="31"/>
  <c r="H3218" i="31"/>
  <c r="H3141" i="31"/>
  <c r="H3047" i="31"/>
  <c r="H2966" i="31"/>
  <c r="H2870" i="31"/>
  <c r="H2745" i="31"/>
  <c r="H2649" i="31"/>
  <c r="H2547" i="31"/>
  <c r="H2411" i="31"/>
  <c r="H2287" i="31"/>
  <c r="H2158" i="31"/>
  <c r="H2015" i="31"/>
  <c r="H1886" i="31"/>
  <c r="H1735" i="31"/>
  <c r="H1553" i="31"/>
  <c r="H1391" i="31"/>
  <c r="H1221" i="31"/>
  <c r="H968" i="31"/>
  <c r="H679" i="31"/>
  <c r="H321" i="31"/>
  <c r="H32" i="31"/>
  <c r="H5003" i="31"/>
  <c r="H4964" i="31"/>
  <c r="H4932" i="31"/>
  <c r="H4900" i="31"/>
  <c r="H4862" i="31"/>
  <c r="H4833" i="31"/>
  <c r="H4800" i="31"/>
  <c r="H4762" i="31"/>
  <c r="H4730" i="31"/>
  <c r="H4700" i="31"/>
  <c r="H4660" i="31"/>
  <c r="H4630" i="31"/>
  <c r="H4595" i="31"/>
  <c r="H4557" i="31"/>
  <c r="H4519" i="31"/>
  <c r="H4488" i="31"/>
  <c r="H4444" i="31"/>
  <c r="H4406" i="31"/>
  <c r="H4366" i="31"/>
  <c r="H4319" i="31"/>
  <c r="H4283" i="31"/>
  <c r="H4240" i="31"/>
  <c r="H4190" i="31"/>
  <c r="H4147" i="31"/>
  <c r="H4107" i="31"/>
  <c r="H4056" i="31"/>
  <c r="H4008" i="31"/>
  <c r="H3968" i="31"/>
  <c r="H3915" i="31"/>
  <c r="H3870" i="31"/>
  <c r="H3821" i="31"/>
  <c r="H3764" i="31"/>
  <c r="H3716" i="31"/>
  <c r="H3672" i="31"/>
  <c r="H3609" i="31"/>
  <c r="H3550" i="31"/>
  <c r="H3486" i="31"/>
  <c r="H3399" i="31"/>
  <c r="H3335" i="31"/>
  <c r="H3260" i="31"/>
  <c r="H3172" i="31"/>
  <c r="H3095" i="31"/>
  <c r="H3026" i="31"/>
  <c r="H2918" i="31"/>
  <c r="H2817" i="31"/>
  <c r="H2715" i="31"/>
  <c r="H2590" i="31"/>
  <c r="H2483" i="31"/>
  <c r="H2361" i="31"/>
  <c r="H2217" i="31"/>
  <c r="H2091" i="31"/>
  <c r="H1975" i="31"/>
  <c r="H1806" i="31"/>
  <c r="H1654" i="31"/>
  <c r="H1494" i="31"/>
  <c r="H1287" i="31"/>
  <c r="H1111" i="31"/>
  <c r="H855" i="31"/>
  <c r="H509" i="31"/>
  <c r="H197" i="31"/>
  <c r="H34" i="31"/>
  <c r="H4996" i="31"/>
  <c r="H4959" i="31"/>
  <c r="H4928" i="31"/>
  <c r="H4897" i="31"/>
  <c r="H4859" i="31"/>
  <c r="H4827" i="31"/>
  <c r="H4797" i="31"/>
  <c r="H4756" i="31"/>
  <c r="H4728" i="31"/>
  <c r="H4694" i="31"/>
  <c r="H4658" i="31"/>
  <c r="H4628" i="31"/>
  <c r="H4593" i="31"/>
  <c r="H4551" i="31"/>
  <c r="H4516" i="31"/>
  <c r="H4483" i="31"/>
  <c r="H4437" i="31"/>
  <c r="H4400" i="31"/>
  <c r="H4360" i="31"/>
  <c r="H4315" i="31"/>
  <c r="H4277" i="31"/>
  <c r="H4236" i="31"/>
  <c r="H4185" i="31"/>
  <c r="H4139" i="31"/>
  <c r="H4097" i="31"/>
  <c r="H4047" i="31"/>
  <c r="H4006" i="31"/>
  <c r="H3964" i="31"/>
  <c r="H3909" i="31"/>
  <c r="H3861" i="31"/>
  <c r="H3812" i="31"/>
  <c r="H3756" i="31"/>
  <c r="H3707" i="31"/>
  <c r="H3660" i="31"/>
  <c r="H3596" i="31"/>
  <c r="H3547" i="31"/>
  <c r="H3473" i="31"/>
  <c r="H3391" i="31"/>
  <c r="H3322" i="31"/>
  <c r="H3252" i="31"/>
  <c r="H3160" i="31"/>
  <c r="H3083" i="31"/>
  <c r="H3000" i="31"/>
  <c r="H2900" i="31"/>
  <c r="H2805" i="31"/>
  <c r="H2694" i="31"/>
  <c r="H2573" i="31"/>
  <c r="H2466" i="31"/>
  <c r="H2344" i="31"/>
  <c r="H2200" i="31"/>
  <c r="H2078" i="31"/>
  <c r="H1944" i="31"/>
  <c r="H1767" i="31"/>
  <c r="H1639" i="31"/>
  <c r="H1458" i="31"/>
  <c r="H1255" i="31"/>
  <c r="H1077" i="31"/>
  <c r="H755" i="31"/>
  <c r="H504" i="31"/>
  <c r="H149" i="31"/>
  <c r="H49" i="31"/>
  <c r="H61" i="31"/>
  <c r="H73" i="31"/>
  <c r="H85" i="31"/>
  <c r="H97" i="31"/>
  <c r="H109" i="31"/>
  <c r="H121" i="31"/>
  <c r="H133" i="31"/>
  <c r="H145" i="31"/>
  <c r="H157" i="31"/>
  <c r="H169" i="31"/>
  <c r="H181" i="31"/>
  <c r="H193" i="31"/>
  <c r="H205" i="31"/>
  <c r="H217" i="31"/>
  <c r="H229" i="31"/>
  <c r="H241" i="31"/>
  <c r="H253" i="31"/>
  <c r="H265" i="31"/>
  <c r="H277" i="31"/>
  <c r="H289" i="31"/>
  <c r="H301" i="31"/>
  <c r="H313" i="31"/>
  <c r="H325" i="31"/>
  <c r="H337" i="31"/>
  <c r="H349" i="31"/>
  <c r="H361" i="31"/>
  <c r="H373" i="31"/>
  <c r="H385" i="31"/>
  <c r="H397" i="31"/>
  <c r="H409" i="31"/>
  <c r="H421" i="31"/>
  <c r="H433" i="31"/>
  <c r="H445" i="31"/>
  <c r="H457" i="31"/>
  <c r="H469" i="31"/>
  <c r="H481" i="31"/>
  <c r="H493" i="31"/>
  <c r="H505" i="31"/>
  <c r="H517" i="31"/>
  <c r="H529" i="31"/>
  <c r="H541" i="31"/>
  <c r="H553" i="31"/>
  <c r="H565" i="31"/>
  <c r="H577" i="31"/>
  <c r="H589" i="31"/>
  <c r="H601" i="31"/>
  <c r="H613" i="31"/>
  <c r="H625" i="31"/>
  <c r="H637" i="31"/>
  <c r="H649" i="31"/>
  <c r="H661" i="31"/>
  <c r="H673" i="31"/>
  <c r="H685" i="31"/>
  <c r="H697" i="31"/>
  <c r="H709" i="31"/>
  <c r="H721" i="31"/>
  <c r="H733" i="31"/>
  <c r="H745" i="31"/>
  <c r="H757" i="31"/>
  <c r="H769" i="31"/>
  <c r="H781" i="31"/>
  <c r="H793" i="31"/>
  <c r="H805" i="31"/>
  <c r="H817" i="31"/>
  <c r="H829" i="31"/>
  <c r="H841" i="31"/>
  <c r="H853" i="31"/>
  <c r="H865" i="31"/>
  <c r="H877" i="31"/>
  <c r="H889" i="31"/>
  <c r="H901" i="31"/>
  <c r="H913" i="31"/>
  <c r="H925" i="31"/>
  <c r="H937" i="31"/>
  <c r="H949" i="31"/>
  <c r="H961" i="31"/>
  <c r="H973" i="31"/>
  <c r="H985" i="31"/>
  <c r="H997" i="31"/>
  <c r="H1009" i="31"/>
  <c r="H1021" i="31"/>
  <c r="H1033" i="31"/>
  <c r="H1045" i="31"/>
  <c r="H1057" i="31"/>
  <c r="H50" i="31"/>
  <c r="H62" i="31"/>
  <c r="H74" i="31"/>
  <c r="H86" i="31"/>
  <c r="H98" i="31"/>
  <c r="H110" i="31"/>
  <c r="H122" i="31"/>
  <c r="H134" i="31"/>
  <c r="H146" i="31"/>
  <c r="H158" i="31"/>
  <c r="H170" i="31"/>
  <c r="H182" i="31"/>
  <c r="H194" i="31"/>
  <c r="H206" i="31"/>
  <c r="H218" i="31"/>
  <c r="H230" i="31"/>
  <c r="H242" i="31"/>
  <c r="H254" i="31"/>
  <c r="H266" i="31"/>
  <c r="H278" i="31"/>
  <c r="H290" i="31"/>
  <c r="H302" i="31"/>
  <c r="H314" i="31"/>
  <c r="H326" i="31"/>
  <c r="H338" i="31"/>
  <c r="H350" i="31"/>
  <c r="H362" i="31"/>
  <c r="H374" i="31"/>
  <c r="H386" i="31"/>
  <c r="H398" i="31"/>
  <c r="H410" i="31"/>
  <c r="H422" i="31"/>
  <c r="H434" i="31"/>
  <c r="H446" i="31"/>
  <c r="H458" i="31"/>
  <c r="H470" i="31"/>
  <c r="H482" i="31"/>
  <c r="H494" i="31"/>
  <c r="H506" i="31"/>
  <c r="H518" i="31"/>
  <c r="H530" i="31"/>
  <c r="H542" i="31"/>
  <c r="H554" i="31"/>
  <c r="H566" i="31"/>
  <c r="H578" i="31"/>
  <c r="H590" i="31"/>
  <c r="H602" i="31"/>
  <c r="H614" i="31"/>
  <c r="H626" i="31"/>
  <c r="H638" i="31"/>
  <c r="H650" i="31"/>
  <c r="H662" i="31"/>
  <c r="H674" i="31"/>
  <c r="H686" i="31"/>
  <c r="H698" i="31"/>
  <c r="H710" i="31"/>
  <c r="H722" i="31"/>
  <c r="H734" i="31"/>
  <c r="H746" i="31"/>
  <c r="H758" i="31"/>
  <c r="H770" i="31"/>
  <c r="H782" i="31"/>
  <c r="H794" i="31"/>
  <c r="H806" i="31"/>
  <c r="H818" i="31"/>
  <c r="H830" i="31"/>
  <c r="H842" i="31"/>
  <c r="H854" i="31"/>
  <c r="H866" i="31"/>
  <c r="H878" i="31"/>
  <c r="H890" i="31"/>
  <c r="H902" i="31"/>
  <c r="H914" i="31"/>
  <c r="H926" i="31"/>
  <c r="H938" i="31"/>
  <c r="H950" i="31"/>
  <c r="H962" i="31"/>
  <c r="H974" i="31"/>
  <c r="H986" i="31"/>
  <c r="H998" i="31"/>
  <c r="H1010" i="31"/>
  <c r="H1022" i="31"/>
  <c r="H1034" i="31"/>
  <c r="H1046" i="31"/>
  <c r="H48" i="31"/>
  <c r="H64" i="31"/>
  <c r="H78" i="31"/>
  <c r="H92" i="31"/>
  <c r="H106" i="31"/>
  <c r="H120" i="31"/>
  <c r="H136" i="31"/>
  <c r="H150" i="31"/>
  <c r="H164" i="31"/>
  <c r="H178" i="31"/>
  <c r="H192" i="31"/>
  <c r="H208" i="31"/>
  <c r="H222" i="31"/>
  <c r="H236" i="31"/>
  <c r="H250" i="31"/>
  <c r="H264" i="31"/>
  <c r="H280" i="31"/>
  <c r="H294" i="31"/>
  <c r="H308" i="31"/>
  <c r="H322" i="31"/>
  <c r="H336" i="31"/>
  <c r="H352" i="31"/>
  <c r="H366" i="31"/>
  <c r="H380" i="31"/>
  <c r="H394" i="31"/>
  <c r="H408" i="31"/>
  <c r="H424" i="31"/>
  <c r="H438" i="31"/>
  <c r="H452" i="31"/>
  <c r="H466" i="31"/>
  <c r="H480" i="31"/>
  <c r="H496" i="31"/>
  <c r="H510" i="31"/>
  <c r="H524" i="31"/>
  <c r="H538" i="31"/>
  <c r="H552" i="31"/>
  <c r="H568" i="31"/>
  <c r="H582" i="31"/>
  <c r="H596" i="31"/>
  <c r="H610" i="31"/>
  <c r="H624" i="31"/>
  <c r="H640" i="31"/>
  <c r="H654" i="31"/>
  <c r="H668" i="31"/>
  <c r="H682" i="31"/>
  <c r="H696" i="31"/>
  <c r="H712" i="31"/>
  <c r="H726" i="31"/>
  <c r="H740" i="31"/>
  <c r="H754" i="31"/>
  <c r="H768" i="31"/>
  <c r="H784" i="31"/>
  <c r="H798" i="31"/>
  <c r="H812" i="31"/>
  <c r="H826" i="31"/>
  <c r="H840" i="31"/>
  <c r="H856" i="31"/>
  <c r="H870" i="31"/>
  <c r="H884" i="31"/>
  <c r="H898" i="31"/>
  <c r="H912" i="31"/>
  <c r="H928" i="31"/>
  <c r="H942" i="31"/>
  <c r="H956" i="31"/>
  <c r="H970" i="31"/>
  <c r="H984" i="31"/>
  <c r="H1000" i="31"/>
  <c r="H1014" i="31"/>
  <c r="H1028" i="31"/>
  <c r="H1042" i="31"/>
  <c r="H1056" i="31"/>
  <c r="H1069" i="31"/>
  <c r="H1081" i="31"/>
  <c r="H1093" i="31"/>
  <c r="H1105" i="31"/>
  <c r="H1117" i="31"/>
  <c r="H1129" i="31"/>
  <c r="H1141" i="31"/>
  <c r="H1153" i="31"/>
  <c r="H1165" i="31"/>
  <c r="H1177" i="31"/>
  <c r="H1189" i="31"/>
  <c r="H1201" i="31"/>
  <c r="H1213" i="31"/>
  <c r="H1225" i="31"/>
  <c r="H52" i="31"/>
  <c r="H66" i="31"/>
  <c r="H80" i="31"/>
  <c r="H94" i="31"/>
  <c r="H108" i="31"/>
  <c r="H124" i="31"/>
  <c r="H138" i="31"/>
  <c r="H152" i="31"/>
  <c r="H166" i="31"/>
  <c r="H180" i="31"/>
  <c r="H196" i="31"/>
  <c r="H210" i="31"/>
  <c r="H224" i="31"/>
  <c r="H238" i="31"/>
  <c r="H252" i="31"/>
  <c r="H268" i="31"/>
  <c r="H282" i="31"/>
  <c r="H296" i="31"/>
  <c r="H310" i="31"/>
  <c r="H324" i="31"/>
  <c r="H340" i="31"/>
  <c r="H354" i="31"/>
  <c r="H368" i="31"/>
  <c r="H382" i="31"/>
  <c r="H396" i="31"/>
  <c r="H412" i="31"/>
  <c r="H426" i="31"/>
  <c r="H440" i="31"/>
  <c r="H454" i="31"/>
  <c r="H468" i="31"/>
  <c r="H484" i="31"/>
  <c r="H498" i="31"/>
  <c r="H512" i="31"/>
  <c r="H526" i="31"/>
  <c r="H540" i="31"/>
  <c r="H556" i="31"/>
  <c r="H570" i="31"/>
  <c r="H584" i="31"/>
  <c r="H598" i="31"/>
  <c r="H612" i="31"/>
  <c r="H628" i="31"/>
  <c r="H642" i="31"/>
  <c r="H656" i="31"/>
  <c r="H670" i="31"/>
  <c r="H684" i="31"/>
  <c r="H700" i="31"/>
  <c r="H714" i="31"/>
  <c r="H728" i="31"/>
  <c r="H742" i="31"/>
  <c r="H756" i="31"/>
  <c r="H772" i="31"/>
  <c r="H786" i="31"/>
  <c r="H800" i="31"/>
  <c r="H814" i="31"/>
  <c r="H828" i="31"/>
  <c r="H844" i="31"/>
  <c r="H858" i="31"/>
  <c r="H872" i="31"/>
  <c r="H53" i="31"/>
  <c r="H69" i="31"/>
  <c r="H87" i="31"/>
  <c r="H103" i="31"/>
  <c r="H119" i="31"/>
  <c r="H139" i="31"/>
  <c r="H155" i="31"/>
  <c r="H173" i="31"/>
  <c r="H189" i="31"/>
  <c r="H207" i="31"/>
  <c r="H225" i="31"/>
  <c r="H243" i="31"/>
  <c r="H259" i="31"/>
  <c r="H275" i="31"/>
  <c r="H293" i="31"/>
  <c r="H311" i="31"/>
  <c r="H329" i="31"/>
  <c r="H345" i="31"/>
  <c r="H363" i="31"/>
  <c r="H379" i="31"/>
  <c r="H399" i="31"/>
  <c r="H415" i="31"/>
  <c r="H431" i="31"/>
  <c r="H449" i="31"/>
  <c r="H465" i="31"/>
  <c r="H485" i="31"/>
  <c r="H501" i="31"/>
  <c r="H519" i="31"/>
  <c r="H535" i="31"/>
  <c r="H551" i="31"/>
  <c r="H571" i="31"/>
  <c r="H587" i="31"/>
  <c r="H605" i="31"/>
  <c r="H621" i="31"/>
  <c r="H639" i="31"/>
  <c r="H657" i="31"/>
  <c r="H675" i="31"/>
  <c r="H691" i="31"/>
  <c r="H707" i="31"/>
  <c r="H725" i="31"/>
  <c r="H743" i="31"/>
  <c r="H761" i="31"/>
  <c r="H777" i="31"/>
  <c r="H795" i="31"/>
  <c r="H811" i="31"/>
  <c r="H831" i="31"/>
  <c r="H847" i="31"/>
  <c r="H863" i="31"/>
  <c r="H881" i="31"/>
  <c r="H896" i="31"/>
  <c r="H911" i="31"/>
  <c r="H929" i="31"/>
  <c r="H944" i="31"/>
  <c r="H959" i="31"/>
  <c r="H976" i="31"/>
  <c r="H991" i="31"/>
  <c r="H1006" i="31"/>
  <c r="H1023" i="31"/>
  <c r="H1038" i="31"/>
  <c r="H1053" i="31"/>
  <c r="H1067" i="31"/>
  <c r="H1080" i="31"/>
  <c r="H1094" i="31"/>
  <c r="H1107" i="31"/>
  <c r="H1120" i="31"/>
  <c r="H1133" i="31"/>
  <c r="H1146" i="31"/>
  <c r="H1159" i="31"/>
  <c r="H1172" i="31"/>
  <c r="H1185" i="31"/>
  <c r="H1198" i="31"/>
  <c r="H1211" i="31"/>
  <c r="H1224" i="31"/>
  <c r="H1237" i="31"/>
  <c r="H1249" i="31"/>
  <c r="H1261" i="31"/>
  <c r="H1273" i="31"/>
  <c r="H1285" i="31"/>
  <c r="H1297" i="31"/>
  <c r="H1309" i="31"/>
  <c r="H1321" i="31"/>
  <c r="H1333" i="31"/>
  <c r="H1345" i="31"/>
  <c r="H1357" i="31"/>
  <c r="H1369" i="31"/>
  <c r="H1381" i="31"/>
  <c r="H1393" i="31"/>
  <c r="H1405" i="31"/>
  <c r="H1417" i="31"/>
  <c r="H1429" i="31"/>
  <c r="H1441" i="31"/>
  <c r="H1453" i="31"/>
  <c r="H1465" i="31"/>
  <c r="H1477" i="31"/>
  <c r="H1489" i="31"/>
  <c r="H1501" i="31"/>
  <c r="H1513" i="31"/>
  <c r="H1525" i="31"/>
  <c r="H1537" i="31"/>
  <c r="H1549" i="31"/>
  <c r="H1561" i="31"/>
  <c r="H1573" i="31"/>
  <c r="H1585" i="31"/>
  <c r="H1597" i="31"/>
  <c r="H1609" i="31"/>
  <c r="H1621" i="31"/>
  <c r="H1633" i="31"/>
  <c r="H1645" i="31"/>
  <c r="H1657" i="31"/>
  <c r="H1669" i="31"/>
  <c r="H1681" i="31"/>
  <c r="H1693" i="31"/>
  <c r="H1705" i="31"/>
  <c r="H1717" i="31"/>
  <c r="H1729" i="31"/>
  <c r="H1741" i="31"/>
  <c r="H1753" i="31"/>
  <c r="H1765" i="31"/>
  <c r="H1777" i="31"/>
  <c r="H1789" i="31"/>
  <c r="H1801" i="31"/>
  <c r="H1813" i="31"/>
  <c r="H1825" i="31"/>
  <c r="H1837" i="31"/>
  <c r="H1849" i="31"/>
  <c r="H1861" i="31"/>
  <c r="H1873" i="31"/>
  <c r="H1885" i="31"/>
  <c r="H1897" i="31"/>
  <c r="H1909" i="31"/>
  <c r="H1921" i="31"/>
  <c r="H1933" i="31"/>
  <c r="H1945" i="31"/>
  <c r="H1957" i="31"/>
  <c r="H1969" i="31"/>
  <c r="H1981" i="31"/>
  <c r="H1993" i="31"/>
  <c r="H2005" i="31"/>
  <c r="H2017" i="31"/>
  <c r="H2029" i="31"/>
  <c r="H2041" i="31"/>
  <c r="H2053" i="31"/>
  <c r="H2065" i="31"/>
  <c r="H2077" i="31"/>
  <c r="H2089" i="31"/>
  <c r="H2101" i="31"/>
  <c r="H2113" i="31"/>
  <c r="H2125" i="31"/>
  <c r="H2137" i="31"/>
  <c r="H2149" i="31"/>
  <c r="H2161" i="31"/>
  <c r="H2173" i="31"/>
  <c r="H2185" i="31"/>
  <c r="H2197" i="31"/>
  <c r="H2209" i="31"/>
  <c r="H2221" i="31"/>
  <c r="H2233" i="31"/>
  <c r="H2245" i="31"/>
  <c r="H2257" i="31"/>
  <c r="H2269" i="31"/>
  <c r="H2281" i="31"/>
  <c r="H2293" i="31"/>
  <c r="H2305" i="31"/>
  <c r="H2317" i="31"/>
  <c r="H2329" i="31"/>
  <c r="H2341" i="31"/>
  <c r="H2353" i="31"/>
  <c r="H2365" i="31"/>
  <c r="H2377" i="31"/>
  <c r="H2389" i="31"/>
  <c r="H60" i="31"/>
  <c r="H79" i="31"/>
  <c r="H96" i="31"/>
  <c r="H114" i="31"/>
  <c r="H130" i="31"/>
  <c r="H148" i="31"/>
  <c r="H165" i="31"/>
  <c r="H184" i="31"/>
  <c r="H200" i="31"/>
  <c r="H216" i="31"/>
  <c r="H54" i="31"/>
  <c r="H72" i="31"/>
  <c r="H93" i="31"/>
  <c r="H115" i="31"/>
  <c r="H135" i="31"/>
  <c r="H156" i="31"/>
  <c r="H176" i="31"/>
  <c r="H198" i="31"/>
  <c r="H219" i="31"/>
  <c r="H237" i="31"/>
  <c r="H257" i="31"/>
  <c r="H274" i="31"/>
  <c r="H295" i="31"/>
  <c r="H315" i="31"/>
  <c r="H332" i="31"/>
  <c r="H351" i="31"/>
  <c r="H370" i="31"/>
  <c r="H389" i="31"/>
  <c r="H406" i="31"/>
  <c r="H427" i="31"/>
  <c r="H444" i="31"/>
  <c r="H463" i="31"/>
  <c r="H483" i="31"/>
  <c r="H502" i="31"/>
  <c r="H521" i="31"/>
  <c r="H539" i="31"/>
  <c r="H559" i="31"/>
  <c r="H576" i="31"/>
  <c r="H595" i="31"/>
  <c r="H616" i="31"/>
  <c r="H633" i="31"/>
  <c r="H652" i="31"/>
  <c r="H671" i="31"/>
  <c r="H690" i="31"/>
  <c r="H708" i="31"/>
  <c r="H729" i="31"/>
  <c r="H748" i="31"/>
  <c r="H765" i="31"/>
  <c r="H785" i="31"/>
  <c r="H803" i="31"/>
  <c r="H822" i="31"/>
  <c r="H839" i="31"/>
  <c r="H860" i="31"/>
  <c r="H879" i="31"/>
  <c r="H895" i="31"/>
  <c r="H915" i="31"/>
  <c r="H931" i="31"/>
  <c r="H947" i="31"/>
  <c r="H965" i="31"/>
  <c r="H981" i="31"/>
  <c r="H999" i="31"/>
  <c r="H1016" i="31"/>
  <c r="H1032" i="31"/>
  <c r="H1050" i="31"/>
  <c r="H1065" i="31"/>
  <c r="H1079" i="31"/>
  <c r="H1095" i="31"/>
  <c r="H1109" i="31"/>
  <c r="H1123" i="31"/>
  <c r="H1137" i="31"/>
  <c r="H1151" i="31"/>
  <c r="H1166" i="31"/>
  <c r="H1180" i="31"/>
  <c r="H1194" i="31"/>
  <c r="H1208" i="31"/>
  <c r="H1222" i="31"/>
  <c r="H1236" i="31"/>
  <c r="H1250" i="31"/>
  <c r="H1263" i="31"/>
  <c r="H1276" i="31"/>
  <c r="H1289" i="31"/>
  <c r="H1302" i="31"/>
  <c r="H1315" i="31"/>
  <c r="H1328" i="31"/>
  <c r="H1341" i="31"/>
  <c r="H1354" i="31"/>
  <c r="H1367" i="31"/>
  <c r="H1380" i="31"/>
  <c r="H1394" i="31"/>
  <c r="H1407" i="31"/>
  <c r="H1420" i="31"/>
  <c r="H1433" i="31"/>
  <c r="H1446" i="31"/>
  <c r="H1459" i="31"/>
  <c r="H1472" i="31"/>
  <c r="H1485" i="31"/>
  <c r="H1498" i="31"/>
  <c r="H1511" i="31"/>
  <c r="H1524" i="31"/>
  <c r="H1538" i="31"/>
  <c r="H1551" i="31"/>
  <c r="H1564" i="31"/>
  <c r="H1577" i="31"/>
  <c r="H1590" i="31"/>
  <c r="H1603" i="31"/>
  <c r="H1616" i="31"/>
  <c r="H1629" i="31"/>
  <c r="H1642" i="31"/>
  <c r="H1655" i="31"/>
  <c r="H1668" i="31"/>
  <c r="H1682" i="31"/>
  <c r="H1695" i="31"/>
  <c r="H1708" i="31"/>
  <c r="H1721" i="31"/>
  <c r="H1734" i="31"/>
  <c r="H1747" i="31"/>
  <c r="H1760" i="31"/>
  <c r="H1773" i="31"/>
  <c r="H1786" i="31"/>
  <c r="H1799" i="31"/>
  <c r="H1812" i="31"/>
  <c r="H1826" i="31"/>
  <c r="H1839" i="31"/>
  <c r="H1852" i="31"/>
  <c r="H1865" i="31"/>
  <c r="H1878" i="31"/>
  <c r="H1891" i="31"/>
  <c r="H1904" i="31"/>
  <c r="H1917" i="31"/>
  <c r="H1930" i="31"/>
  <c r="H1943" i="31"/>
  <c r="H1956" i="31"/>
  <c r="H1970" i="31"/>
  <c r="H1983" i="31"/>
  <c r="H1996" i="31"/>
  <c r="H2009" i="31"/>
  <c r="H2022" i="31"/>
  <c r="H2035" i="31"/>
  <c r="H2048" i="31"/>
  <c r="H2061" i="31"/>
  <c r="H2074" i="31"/>
  <c r="H2087" i="31"/>
  <c r="H2100" i="31"/>
  <c r="H2114" i="31"/>
  <c r="H2127" i="31"/>
  <c r="H2140" i="31"/>
  <c r="H2153" i="31"/>
  <c r="H2166" i="31"/>
  <c r="H2179" i="31"/>
  <c r="H2192" i="31"/>
  <c r="H2205" i="31"/>
  <c r="H2218" i="31"/>
  <c r="H2231" i="31"/>
  <c r="H2244" i="31"/>
  <c r="H2258" i="31"/>
  <c r="H2271" i="31"/>
  <c r="H2284" i="31"/>
  <c r="H2297" i="31"/>
  <c r="H2310" i="31"/>
  <c r="H2323" i="31"/>
  <c r="H2336" i="31"/>
  <c r="H2349" i="31"/>
  <c r="H2362" i="31"/>
  <c r="H2375" i="31"/>
  <c r="H2388" i="31"/>
  <c r="H2401" i="31"/>
  <c r="H2413" i="31"/>
  <c r="H2425" i="31"/>
  <c r="H2437" i="31"/>
  <c r="H2449" i="31"/>
  <c r="H2461" i="31"/>
  <c r="H2473" i="31"/>
  <c r="H2485" i="31"/>
  <c r="H2497" i="31"/>
  <c r="H2509" i="31"/>
  <c r="H2521" i="31"/>
  <c r="H2533" i="31"/>
  <c r="H2545" i="31"/>
  <c r="H2557" i="31"/>
  <c r="H2569" i="31"/>
  <c r="H2581" i="31"/>
  <c r="H2593" i="31"/>
  <c r="H2605" i="31"/>
  <c r="H2617" i="31"/>
  <c r="H2629" i="31"/>
  <c r="H2641" i="31"/>
  <c r="H2653" i="31"/>
  <c r="H2665" i="31"/>
  <c r="H2677" i="31"/>
  <c r="H2689" i="31"/>
  <c r="H2701" i="31"/>
  <c r="H2713" i="31"/>
  <c r="H2725" i="31"/>
  <c r="H2737" i="31"/>
  <c r="H2749" i="31"/>
  <c r="H2761" i="31"/>
  <c r="H2773" i="31"/>
  <c r="H2785" i="31"/>
  <c r="H2797" i="31"/>
  <c r="H2809" i="31"/>
  <c r="H2821" i="31"/>
  <c r="H2833" i="31"/>
  <c r="H2845" i="31"/>
  <c r="H2857" i="31"/>
  <c r="H2869" i="31"/>
  <c r="H2881" i="31"/>
  <c r="H2893" i="31"/>
  <c r="H2905" i="31"/>
  <c r="H2917" i="31"/>
  <c r="H2929" i="31"/>
  <c r="H2941" i="31"/>
  <c r="H2953" i="31"/>
  <c r="H2965" i="31"/>
  <c r="H2977" i="31"/>
  <c r="H2989" i="31"/>
  <c r="H3001" i="31"/>
  <c r="H3013" i="31"/>
  <c r="H3025" i="31"/>
  <c r="H3037" i="31"/>
  <c r="H3049" i="31"/>
  <c r="H3061" i="31"/>
  <c r="H3073" i="31"/>
  <c r="H3085" i="31"/>
  <c r="H3097" i="31"/>
  <c r="H3109" i="31"/>
  <c r="H3121" i="31"/>
  <c r="H3133" i="31"/>
  <c r="H3145" i="31"/>
  <c r="H3157" i="31"/>
  <c r="H3169" i="31"/>
  <c r="H3181" i="31"/>
  <c r="H3193" i="31"/>
  <c r="H3205" i="31"/>
  <c r="H3217" i="31"/>
  <c r="H3229" i="31"/>
  <c r="H3241" i="31"/>
  <c r="H3253" i="31"/>
  <c r="H3265" i="31"/>
  <c r="H3277" i="31"/>
  <c r="H3289" i="31"/>
  <c r="H3301" i="31"/>
  <c r="H3313" i="31"/>
  <c r="H3325" i="31"/>
  <c r="H3337" i="31"/>
  <c r="H3349" i="31"/>
  <c r="H3361" i="31"/>
  <c r="H3373" i="31"/>
  <c r="H3385" i="31"/>
  <c r="H3397" i="31"/>
  <c r="H3409" i="31"/>
  <c r="H3421" i="31"/>
  <c r="H3433" i="31"/>
  <c r="H3445" i="31"/>
  <c r="H3457" i="31"/>
  <c r="H3469" i="31"/>
  <c r="H3481" i="31"/>
  <c r="H3493" i="31"/>
  <c r="H3505" i="31"/>
  <c r="H3517" i="31"/>
  <c r="H3529" i="31"/>
  <c r="H3541" i="31"/>
  <c r="H3553" i="31"/>
  <c r="H3565" i="31"/>
  <c r="H3577" i="31"/>
  <c r="H3589" i="31"/>
  <c r="H3601" i="31"/>
  <c r="H3613" i="31"/>
  <c r="H3625" i="31"/>
  <c r="H3637" i="31"/>
  <c r="H3649" i="31"/>
  <c r="H3661" i="31"/>
  <c r="H3673" i="31"/>
  <c r="H3685" i="31"/>
  <c r="H3697" i="31"/>
  <c r="H3709" i="31"/>
  <c r="H3721" i="31"/>
  <c r="H3733" i="31"/>
  <c r="H3745" i="31"/>
  <c r="H3757" i="31"/>
  <c r="H3769" i="31"/>
  <c r="H3781" i="31"/>
  <c r="H3793" i="31"/>
  <c r="H3805" i="31"/>
  <c r="H3817" i="31"/>
  <c r="H3829" i="31"/>
  <c r="H3841" i="31"/>
  <c r="H3853" i="31"/>
  <c r="H3865" i="31"/>
  <c r="H3877" i="31"/>
  <c r="H3889" i="31"/>
  <c r="H3901" i="31"/>
  <c r="H3913" i="31"/>
  <c r="H3925" i="31"/>
  <c r="H3937" i="31"/>
  <c r="H3949" i="31"/>
  <c r="H3961" i="31"/>
  <c r="H3973" i="31"/>
  <c r="H3985" i="31"/>
  <c r="H3997" i="31"/>
  <c r="H4009" i="31"/>
  <c r="H4021" i="31"/>
  <c r="H4033" i="31"/>
  <c r="H4045" i="31"/>
  <c r="H4057" i="31"/>
  <c r="H4069" i="31"/>
  <c r="H4081" i="31"/>
  <c r="H4093" i="31"/>
  <c r="H4105" i="31"/>
  <c r="H4117" i="31"/>
  <c r="H4129" i="31"/>
  <c r="H4141" i="31"/>
  <c r="H4153" i="31"/>
  <c r="H4165" i="31"/>
  <c r="H4177" i="31"/>
  <c r="H4189" i="31"/>
  <c r="H4201" i="31"/>
  <c r="H4213" i="31"/>
  <c r="H4225" i="31"/>
  <c r="H4237" i="31"/>
  <c r="H4249" i="31"/>
  <c r="H4261" i="31"/>
  <c r="H4273" i="31"/>
  <c r="H4285" i="31"/>
  <c r="H4297" i="31"/>
  <c r="H4309" i="31"/>
  <c r="H4321" i="31"/>
  <c r="H4333" i="31"/>
  <c r="H4345" i="31"/>
  <c r="H4357" i="31"/>
  <c r="H4369" i="31"/>
  <c r="H4381" i="31"/>
  <c r="H4393" i="31"/>
  <c r="H4405" i="31"/>
  <c r="H4417" i="31"/>
  <c r="H4429" i="31"/>
  <c r="H4441" i="31"/>
  <c r="H4453" i="31"/>
  <c r="H4465" i="31"/>
  <c r="H4477" i="31"/>
  <c r="H4489" i="31"/>
  <c r="H4501" i="31"/>
  <c r="H4513" i="31"/>
  <c r="H4525" i="31"/>
  <c r="H4537" i="31"/>
  <c r="H4549" i="31"/>
  <c r="H4561" i="31"/>
  <c r="H4573" i="31"/>
  <c r="H4585" i="31"/>
  <c r="H4597" i="31"/>
  <c r="H4609" i="31"/>
  <c r="H4621" i="31"/>
  <c r="H51" i="31"/>
  <c r="H75" i="31"/>
  <c r="H99" i="31"/>
  <c r="H118" i="31"/>
  <c r="H142" i="31"/>
  <c r="H163" i="31"/>
  <c r="H187" i="31"/>
  <c r="H211" i="31"/>
  <c r="H232" i="31"/>
  <c r="H251" i="31"/>
  <c r="H272" i="31"/>
  <c r="H292" i="31"/>
  <c r="H316" i="31"/>
  <c r="H334" i="31"/>
  <c r="H356" i="31"/>
  <c r="H376" i="31"/>
  <c r="H395" i="31"/>
  <c r="H417" i="31"/>
  <c r="H437" i="31"/>
  <c r="H459" i="31"/>
  <c r="H477" i="31"/>
  <c r="H499" i="31"/>
  <c r="H520" i="31"/>
  <c r="H543" i="31"/>
  <c r="H561" i="31"/>
  <c r="H581" i="31"/>
  <c r="H603" i="31"/>
  <c r="H622" i="31"/>
  <c r="H644" i="31"/>
  <c r="H664" i="31"/>
  <c r="H683" i="31"/>
  <c r="H704" i="31"/>
  <c r="H724" i="31"/>
  <c r="H747" i="31"/>
  <c r="H766" i="31"/>
  <c r="H788" i="31"/>
  <c r="H808" i="31"/>
  <c r="H827" i="31"/>
  <c r="H849" i="31"/>
  <c r="H869" i="31"/>
  <c r="H888" i="31"/>
  <c r="H907" i="31"/>
  <c r="H924" i="31"/>
  <c r="H945" i="31"/>
  <c r="H964" i="31"/>
  <c r="H982" i="31"/>
  <c r="H1002" i="31"/>
  <c r="H1019" i="31"/>
  <c r="H1039" i="31"/>
  <c r="H1058" i="31"/>
  <c r="H1073" i="31"/>
  <c r="H1088" i="31"/>
  <c r="H1103" i="31"/>
  <c r="H1119" i="31"/>
  <c r="H1135" i="31"/>
  <c r="H1150" i="31"/>
  <c r="H1167" i="31"/>
  <c r="H1182" i="31"/>
  <c r="H1197" i="31"/>
  <c r="H1214" i="31"/>
  <c r="H1229" i="31"/>
  <c r="H1243" i="31"/>
  <c r="H1257" i="31"/>
  <c r="H1271" i="31"/>
  <c r="H1286" i="31"/>
  <c r="H1300" i="31"/>
  <c r="H1314" i="31"/>
  <c r="H1329" i="31"/>
  <c r="H1343" i="31"/>
  <c r="H1358" i="31"/>
  <c r="H1372" i="31"/>
  <c r="H1386" i="31"/>
  <c r="H1400" i="31"/>
  <c r="H1414" i="31"/>
  <c r="H1428" i="31"/>
  <c r="H1443" i="31"/>
  <c r="H1457" i="31"/>
  <c r="H1471" i="31"/>
  <c r="H1486" i="31"/>
  <c r="H1500" i="31"/>
  <c r="H1515" i="31"/>
  <c r="H1529" i="31"/>
  <c r="H1543" i="31"/>
  <c r="H1557" i="31"/>
  <c r="H1571" i="31"/>
  <c r="H1586" i="31"/>
  <c r="H1600" i="31"/>
  <c r="H1614" i="31"/>
  <c r="H1628" i="31"/>
  <c r="H1643" i="31"/>
  <c r="H1658" i="31"/>
  <c r="H1672" i="31"/>
  <c r="H1686" i="31"/>
  <c r="H1700" i="31"/>
  <c r="H1714" i="31"/>
  <c r="H1728" i="31"/>
  <c r="H1743" i="31"/>
  <c r="H1757" i="31"/>
  <c r="H1771" i="31"/>
  <c r="H1785" i="31"/>
  <c r="H1800" i="31"/>
  <c r="H1815" i="31"/>
  <c r="H1829" i="31"/>
  <c r="H56" i="31"/>
  <c r="H77" i="31"/>
  <c r="H101" i="31"/>
  <c r="H125" i="31"/>
  <c r="H144" i="31"/>
  <c r="H168" i="31"/>
  <c r="H190" i="31"/>
  <c r="H213" i="31"/>
  <c r="H234" i="31"/>
  <c r="H256" i="31"/>
  <c r="H276" i="31"/>
  <c r="H298" i="31"/>
  <c r="H318" i="31"/>
  <c r="H339" i="31"/>
  <c r="H358" i="31"/>
  <c r="H378" i="31"/>
  <c r="H401" i="31"/>
  <c r="H419" i="31"/>
  <c r="H441" i="31"/>
  <c r="H461" i="31"/>
  <c r="H479" i="31"/>
  <c r="H503" i="31"/>
  <c r="H523" i="31"/>
  <c r="H545" i="31"/>
  <c r="H563" i="31"/>
  <c r="H585" i="31"/>
  <c r="H606" i="31"/>
  <c r="H627" i="31"/>
  <c r="H646" i="31"/>
  <c r="H666" i="31"/>
  <c r="H688" i="31"/>
  <c r="H706" i="31"/>
  <c r="H730" i="31"/>
  <c r="H750" i="31"/>
  <c r="H771" i="31"/>
  <c r="H790" i="31"/>
  <c r="H810" i="31"/>
  <c r="H833" i="31"/>
  <c r="H851" i="31"/>
  <c r="H873" i="31"/>
  <c r="H892" i="31"/>
  <c r="H909" i="31"/>
  <c r="H930" i="31"/>
  <c r="H948" i="31"/>
  <c r="H967" i="31"/>
  <c r="H987" i="31"/>
  <c r="H1004" i="31"/>
  <c r="H1024" i="31"/>
  <c r="H1041" i="31"/>
  <c r="H1060" i="31"/>
  <c r="H1075" i="31"/>
  <c r="H1090" i="31"/>
  <c r="H1106" i="31"/>
  <c r="H1122" i="31"/>
  <c r="H1138" i="31"/>
  <c r="H1154" i="31"/>
  <c r="H1169" i="31"/>
  <c r="H1184" i="31"/>
  <c r="H1200" i="31"/>
  <c r="H1216" i="31"/>
  <c r="H1231" i="31"/>
  <c r="H1245" i="31"/>
  <c r="H1259" i="31"/>
  <c r="H1274" i="31"/>
  <c r="H1288" i="31"/>
  <c r="H1303" i="31"/>
  <c r="H1317" i="31"/>
  <c r="H1331" i="31"/>
  <c r="H1346" i="31"/>
  <c r="H1360" i="31"/>
  <c r="H1374" i="31"/>
  <c r="H1388" i="31"/>
  <c r="H1402" i="31"/>
  <c r="H1416" i="31"/>
  <c r="H1431" i="31"/>
  <c r="H1445" i="31"/>
  <c r="H1460" i="31"/>
  <c r="H1474" i="31"/>
  <c r="H1488" i="31"/>
  <c r="H1503" i="31"/>
  <c r="H1517" i="31"/>
  <c r="H1531" i="31"/>
  <c r="H1545" i="31"/>
  <c r="H1559" i="31"/>
  <c r="H1574" i="31"/>
  <c r="H55" i="31"/>
  <c r="H82" i="31"/>
  <c r="H107" i="31"/>
  <c r="H132" i="31"/>
  <c r="H161" i="31"/>
  <c r="H188" i="31"/>
  <c r="H215" i="31"/>
  <c r="H244" i="31"/>
  <c r="H267" i="31"/>
  <c r="H288" i="31"/>
  <c r="H317" i="31"/>
  <c r="H342" i="31"/>
  <c r="H365" i="31"/>
  <c r="H390" i="31"/>
  <c r="H414" i="31"/>
  <c r="H439" i="31"/>
  <c r="H464" i="31"/>
  <c r="H489" i="31"/>
  <c r="H513" i="31"/>
  <c r="H536" i="31"/>
  <c r="H562" i="31"/>
  <c r="H588" i="31"/>
  <c r="H611" i="31"/>
  <c r="H635" i="31"/>
  <c r="H660" i="31"/>
  <c r="H687" i="31"/>
  <c r="H713" i="31"/>
  <c r="H736" i="31"/>
  <c r="H760" i="31"/>
  <c r="H783" i="31"/>
  <c r="H809" i="31"/>
  <c r="H835" i="31"/>
  <c r="H859" i="31"/>
  <c r="H883" i="31"/>
  <c r="H905" i="31"/>
  <c r="H927" i="31"/>
  <c r="H952" i="31"/>
  <c r="H972" i="31"/>
  <c r="H994" i="31"/>
  <c r="H1017" i="31"/>
  <c r="H1040" i="31"/>
  <c r="H1062" i="31"/>
  <c r="H1082" i="31"/>
  <c r="H1099" i="31"/>
  <c r="H1116" i="31"/>
  <c r="H1136" i="31"/>
  <c r="H1156" i="31"/>
  <c r="H1174" i="31"/>
  <c r="H1192" i="31"/>
  <c r="H1210" i="31"/>
  <c r="H1230" i="31"/>
  <c r="H1247" i="31"/>
  <c r="H1265" i="31"/>
  <c r="H1281" i="31"/>
  <c r="H1298" i="31"/>
  <c r="H1316" i="31"/>
  <c r="H1334" i="31"/>
  <c r="H1350" i="31"/>
  <c r="H1366" i="31"/>
  <c r="H1384" i="31"/>
  <c r="H1401" i="31"/>
  <c r="H1419" i="31"/>
  <c r="H1436" i="31"/>
  <c r="H1452" i="31"/>
  <c r="H1469" i="31"/>
  <c r="H1487" i="31"/>
  <c r="H1505" i="31"/>
  <c r="H1521" i="31"/>
  <c r="H1539" i="31"/>
  <c r="H1555" i="31"/>
  <c r="H1572" i="31"/>
  <c r="H1589" i="31"/>
  <c r="H1605" i="31"/>
  <c r="H1620" i="31"/>
  <c r="H1636" i="31"/>
  <c r="H1651" i="31"/>
  <c r="H1666" i="31"/>
  <c r="H1683" i="31"/>
  <c r="H1698" i="31"/>
  <c r="H1713" i="31"/>
  <c r="H1730" i="31"/>
  <c r="H1745" i="31"/>
  <c r="H1761" i="31"/>
  <c r="H1776" i="31"/>
  <c r="H1792" i="31"/>
  <c r="H1807" i="31"/>
  <c r="H1822" i="31"/>
  <c r="H1838" i="31"/>
  <c r="H1853" i="31"/>
  <c r="H1867" i="31"/>
  <c r="H1881" i="31"/>
  <c r="H1895" i="31"/>
  <c r="H1910" i="31"/>
  <c r="H1924" i="31"/>
  <c r="H1938" i="31"/>
  <c r="H1952" i="31"/>
  <c r="H1966" i="31"/>
  <c r="H1980" i="31"/>
  <c r="H1995" i="31"/>
  <c r="H2010" i="31"/>
  <c r="H2024" i="31"/>
  <c r="H2038" i="31"/>
  <c r="H2052" i="31"/>
  <c r="H2067" i="31"/>
  <c r="H2081" i="31"/>
  <c r="H2095" i="31"/>
  <c r="H2109" i="31"/>
  <c r="H2123" i="31"/>
  <c r="H2138" i="31"/>
  <c r="H2152" i="31"/>
  <c r="H2167" i="31"/>
  <c r="H2181" i="31"/>
  <c r="H2195" i="31"/>
  <c r="H2210" i="31"/>
  <c r="H2224" i="31"/>
  <c r="H2238" i="31"/>
  <c r="H2252" i="31"/>
  <c r="H2266" i="31"/>
  <c r="H2280" i="31"/>
  <c r="H2295" i="31"/>
  <c r="H2309" i="31"/>
  <c r="H2324" i="31"/>
  <c r="H2338" i="31"/>
  <c r="H2352" i="31"/>
  <c r="H2367" i="31"/>
  <c r="H2381" i="31"/>
  <c r="H2395" i="31"/>
  <c r="H2408" i="31"/>
  <c r="H2421" i="31"/>
  <c r="H2434" i="31"/>
  <c r="H2447" i="31"/>
  <c r="H2460" i="31"/>
  <c r="H2474" i="31"/>
  <c r="H2487" i="31"/>
  <c r="H2500" i="31"/>
  <c r="H2513" i="31"/>
  <c r="H2526" i="31"/>
  <c r="H2539" i="31"/>
  <c r="H2552" i="31"/>
  <c r="H2565" i="31"/>
  <c r="H2578" i="31"/>
  <c r="H2591" i="31"/>
  <c r="H2604" i="31"/>
  <c r="H2618" i="31"/>
  <c r="H2631" i="31"/>
  <c r="H2644" i="31"/>
  <c r="H2657" i="31"/>
  <c r="H2670" i="31"/>
  <c r="H2683" i="31"/>
  <c r="H2696" i="31"/>
  <c r="H2709" i="31"/>
  <c r="H2722" i="31"/>
  <c r="H2735" i="31"/>
  <c r="H2748" i="31"/>
  <c r="H2762" i="31"/>
  <c r="H2775" i="31"/>
  <c r="H2788" i="31"/>
  <c r="H2801" i="31"/>
  <c r="H2814" i="31"/>
  <c r="H2827" i="31"/>
  <c r="H2840" i="31"/>
  <c r="H2853" i="31"/>
  <c r="H2866" i="31"/>
  <c r="H2879" i="31"/>
  <c r="H2892" i="31"/>
  <c r="H57" i="31"/>
  <c r="H83" i="31"/>
  <c r="H111" i="31"/>
  <c r="H137" i="31"/>
  <c r="H162" i="31"/>
  <c r="H191" i="31"/>
  <c r="H220" i="31"/>
  <c r="H245" i="31"/>
  <c r="H269" i="31"/>
  <c r="H291" i="31"/>
  <c r="H319" i="31"/>
  <c r="H343" i="31"/>
  <c r="H367" i="31"/>
  <c r="H391" i="31"/>
  <c r="H416" i="31"/>
  <c r="H442" i="31"/>
  <c r="H467" i="31"/>
  <c r="H490" i="31"/>
  <c r="H514" i="31"/>
  <c r="H537" i="31"/>
  <c r="H564" i="31"/>
  <c r="H591" i="31"/>
  <c r="H615" i="31"/>
  <c r="H636" i="31"/>
  <c r="H663" i="31"/>
  <c r="H689" i="31"/>
  <c r="H715" i="31"/>
  <c r="H737" i="31"/>
  <c r="H762" i="31"/>
  <c r="H787" i="31"/>
  <c r="H813" i="31"/>
  <c r="H836" i="31"/>
  <c r="H861" i="31"/>
  <c r="H885" i="31"/>
  <c r="H906" i="31"/>
  <c r="H932" i="31"/>
  <c r="H953" i="31"/>
  <c r="H975" i="31"/>
  <c r="H995" i="31"/>
  <c r="H1018" i="31"/>
  <c r="H1043" i="31"/>
  <c r="H1063" i="31"/>
  <c r="H1083" i="31"/>
  <c r="H1100" i="31"/>
  <c r="H1118" i="31"/>
  <c r="H1139" i="31"/>
  <c r="H1157" i="31"/>
  <c r="H1175" i="31"/>
  <c r="H1193" i="31"/>
  <c r="H1212" i="31"/>
  <c r="H1232" i="31"/>
  <c r="H1248" i="31"/>
  <c r="H1266" i="31"/>
  <c r="H1282" i="31"/>
  <c r="H1299" i="31"/>
  <c r="H1318" i="31"/>
  <c r="H1335" i="31"/>
  <c r="H1351" i="31"/>
  <c r="H1368" i="31"/>
  <c r="H1385" i="31"/>
  <c r="H1403" i="31"/>
  <c r="H1421" i="31"/>
  <c r="H1437" i="31"/>
  <c r="H1454" i="31"/>
  <c r="H1470" i="31"/>
  <c r="H1490" i="31"/>
  <c r="H1506" i="31"/>
  <c r="H1522" i="31"/>
  <c r="H1540" i="31"/>
  <c r="H1556" i="31"/>
  <c r="H1575" i="31"/>
  <c r="H1591" i="31"/>
  <c r="H1606" i="31"/>
  <c r="H1622" i="31"/>
  <c r="H1637" i="31"/>
  <c r="H1652" i="31"/>
  <c r="H1667" i="31"/>
  <c r="H1684" i="31"/>
  <c r="H1699" i="31"/>
  <c r="H1715" i="31"/>
  <c r="H1731" i="31"/>
  <c r="H1746" i="31"/>
  <c r="H1762" i="31"/>
  <c r="H1778" i="31"/>
  <c r="H1793" i="31"/>
  <c r="H1808" i="31"/>
  <c r="H1823" i="31"/>
  <c r="H1840" i="31"/>
  <c r="H1854" i="31"/>
  <c r="H1868" i="31"/>
  <c r="H1882" i="31"/>
  <c r="H1896" i="31"/>
  <c r="H1911" i="31"/>
  <c r="H1925" i="31"/>
  <c r="H1939" i="31"/>
  <c r="H1953" i="31"/>
  <c r="H1967" i="31"/>
  <c r="H1982" i="31"/>
  <c r="H1997" i="31"/>
  <c r="H2011" i="31"/>
  <c r="H2025" i="31"/>
  <c r="H2039" i="31"/>
  <c r="H2054" i="31"/>
  <c r="H2068" i="31"/>
  <c r="H2082" i="31"/>
  <c r="H2096" i="31"/>
  <c r="H2110" i="31"/>
  <c r="H2124" i="31"/>
  <c r="H2139" i="31"/>
  <c r="H2154" i="31"/>
  <c r="H2168" i="31"/>
  <c r="H2182" i="31"/>
  <c r="H2196" i="31"/>
  <c r="H2211" i="31"/>
  <c r="H2225" i="31"/>
  <c r="H2239" i="31"/>
  <c r="H2253" i="31"/>
  <c r="H2267" i="31"/>
  <c r="H2282" i="31"/>
  <c r="H2296" i="31"/>
  <c r="H2311" i="31"/>
  <c r="H2325" i="31"/>
  <c r="H2339" i="31"/>
  <c r="H2354" i="31"/>
  <c r="H2368" i="31"/>
  <c r="H2382" i="31"/>
  <c r="H2396" i="31"/>
  <c r="H2409" i="31"/>
  <c r="H2422" i="31"/>
  <c r="H2435" i="31"/>
  <c r="H2448" i="31"/>
  <c r="H2462" i="31"/>
  <c r="H2475" i="31"/>
  <c r="H2488" i="31"/>
  <c r="H2501" i="31"/>
  <c r="H2514" i="31"/>
  <c r="H2527" i="31"/>
  <c r="H2540" i="31"/>
  <c r="H2553" i="31"/>
  <c r="H2566" i="31"/>
  <c r="H2579" i="31"/>
  <c r="H2592" i="31"/>
  <c r="H2606" i="31"/>
  <c r="H2619" i="31"/>
  <c r="H2632" i="31"/>
  <c r="H2645" i="31"/>
  <c r="H2658" i="31"/>
  <c r="H2671" i="31"/>
  <c r="H2684" i="31"/>
  <c r="H2697" i="31"/>
  <c r="H2710" i="31"/>
  <c r="H2723" i="31"/>
  <c r="H2736" i="31"/>
  <c r="H2750" i="31"/>
  <c r="H2763" i="31"/>
  <c r="H2776" i="31"/>
  <c r="H2789" i="31"/>
  <c r="H2802" i="31"/>
  <c r="H2815" i="31"/>
  <c r="H2828" i="31"/>
  <c r="H2841" i="31"/>
  <c r="H2854" i="31"/>
  <c r="H2867" i="31"/>
  <c r="H2880" i="31"/>
  <c r="H2894" i="31"/>
  <c r="H2907" i="31"/>
  <c r="H2920" i="31"/>
  <c r="H2933" i="31"/>
  <c r="H2946" i="31"/>
  <c r="H2959" i="31"/>
  <c r="H2972" i="31"/>
  <c r="H2985" i="31"/>
  <c r="H2998" i="31"/>
  <c r="H3011" i="31"/>
  <c r="H3024" i="31"/>
  <c r="H3038" i="31"/>
  <c r="H3051" i="31"/>
  <c r="H3064" i="31"/>
  <c r="H58" i="31"/>
  <c r="H84" i="31"/>
  <c r="H112" i="31"/>
  <c r="H140" i="31"/>
  <c r="H167" i="31"/>
  <c r="H195" i="31"/>
  <c r="H221" i="31"/>
  <c r="H246" i="31"/>
  <c r="H270" i="31"/>
  <c r="H297" i="31"/>
  <c r="H320" i="31"/>
  <c r="H344" i="31"/>
  <c r="H369" i="31"/>
  <c r="H392" i="31"/>
  <c r="H418" i="31"/>
  <c r="H443" i="31"/>
  <c r="H471" i="31"/>
  <c r="H491" i="31"/>
  <c r="H515" i="31"/>
  <c r="H544" i="31"/>
  <c r="H567" i="31"/>
  <c r="H592" i="31"/>
  <c r="H617" i="31"/>
  <c r="H641" i="31"/>
  <c r="H665" i="31"/>
  <c r="H692" i="31"/>
  <c r="H716" i="31"/>
  <c r="H738" i="31"/>
  <c r="H763" i="31"/>
  <c r="H789" i="31"/>
  <c r="H815" i="31"/>
  <c r="H837" i="31"/>
  <c r="H862" i="31"/>
  <c r="H886" i="31"/>
  <c r="H908" i="31"/>
  <c r="H933" i="31"/>
  <c r="H954" i="31"/>
  <c r="H977" i="31"/>
  <c r="H996" i="31"/>
  <c r="H1020" i="31"/>
  <c r="H1044" i="31"/>
  <c r="H1064" i="31"/>
  <c r="H1084" i="31"/>
  <c r="H1101" i="31"/>
  <c r="H1121" i="31"/>
  <c r="H1140" i="31"/>
  <c r="H1158" i="31"/>
  <c r="H1176" i="31"/>
  <c r="H1195" i="31"/>
  <c r="H1215" i="31"/>
  <c r="H1233" i="31"/>
  <c r="H1251" i="31"/>
  <c r="H1267" i="31"/>
  <c r="H1283" i="31"/>
  <c r="H1301" i="31"/>
  <c r="H1319" i="31"/>
  <c r="H1336" i="31"/>
  <c r="H1352" i="31"/>
  <c r="H1370" i="31"/>
  <c r="H1387" i="31"/>
  <c r="H1404" i="31"/>
  <c r="H1422" i="31"/>
  <c r="H1438" i="31"/>
  <c r="H1455" i="31"/>
  <c r="H1473" i="31"/>
  <c r="H1491" i="31"/>
  <c r="H1507" i="31"/>
  <c r="H1523" i="31"/>
  <c r="H1541" i="31"/>
  <c r="H1558" i="31"/>
  <c r="H1576" i="31"/>
  <c r="H1592" i="31"/>
  <c r="H1607" i="31"/>
  <c r="H1623" i="31"/>
  <c r="H1638" i="31"/>
  <c r="H1653" i="31"/>
  <c r="H1670" i="31"/>
  <c r="H1685" i="31"/>
  <c r="H1701" i="31"/>
  <c r="H1716" i="31"/>
  <c r="H1732" i="31"/>
  <c r="H1748" i="31"/>
  <c r="H1763" i="31"/>
  <c r="H1779" i="31"/>
  <c r="H1794" i="31"/>
  <c r="H1809" i="31"/>
  <c r="H1824" i="31"/>
  <c r="H1841" i="31"/>
  <c r="H1855" i="31"/>
  <c r="H1869" i="31"/>
  <c r="H1883" i="31"/>
  <c r="H1898" i="31"/>
  <c r="H1912" i="31"/>
  <c r="H1926" i="31"/>
  <c r="H1940" i="31"/>
  <c r="H1954" i="31"/>
  <c r="H1968" i="31"/>
  <c r="H1984" i="31"/>
  <c r="H1998" i="31"/>
  <c r="H2012" i="31"/>
  <c r="H2026" i="31"/>
  <c r="H2040" i="31"/>
  <c r="H2055" i="31"/>
  <c r="H2069" i="31"/>
  <c r="H2083" i="31"/>
  <c r="H2097" i="31"/>
  <c r="H2111" i="31"/>
  <c r="H2126" i="31"/>
  <c r="H2141" i="31"/>
  <c r="H2155" i="31"/>
  <c r="H2169" i="31"/>
  <c r="H2183" i="31"/>
  <c r="H2198" i="31"/>
  <c r="H2212" i="31"/>
  <c r="H2226" i="31"/>
  <c r="H2240" i="31"/>
  <c r="H2254" i="31"/>
  <c r="H2268" i="31"/>
  <c r="H2283" i="31"/>
  <c r="H2298" i="31"/>
  <c r="H2312" i="31"/>
  <c r="H2326" i="31"/>
  <c r="H2340" i="31"/>
  <c r="H2355" i="31"/>
  <c r="H2369" i="31"/>
  <c r="H2383" i="31"/>
  <c r="H2397" i="31"/>
  <c r="H2410" i="31"/>
  <c r="H2423" i="31"/>
  <c r="H2436" i="31"/>
  <c r="H2450" i="31"/>
  <c r="H2463" i="31"/>
  <c r="H2476" i="31"/>
  <c r="H2489" i="31"/>
  <c r="H2502" i="31"/>
  <c r="H2515" i="31"/>
  <c r="H2528" i="31"/>
  <c r="H2541" i="31"/>
  <c r="H2554" i="31"/>
  <c r="H2567" i="31"/>
  <c r="H2580" i="31"/>
  <c r="H2594" i="31"/>
  <c r="H2607" i="31"/>
  <c r="H2620" i="31"/>
  <c r="H2633" i="31"/>
  <c r="H2646" i="31"/>
  <c r="H2659" i="31"/>
  <c r="H2672" i="31"/>
  <c r="H2685" i="31"/>
  <c r="H2698" i="31"/>
  <c r="H2711" i="31"/>
  <c r="H2724" i="31"/>
  <c r="H2738" i="31"/>
  <c r="H2751" i="31"/>
  <c r="H2764" i="31"/>
  <c r="H2777" i="31"/>
  <c r="H2790" i="31"/>
  <c r="H2803" i="31"/>
  <c r="H2816" i="31"/>
  <c r="H2829" i="31"/>
  <c r="H2842" i="31"/>
  <c r="H2855" i="31"/>
  <c r="H2868" i="31"/>
  <c r="H2882" i="31"/>
  <c r="H2895" i="31"/>
  <c r="H2908" i="31"/>
  <c r="H2921" i="31"/>
  <c r="H2934" i="31"/>
  <c r="H2947" i="31"/>
  <c r="H2960" i="31"/>
  <c r="H59" i="31"/>
  <c r="H91" i="31"/>
  <c r="H128" i="31"/>
  <c r="H171" i="31"/>
  <c r="H202" i="31"/>
  <c r="H235" i="31"/>
  <c r="H271" i="31"/>
  <c r="H304" i="31"/>
  <c r="H333" i="31"/>
  <c r="H371" i="31"/>
  <c r="H403" i="31"/>
  <c r="H432" i="31"/>
  <c r="H472" i="31"/>
  <c r="H500" i="31"/>
  <c r="H532" i="31"/>
  <c r="H569" i="31"/>
  <c r="H599" i="31"/>
  <c r="H631" i="31"/>
  <c r="H667" i="31"/>
  <c r="H699" i="31"/>
  <c r="H731" i="31"/>
  <c r="H764" i="31"/>
  <c r="H797" i="31"/>
  <c r="H825" i="31"/>
  <c r="H864" i="31"/>
  <c r="H894" i="31"/>
  <c r="H921" i="31"/>
  <c r="H955" i="31"/>
  <c r="H983" i="31"/>
  <c r="H1012" i="31"/>
  <c r="H1047" i="31"/>
  <c r="H1071" i="31"/>
  <c r="H1096" i="31"/>
  <c r="H1124" i="31"/>
  <c r="H1145" i="31"/>
  <c r="H1170" i="31"/>
  <c r="H1196" i="31"/>
  <c r="H1220" i="31"/>
  <c r="H1242" i="31"/>
  <c r="H1268" i="31"/>
  <c r="H1291" i="31"/>
  <c r="H1311" i="31"/>
  <c r="H1337" i="31"/>
  <c r="H1359" i="31"/>
  <c r="H1379" i="31"/>
  <c r="H1406" i="31"/>
  <c r="H1426" i="31"/>
  <c r="H1449" i="31"/>
  <c r="H1475" i="31"/>
  <c r="H1495" i="31"/>
  <c r="H1518" i="31"/>
  <c r="H1542" i="31"/>
  <c r="H1565" i="31"/>
  <c r="H1584" i="31"/>
  <c r="H1608" i="31"/>
  <c r="H1627" i="31"/>
  <c r="H1648" i="31"/>
  <c r="H1671" i="31"/>
  <c r="H1690" i="31"/>
  <c r="H1710" i="31"/>
  <c r="H1733" i="31"/>
  <c r="H1752" i="31"/>
  <c r="H1772" i="31"/>
  <c r="H1795" i="31"/>
  <c r="H1816" i="31"/>
  <c r="H1834" i="31"/>
  <c r="H1856" i="31"/>
  <c r="H1874" i="31"/>
  <c r="H1892" i="31"/>
  <c r="H1913" i="31"/>
  <c r="H1931" i="31"/>
  <c r="H1949" i="31"/>
  <c r="H1971" i="31"/>
  <c r="H1988" i="31"/>
  <c r="H2006" i="31"/>
  <c r="H2027" i="31"/>
  <c r="H2045" i="31"/>
  <c r="H2063" i="31"/>
  <c r="H2084" i="31"/>
  <c r="H2103" i="31"/>
  <c r="H2120" i="31"/>
  <c r="H2142" i="31"/>
  <c r="H2159" i="31"/>
  <c r="H2177" i="31"/>
  <c r="H2199" i="31"/>
  <c r="H2216" i="31"/>
  <c r="H2235" i="31"/>
  <c r="H2255" i="31"/>
  <c r="H2274" i="31"/>
  <c r="H2291" i="31"/>
  <c r="H2313" i="31"/>
  <c r="H2331" i="31"/>
  <c r="H2348" i="31"/>
  <c r="H2370" i="31"/>
  <c r="H2387" i="31"/>
  <c r="H2405" i="31"/>
  <c r="H2424" i="31"/>
  <c r="H2441" i="31"/>
  <c r="H2457" i="31"/>
  <c r="H2477" i="31"/>
  <c r="H2493" i="31"/>
  <c r="H2510" i="31"/>
  <c r="H2529" i="31"/>
  <c r="H2546" i="31"/>
  <c r="H2562" i="31"/>
  <c r="H2582" i="31"/>
  <c r="H2598" i="31"/>
  <c r="H2614" i="31"/>
  <c r="H2634" i="31"/>
  <c r="H2650" i="31"/>
  <c r="H2667" i="31"/>
  <c r="H2686" i="31"/>
  <c r="H2703" i="31"/>
  <c r="H2719" i="31"/>
  <c r="H2739" i="31"/>
  <c r="H2755" i="31"/>
  <c r="H2771" i="31"/>
  <c r="H2791" i="31"/>
  <c r="H2807" i="31"/>
  <c r="H2824" i="31"/>
  <c r="H2843" i="31"/>
  <c r="H2860" i="31"/>
  <c r="H2876" i="31"/>
  <c r="H2896" i="31"/>
  <c r="H2911" i="31"/>
  <c r="H2926" i="31"/>
  <c r="H2942" i="31"/>
  <c r="H2957" i="31"/>
  <c r="H2973" i="31"/>
  <c r="H2987" i="31"/>
  <c r="H3002" i="31"/>
  <c r="H3016" i="31"/>
  <c r="H3030" i="31"/>
  <c r="H3044" i="31"/>
  <c r="H3058" i="31"/>
  <c r="H3072" i="31"/>
  <c r="H3086" i="31"/>
  <c r="H3099" i="31"/>
  <c r="H3112" i="31"/>
  <c r="H3125" i="31"/>
  <c r="H3138" i="31"/>
  <c r="H3151" i="31"/>
  <c r="H3164" i="31"/>
  <c r="H3177" i="31"/>
  <c r="H3190" i="31"/>
  <c r="H3203" i="31"/>
  <c r="H3216" i="31"/>
  <c r="H3230" i="31"/>
  <c r="H3243" i="31"/>
  <c r="H3256" i="31"/>
  <c r="H3269" i="31"/>
  <c r="H3282" i="31"/>
  <c r="H3295" i="31"/>
  <c r="H3308" i="31"/>
  <c r="H3321" i="31"/>
  <c r="H3334" i="31"/>
  <c r="H3347" i="31"/>
  <c r="H3360" i="31"/>
  <c r="H3374" i="31"/>
  <c r="H3387" i="31"/>
  <c r="H3400" i="31"/>
  <c r="H3413" i="31"/>
  <c r="H3426" i="31"/>
  <c r="H3439" i="31"/>
  <c r="H3452" i="31"/>
  <c r="H3465" i="31"/>
  <c r="H3478" i="31"/>
  <c r="H3491" i="31"/>
  <c r="H3504" i="31"/>
  <c r="H3518" i="31"/>
  <c r="H65" i="31"/>
  <c r="H100" i="31"/>
  <c r="H131" i="31"/>
  <c r="H174" i="31"/>
  <c r="H204" i="31"/>
  <c r="H240" i="31"/>
  <c r="H279" i="31"/>
  <c r="H306" i="31"/>
  <c r="H341" i="31"/>
  <c r="H375" i="31"/>
  <c r="H405" i="31"/>
  <c r="H436" i="31"/>
  <c r="H474" i="31"/>
  <c r="H507" i="31"/>
  <c r="H534" i="31"/>
  <c r="H573" i="31"/>
  <c r="H604" i="31"/>
  <c r="H634" i="31"/>
  <c r="H672" i="31"/>
  <c r="H702" i="31"/>
  <c r="H735" i="31"/>
  <c r="H773" i="31"/>
  <c r="H801" i="31"/>
  <c r="H834" i="31"/>
  <c r="H868" i="31"/>
  <c r="H899" i="31"/>
  <c r="H923" i="31"/>
  <c r="H958" i="31"/>
  <c r="H989" i="31"/>
  <c r="H1015" i="31"/>
  <c r="H1049" i="31"/>
  <c r="H1074" i="31"/>
  <c r="H1098" i="31"/>
  <c r="H1126" i="31"/>
  <c r="H1148" i="31"/>
  <c r="H1173" i="31"/>
  <c r="H1202" i="31"/>
  <c r="H1223" i="31"/>
  <c r="H1246" i="31"/>
  <c r="H1270" i="31"/>
  <c r="H1293" i="31"/>
  <c r="H1313" i="31"/>
  <c r="H1339" i="31"/>
  <c r="H1362" i="31"/>
  <c r="H1383" i="31"/>
  <c r="H1409" i="31"/>
  <c r="H1430" i="31"/>
  <c r="H1451" i="31"/>
  <c r="H1478" i="31"/>
  <c r="H1497" i="31"/>
  <c r="H1520" i="31"/>
  <c r="H1546" i="31"/>
  <c r="H1567" i="31"/>
  <c r="H1588" i="31"/>
  <c r="H1611" i="31"/>
  <c r="H1631" i="31"/>
  <c r="H1650" i="31"/>
  <c r="H1674" i="31"/>
  <c r="H1692" i="31"/>
  <c r="H1712" i="31"/>
  <c r="H1736" i="31"/>
  <c r="H1755" i="31"/>
  <c r="H1775" i="31"/>
  <c r="H1797" i="31"/>
  <c r="H1818" i="31"/>
  <c r="H1836" i="31"/>
  <c r="H1858" i="31"/>
  <c r="H1876" i="31"/>
  <c r="H1894" i="31"/>
  <c r="H1915" i="31"/>
  <c r="H1934" i="31"/>
  <c r="H1951" i="31"/>
  <c r="H1973" i="31"/>
  <c r="H1990" i="31"/>
  <c r="H2008" i="31"/>
  <c r="H2030" i="31"/>
  <c r="H2047" i="31"/>
  <c r="H2066" i="31"/>
  <c r="H2086" i="31"/>
  <c r="H2105" i="31"/>
  <c r="H2122" i="31"/>
  <c r="H2144" i="31"/>
  <c r="H2162" i="31"/>
  <c r="H2180" i="31"/>
  <c r="H2201" i="31"/>
  <c r="H2219" i="31"/>
  <c r="H2237" i="31"/>
  <c r="H2259" i="31"/>
  <c r="H2276" i="31"/>
  <c r="H2294" i="31"/>
  <c r="H2315" i="31"/>
  <c r="H2333" i="31"/>
  <c r="H2351" i="31"/>
  <c r="H2372" i="31"/>
  <c r="H2391" i="31"/>
  <c r="H2407" i="31"/>
  <c r="H2427" i="31"/>
  <c r="H2443" i="31"/>
  <c r="H2459" i="31"/>
  <c r="H2479" i="31"/>
  <c r="H2495" i="31"/>
  <c r="H2512" i="31"/>
  <c r="H2531" i="31"/>
  <c r="H2548" i="31"/>
  <c r="H2564" i="31"/>
  <c r="H2584" i="31"/>
  <c r="H2600" i="31"/>
  <c r="H2616" i="31"/>
  <c r="H2636" i="31"/>
  <c r="H2652" i="31"/>
  <c r="H2669" i="31"/>
  <c r="H2688" i="31"/>
  <c r="H2705" i="31"/>
  <c r="H2721" i="31"/>
  <c r="H2741" i="31"/>
  <c r="H2757" i="31"/>
  <c r="H2774" i="31"/>
  <c r="H2793" i="31"/>
  <c r="H2810" i="31"/>
  <c r="H2826" i="31"/>
  <c r="H2846" i="31"/>
  <c r="H2862" i="31"/>
  <c r="H2878" i="31"/>
  <c r="H2898" i="31"/>
  <c r="H2913" i="31"/>
  <c r="H2928" i="31"/>
  <c r="H2944" i="31"/>
  <c r="H2961" i="31"/>
  <c r="H2975" i="31"/>
  <c r="H2990" i="31"/>
  <c r="H3004" i="31"/>
  <c r="H3018" i="31"/>
  <c r="H3032" i="31"/>
  <c r="H3046" i="31"/>
  <c r="H3060" i="31"/>
  <c r="H3075" i="31"/>
  <c r="H3088" i="31"/>
  <c r="H3101" i="31"/>
  <c r="H3114" i="31"/>
  <c r="H3127" i="31"/>
  <c r="H3140" i="31"/>
  <c r="H3153" i="31"/>
  <c r="H3166" i="31"/>
  <c r="H3179" i="31"/>
  <c r="H3192" i="31"/>
  <c r="H3206" i="31"/>
  <c r="H3219" i="31"/>
  <c r="H3232" i="31"/>
  <c r="H3245" i="31"/>
  <c r="H3258" i="31"/>
  <c r="H3271" i="31"/>
  <c r="H3284" i="31"/>
  <c r="H3297" i="31"/>
  <c r="H3310" i="31"/>
  <c r="H3323" i="31"/>
  <c r="H3336" i="31"/>
  <c r="H3350" i="31"/>
  <c r="H3363" i="31"/>
  <c r="H3376" i="31"/>
  <c r="H3389" i="31"/>
  <c r="H3402" i="31"/>
  <c r="H3415" i="31"/>
  <c r="H3428" i="31"/>
  <c r="H3441" i="31"/>
  <c r="H3454" i="31"/>
  <c r="H3467" i="31"/>
  <c r="H3480" i="31"/>
  <c r="H3494" i="31"/>
  <c r="H3507" i="31"/>
  <c r="H3520" i="31"/>
  <c r="H3533" i="31"/>
  <c r="H3546" i="31"/>
  <c r="H3559" i="31"/>
  <c r="H3572" i="31"/>
  <c r="H3585" i="31"/>
  <c r="H3598" i="31"/>
  <c r="H3611" i="31"/>
  <c r="H3624" i="31"/>
  <c r="H3638" i="31"/>
  <c r="H3651" i="31"/>
  <c r="H81" i="31"/>
  <c r="H117" i="31"/>
  <c r="H153" i="31"/>
  <c r="H186" i="31"/>
  <c r="H227" i="31"/>
  <c r="H260" i="31"/>
  <c r="H287" i="31"/>
  <c r="H327" i="31"/>
  <c r="H357" i="31"/>
  <c r="H388" i="31"/>
  <c r="H425" i="31"/>
  <c r="H455" i="31"/>
  <c r="H488" i="31"/>
  <c r="H525" i="31"/>
  <c r="H555" i="31"/>
  <c r="H586" i="31"/>
  <c r="H620" i="31"/>
  <c r="H653" i="31"/>
  <c r="H681" i="31"/>
  <c r="H719" i="31"/>
  <c r="H752" i="31"/>
  <c r="H780" i="31"/>
  <c r="H820" i="31"/>
  <c r="H850" i="31"/>
  <c r="H882" i="31"/>
  <c r="H917" i="31"/>
  <c r="H941" i="31"/>
  <c r="H971" i="31"/>
  <c r="H1005" i="31"/>
  <c r="H1031" i="31"/>
  <c r="H1061" i="31"/>
  <c r="H1087" i="31"/>
  <c r="H1112" i="31"/>
  <c r="H1134" i="31"/>
  <c r="H1162" i="31"/>
  <c r="H1187" i="31"/>
  <c r="H1209" i="31"/>
  <c r="H1238" i="31"/>
  <c r="H1258" i="31"/>
  <c r="H1280" i="31"/>
  <c r="H1306" i="31"/>
  <c r="H63" i="31"/>
  <c r="H105" i="31"/>
  <c r="H154" i="31"/>
  <c r="H203" i="31"/>
  <c r="H249" i="31"/>
  <c r="H299" i="31"/>
  <c r="H335" i="31"/>
  <c r="H383" i="31"/>
  <c r="H428" i="31"/>
  <c r="H473" i="31"/>
  <c r="H511" i="31"/>
  <c r="H557" i="31"/>
  <c r="H600" i="31"/>
  <c r="H647" i="31"/>
  <c r="H693" i="31"/>
  <c r="H732" i="31"/>
  <c r="H776" i="31"/>
  <c r="H821" i="31"/>
  <c r="H867" i="31"/>
  <c r="H904" i="31"/>
  <c r="H943" i="31"/>
  <c r="H988" i="31"/>
  <c r="H1027" i="31"/>
  <c r="H1066" i="31"/>
  <c r="H1097" i="31"/>
  <c r="H1130" i="31"/>
  <c r="H1163" i="31"/>
  <c r="H1199" i="31"/>
  <c r="H1228" i="31"/>
  <c r="H1260" i="31"/>
  <c r="H1292" i="31"/>
  <c r="H1323" i="31"/>
  <c r="H1348" i="31"/>
  <c r="H1376" i="31"/>
  <c r="H1399" i="31"/>
  <c r="H1432" i="31"/>
  <c r="H1461" i="31"/>
  <c r="H1483" i="31"/>
  <c r="H1512" i="31"/>
  <c r="H1536" i="31"/>
  <c r="H1568" i="31"/>
  <c r="H1595" i="31"/>
  <c r="H1618" i="31"/>
  <c r="H1644" i="31"/>
  <c r="H1665" i="31"/>
  <c r="H1694" i="31"/>
  <c r="H1720" i="31"/>
  <c r="H1742" i="31"/>
  <c r="H1768" i="31"/>
  <c r="H1791" i="31"/>
  <c r="H1819" i="31"/>
  <c r="H1844" i="31"/>
  <c r="H1864" i="31"/>
  <c r="H1888" i="31"/>
  <c r="H1908" i="31"/>
  <c r="H1935" i="31"/>
  <c r="H1959" i="31"/>
  <c r="H1978" i="31"/>
  <c r="H2002" i="31"/>
  <c r="H2023" i="31"/>
  <c r="H2049" i="31"/>
  <c r="H2072" i="31"/>
  <c r="H2093" i="31"/>
  <c r="H2117" i="31"/>
  <c r="H2136" i="31"/>
  <c r="H2163" i="31"/>
  <c r="H2187" i="31"/>
  <c r="H2207" i="31"/>
  <c r="H2230" i="31"/>
  <c r="H2251" i="31"/>
  <c r="H2277" i="31"/>
  <c r="H2301" i="31"/>
  <c r="H2321" i="31"/>
  <c r="H2345" i="31"/>
  <c r="H2366" i="31"/>
  <c r="H2392" i="31"/>
  <c r="H2414" i="31"/>
  <c r="H2432" i="31"/>
  <c r="H2454" i="31"/>
  <c r="H2472" i="31"/>
  <c r="H2496" i="31"/>
  <c r="H2518" i="31"/>
  <c r="H2537" i="31"/>
  <c r="H2559" i="31"/>
  <c r="H2577" i="31"/>
  <c r="H2601" i="31"/>
  <c r="H2623" i="31"/>
  <c r="H2642" i="31"/>
  <c r="H2663" i="31"/>
  <c r="H2682" i="31"/>
  <c r="H2706" i="31"/>
  <c r="H2728" i="31"/>
  <c r="H2746" i="31"/>
  <c r="H2768" i="31"/>
  <c r="H2787" i="31"/>
  <c r="H2811" i="31"/>
  <c r="H2832" i="31"/>
  <c r="H2851" i="31"/>
  <c r="H2873" i="31"/>
  <c r="H2891" i="31"/>
  <c r="H2914" i="31"/>
  <c r="H2932" i="31"/>
  <c r="H2951" i="31"/>
  <c r="H2969" i="31"/>
  <c r="H2986" i="31"/>
  <c r="H3005" i="31"/>
  <c r="H3021" i="31"/>
  <c r="H3039" i="31"/>
  <c r="H3055" i="31"/>
  <c r="H3071" i="31"/>
  <c r="H3089" i="31"/>
  <c r="H3104" i="31"/>
  <c r="H3119" i="31"/>
  <c r="H3135" i="31"/>
  <c r="H3150" i="31"/>
  <c r="H3167" i="31"/>
  <c r="H3183" i="31"/>
  <c r="H3198" i="31"/>
  <c r="H3213" i="31"/>
  <c r="H3228" i="31"/>
  <c r="H3246" i="31"/>
  <c r="H3261" i="31"/>
  <c r="H3276" i="31"/>
  <c r="H3292" i="31"/>
  <c r="H3307" i="31"/>
  <c r="H3324" i="31"/>
  <c r="H3340" i="31"/>
  <c r="H3355" i="31"/>
  <c r="H3370" i="31"/>
  <c r="H3386" i="31"/>
  <c r="H3403" i="31"/>
  <c r="H3418" i="31"/>
  <c r="H3434" i="31"/>
  <c r="H3449" i="31"/>
  <c r="H3464" i="31"/>
  <c r="H3482" i="31"/>
  <c r="H3497" i="31"/>
  <c r="H3512" i="31"/>
  <c r="H3527" i="31"/>
  <c r="H3542" i="31"/>
  <c r="H3556" i="31"/>
  <c r="H3570" i="31"/>
  <c r="H3584" i="31"/>
  <c r="H3599" i="31"/>
  <c r="H3614" i="31"/>
  <c r="H3628" i="31"/>
  <c r="H3642" i="31"/>
  <c r="H3656" i="31"/>
  <c r="H3669" i="31"/>
  <c r="H3682" i="31"/>
  <c r="H3695" i="31"/>
  <c r="H3708" i="31"/>
  <c r="H3722" i="31"/>
  <c r="H3735" i="31"/>
  <c r="H3748" i="31"/>
  <c r="H3761" i="31"/>
  <c r="H3774" i="31"/>
  <c r="H3787" i="31"/>
  <c r="H3800" i="31"/>
  <c r="H3813" i="31"/>
  <c r="H3826" i="31"/>
  <c r="H3839" i="31"/>
  <c r="H3852" i="31"/>
  <c r="H3866" i="31"/>
  <c r="H3879" i="31"/>
  <c r="H3892" i="31"/>
  <c r="H3905" i="31"/>
  <c r="H3918" i="31"/>
  <c r="H3931" i="31"/>
  <c r="H3944" i="31"/>
  <c r="H3957" i="31"/>
  <c r="H3970" i="31"/>
  <c r="H3983" i="31"/>
  <c r="H3996" i="31"/>
  <c r="H4010" i="31"/>
  <c r="H4023" i="31"/>
  <c r="H4036" i="31"/>
  <c r="H4049" i="31"/>
  <c r="H4062" i="31"/>
  <c r="H4075" i="31"/>
  <c r="H4088" i="31"/>
  <c r="H4101" i="31"/>
  <c r="H4114" i="31"/>
  <c r="H4127" i="31"/>
  <c r="H4140" i="31"/>
  <c r="H4154" i="31"/>
  <c r="H4167" i="31"/>
  <c r="H4180" i="31"/>
  <c r="H4193" i="31"/>
  <c r="H4206" i="31"/>
  <c r="H4219" i="31"/>
  <c r="H4232" i="31"/>
  <c r="H4245" i="31"/>
  <c r="H4258" i="31"/>
  <c r="H4271" i="31"/>
  <c r="H4284" i="31"/>
  <c r="H4298" i="31"/>
  <c r="H4311" i="31"/>
  <c r="H4324" i="31"/>
  <c r="H4337" i="31"/>
  <c r="H4350" i="31"/>
  <c r="H4363" i="31"/>
  <c r="H4376" i="31"/>
  <c r="H4389" i="31"/>
  <c r="H4402" i="31"/>
  <c r="H4415" i="31"/>
  <c r="H4428" i="31"/>
  <c r="H4442" i="31"/>
  <c r="H4455" i="31"/>
  <c r="H4468" i="31"/>
  <c r="H4481" i="31"/>
  <c r="H4494" i="31"/>
  <c r="H4507" i="31"/>
  <c r="H4520" i="31"/>
  <c r="H4533" i="31"/>
  <c r="H4546" i="31"/>
  <c r="H4559" i="31"/>
  <c r="H4572" i="31"/>
  <c r="H4586" i="31"/>
  <c r="H4599" i="31"/>
  <c r="H4612" i="31"/>
  <c r="H4625" i="31"/>
  <c r="H4637" i="31"/>
  <c r="H4649" i="31"/>
  <c r="H4661" i="31"/>
  <c r="H4673" i="31"/>
  <c r="H4685" i="31"/>
  <c r="H4697" i="31"/>
  <c r="H4709" i="31"/>
  <c r="H4721" i="31"/>
  <c r="H4733" i="31"/>
  <c r="H4745" i="31"/>
  <c r="H4757" i="31"/>
  <c r="H4769" i="31"/>
  <c r="H4781" i="31"/>
  <c r="H4793" i="31"/>
  <c r="H4805" i="31"/>
  <c r="H4817" i="31"/>
  <c r="H4829" i="31"/>
  <c r="H4841" i="31"/>
  <c r="H4853" i="31"/>
  <c r="H4865" i="31"/>
  <c r="H4877" i="31"/>
  <c r="H4889" i="31"/>
  <c r="H4901" i="31"/>
  <c r="H4913" i="31"/>
  <c r="H4925" i="31"/>
  <c r="H4937" i="31"/>
  <c r="H4949" i="31"/>
  <c r="H4961" i="31"/>
  <c r="H4973" i="31"/>
  <c r="H4985" i="31"/>
  <c r="H4997" i="31"/>
  <c r="H5009" i="31"/>
  <c r="H40" i="31"/>
  <c r="H28" i="31"/>
  <c r="H16" i="31"/>
  <c r="H67" i="31"/>
  <c r="H113" i="31"/>
  <c r="H159" i="31"/>
  <c r="H209" i="31"/>
  <c r="H255" i="31"/>
  <c r="H300" i="31"/>
  <c r="H346" i="31"/>
  <c r="H384" i="31"/>
  <c r="H429" i="31"/>
  <c r="H475" i="31"/>
  <c r="H516" i="31"/>
  <c r="H558" i="31"/>
  <c r="H607" i="31"/>
  <c r="H648" i="31"/>
  <c r="H694" i="31"/>
  <c r="H739" i="31"/>
  <c r="H778" i="31"/>
  <c r="H823" i="31"/>
  <c r="H871" i="31"/>
  <c r="H910" i="31"/>
  <c r="H946" i="31"/>
  <c r="H990" i="31"/>
  <c r="H1029" i="31"/>
  <c r="H1068" i="31"/>
  <c r="H1102" i="31"/>
  <c r="H1131" i="31"/>
  <c r="H1164" i="31"/>
  <c r="H1203" i="31"/>
  <c r="H1234" i="31"/>
  <c r="H1262" i="31"/>
  <c r="H1294" i="31"/>
  <c r="H1324" i="31"/>
  <c r="H1349" i="31"/>
  <c r="H1377" i="31"/>
  <c r="H1408" i="31"/>
  <c r="H1434" i="31"/>
  <c r="H1462" i="31"/>
  <c r="H1484" i="31"/>
  <c r="H1514" i="31"/>
  <c r="H1544" i="31"/>
  <c r="H1569" i="31"/>
  <c r="H1596" i="31"/>
  <c r="H1619" i="31"/>
  <c r="H1646" i="31"/>
  <c r="H1673" i="31"/>
  <c r="H1696" i="31"/>
  <c r="H1722" i="31"/>
  <c r="H1744" i="31"/>
  <c r="H1769" i="31"/>
  <c r="H1796" i="31"/>
  <c r="H1820" i="31"/>
  <c r="H1845" i="31"/>
  <c r="H1866" i="31"/>
  <c r="H1889" i="31"/>
  <c r="H1914" i="31"/>
  <c r="H1936" i="31"/>
  <c r="H1960" i="31"/>
  <c r="H1979" i="31"/>
  <c r="H2003" i="31"/>
  <c r="H2028" i="31"/>
  <c r="H2050" i="31"/>
  <c r="H2073" i="31"/>
  <c r="H2094" i="31"/>
  <c r="H2118" i="31"/>
  <c r="H2143" i="31"/>
  <c r="H2164" i="31"/>
  <c r="H2188" i="31"/>
  <c r="H2208" i="31"/>
  <c r="H2232" i="31"/>
  <c r="H2256" i="31"/>
  <c r="H2278" i="31"/>
  <c r="H2302" i="31"/>
  <c r="H2322" i="31"/>
  <c r="H2346" i="31"/>
  <c r="H2371" i="31"/>
  <c r="H2393" i="31"/>
  <c r="H2415" i="31"/>
  <c r="H2433" i="31"/>
  <c r="H2455" i="31"/>
  <c r="H2478" i="31"/>
  <c r="H2498" i="31"/>
  <c r="H2519" i="31"/>
  <c r="H2538" i="31"/>
  <c r="H2560" i="31"/>
  <c r="H2583" i="31"/>
  <c r="H2602" i="31"/>
  <c r="H2624" i="31"/>
  <c r="H2643" i="31"/>
  <c r="H2664" i="31"/>
  <c r="H2687" i="31"/>
  <c r="H2707" i="31"/>
  <c r="H2729" i="31"/>
  <c r="H2747" i="31"/>
  <c r="H2769" i="31"/>
  <c r="H2792" i="31"/>
  <c r="H2812" i="31"/>
  <c r="H2834" i="31"/>
  <c r="H2852" i="31"/>
  <c r="H2874" i="31"/>
  <c r="H2897" i="31"/>
  <c r="H2915" i="31"/>
  <c r="H2935" i="31"/>
  <c r="H2952" i="31"/>
  <c r="H2970" i="31"/>
  <c r="H2988" i="31"/>
  <c r="H3006" i="31"/>
  <c r="H3022" i="31"/>
  <c r="H3040" i="31"/>
  <c r="H3056" i="31"/>
  <c r="H3074" i="31"/>
  <c r="H3090" i="31"/>
  <c r="H3105" i="31"/>
  <c r="H3120" i="31"/>
  <c r="H3136" i="31"/>
  <c r="H3152" i="31"/>
  <c r="H3168" i="31"/>
  <c r="H3184" i="31"/>
  <c r="H3199" i="31"/>
  <c r="H3214" i="31"/>
  <c r="H3231" i="31"/>
  <c r="H3247" i="31"/>
  <c r="H3262" i="31"/>
  <c r="H3278" i="31"/>
  <c r="H3293" i="31"/>
  <c r="H3309" i="31"/>
  <c r="H3326" i="31"/>
  <c r="H3341" i="31"/>
  <c r="H3356" i="31"/>
  <c r="H3371" i="31"/>
  <c r="H3388" i="31"/>
  <c r="H3404" i="31"/>
  <c r="H3419" i="31"/>
  <c r="H3435" i="31"/>
  <c r="H3450" i="31"/>
  <c r="H3466" i="31"/>
  <c r="H3483" i="31"/>
  <c r="H3498" i="31"/>
  <c r="H3513" i="31"/>
  <c r="H3528" i="31"/>
  <c r="H3543" i="31"/>
  <c r="H3557" i="31"/>
  <c r="H3571" i="31"/>
  <c r="H3586" i="31"/>
  <c r="H3600" i="31"/>
  <c r="H3615" i="31"/>
  <c r="H3629" i="31"/>
  <c r="H3643" i="31"/>
  <c r="H3657" i="31"/>
  <c r="H3670" i="31"/>
  <c r="H3683" i="31"/>
  <c r="H3696" i="31"/>
  <c r="H3710" i="31"/>
  <c r="H3723" i="31"/>
  <c r="H3736" i="31"/>
  <c r="H3749" i="31"/>
  <c r="H3762" i="31"/>
  <c r="H3775" i="31"/>
  <c r="H3788" i="31"/>
  <c r="H3801" i="31"/>
  <c r="H3814" i="31"/>
  <c r="H3827" i="31"/>
  <c r="H3840" i="31"/>
  <c r="H3854" i="31"/>
  <c r="H3867" i="31"/>
  <c r="H3880" i="31"/>
  <c r="H3893" i="31"/>
  <c r="H3906" i="31"/>
  <c r="H3919" i="31"/>
  <c r="H3932" i="31"/>
  <c r="H3945" i="31"/>
  <c r="H3958" i="31"/>
  <c r="H3971" i="31"/>
  <c r="H3984" i="31"/>
  <c r="H3998" i="31"/>
  <c r="H4011" i="31"/>
  <c r="H4024" i="31"/>
  <c r="H4037" i="31"/>
  <c r="H4050" i="31"/>
  <c r="H4063" i="31"/>
  <c r="H4076" i="31"/>
  <c r="H4089" i="31"/>
  <c r="H4102" i="31"/>
  <c r="H4115" i="31"/>
  <c r="H4128" i="31"/>
  <c r="H4142" i="31"/>
  <c r="H4155" i="31"/>
  <c r="H4168" i="31"/>
  <c r="H4181" i="31"/>
  <c r="H4194" i="31"/>
  <c r="H4207" i="31"/>
  <c r="H4220" i="31"/>
  <c r="H4233" i="31"/>
  <c r="H4246" i="31"/>
  <c r="H4259" i="31"/>
  <c r="H4272" i="31"/>
  <c r="H4286" i="31"/>
  <c r="H4299" i="31"/>
  <c r="H4312" i="31"/>
  <c r="H4325" i="31"/>
  <c r="H4338" i="31"/>
  <c r="H4351" i="31"/>
  <c r="H4364" i="31"/>
  <c r="H4377" i="31"/>
  <c r="H4390" i="31"/>
  <c r="H4403" i="31"/>
  <c r="H4416" i="31"/>
  <c r="H4430" i="31"/>
  <c r="H4443" i="31"/>
  <c r="H4456" i="31"/>
  <c r="H4469" i="31"/>
  <c r="H4482" i="31"/>
  <c r="H4495" i="31"/>
  <c r="H4508" i="31"/>
  <c r="H4521" i="31"/>
  <c r="H4534" i="31"/>
  <c r="H4547" i="31"/>
  <c r="H4560" i="31"/>
  <c r="H4574" i="31"/>
  <c r="H4587" i="31"/>
  <c r="H4600" i="31"/>
  <c r="H4613" i="31"/>
  <c r="H4626" i="31"/>
  <c r="H4638" i="31"/>
  <c r="H4650" i="31"/>
  <c r="H4662" i="31"/>
  <c r="H4674" i="31"/>
  <c r="H4686" i="31"/>
  <c r="H4698" i="31"/>
  <c r="H4710" i="31"/>
  <c r="H4722" i="31"/>
  <c r="H4734" i="31"/>
  <c r="H4746" i="31"/>
  <c r="H4758" i="31"/>
  <c r="H4770" i="31"/>
  <c r="H4782" i="31"/>
  <c r="H4794" i="31"/>
  <c r="H4806" i="31"/>
  <c r="H4818" i="31"/>
  <c r="H4830" i="31"/>
  <c r="H4842" i="31"/>
  <c r="H4854" i="31"/>
  <c r="H4866" i="31"/>
  <c r="H4878" i="31"/>
  <c r="H4890" i="31"/>
  <c r="H4902" i="31"/>
  <c r="H4914" i="31"/>
  <c r="H4926" i="31"/>
  <c r="H4938" i="31"/>
  <c r="H4950" i="31"/>
  <c r="H4962" i="31"/>
  <c r="H4974" i="31"/>
  <c r="H4986" i="31"/>
  <c r="H4998" i="31"/>
  <c r="H5010" i="31"/>
  <c r="H39" i="31"/>
  <c r="H27" i="31"/>
  <c r="H15" i="31"/>
  <c r="H68" i="31"/>
  <c r="H116" i="31"/>
  <c r="H160" i="31"/>
  <c r="H212" i="31"/>
  <c r="H258" i="31"/>
  <c r="H303" i="31"/>
  <c r="H347" i="31"/>
  <c r="H387" i="31"/>
  <c r="H430" i="31"/>
  <c r="H476" i="31"/>
  <c r="H522" i="31"/>
  <c r="H560" i="31"/>
  <c r="H608" i="31"/>
  <c r="H651" i="31"/>
  <c r="H695" i="31"/>
  <c r="H741" i="31"/>
  <c r="H779" i="31"/>
  <c r="H824" i="31"/>
  <c r="H874" i="31"/>
  <c r="H916" i="31"/>
  <c r="H951" i="31"/>
  <c r="H992" i="31"/>
  <c r="H1030" i="31"/>
  <c r="H1070" i="31"/>
  <c r="H1104" i="31"/>
  <c r="H1132" i="31"/>
  <c r="H1168" i="31"/>
  <c r="H1204" i="31"/>
  <c r="H1235" i="31"/>
  <c r="H1264" i="31"/>
  <c r="H1295" i="31"/>
  <c r="H1325" i="31"/>
  <c r="H1353" i="31"/>
  <c r="H1378" i="31"/>
  <c r="H1410" i="31"/>
  <c r="H1435" i="31"/>
  <c r="H1463" i="31"/>
  <c r="H1492" i="31"/>
  <c r="H1516" i="31"/>
  <c r="H1547" i="31"/>
  <c r="H1570" i="31"/>
  <c r="H1598" i="31"/>
  <c r="H1624" i="31"/>
  <c r="H1647" i="31"/>
  <c r="H1675" i="31"/>
  <c r="H1697" i="31"/>
  <c r="H1723" i="31"/>
  <c r="H1749" i="31"/>
  <c r="H1770" i="31"/>
  <c r="H1798" i="31"/>
  <c r="H1821" i="31"/>
  <c r="H1846" i="31"/>
  <c r="H1870" i="31"/>
  <c r="H1890" i="31"/>
  <c r="H1916" i="31"/>
  <c r="H1937" i="31"/>
  <c r="H1961" i="31"/>
  <c r="H1985" i="31"/>
  <c r="H2004" i="31"/>
  <c r="H2031" i="31"/>
  <c r="H2051" i="31"/>
  <c r="H2075" i="31"/>
  <c r="H2098" i="31"/>
  <c r="H2119" i="31"/>
  <c r="H2145" i="31"/>
  <c r="H2165" i="31"/>
  <c r="H2189" i="31"/>
  <c r="H2213" i="31"/>
  <c r="H2234" i="31"/>
  <c r="H2260" i="31"/>
  <c r="H2279" i="31"/>
  <c r="H2303" i="31"/>
  <c r="H2327" i="31"/>
  <c r="H2347" i="31"/>
  <c r="H2373" i="31"/>
  <c r="H2394" i="31"/>
  <c r="H2416" i="31"/>
  <c r="H2438" i="31"/>
  <c r="H2456" i="31"/>
  <c r="H2480" i="31"/>
  <c r="H2499" i="31"/>
  <c r="H2520" i="31"/>
  <c r="H2542" i="31"/>
  <c r="H2561" i="31"/>
  <c r="H2585" i="31"/>
  <c r="H2603" i="31"/>
  <c r="H2625" i="31"/>
  <c r="H2647" i="31"/>
  <c r="H2666" i="31"/>
  <c r="H2690" i="31"/>
  <c r="H2708" i="31"/>
  <c r="H2730" i="31"/>
  <c r="H2752" i="31"/>
  <c r="H2770" i="31"/>
  <c r="H2794" i="31"/>
  <c r="H2813" i="31"/>
  <c r="H2835" i="31"/>
  <c r="H2856" i="31"/>
  <c r="H2875" i="31"/>
  <c r="H2899" i="31"/>
  <c r="H2916" i="31"/>
  <c r="H2936" i="31"/>
  <c r="H2954" i="31"/>
  <c r="H2971" i="31"/>
  <c r="H2991" i="31"/>
  <c r="H3007" i="31"/>
  <c r="H3023" i="31"/>
  <c r="H3041" i="31"/>
  <c r="H3057" i="31"/>
  <c r="H3076" i="31"/>
  <c r="H3091" i="31"/>
  <c r="H3106" i="31"/>
  <c r="H3122" i="31"/>
  <c r="H3137" i="31"/>
  <c r="H3154" i="31"/>
  <c r="H3170" i="31"/>
  <c r="H3185" i="31"/>
  <c r="H3200" i="31"/>
  <c r="H3215" i="31"/>
  <c r="H3233" i="31"/>
  <c r="H3248" i="31"/>
  <c r="H3263" i="31"/>
  <c r="H3279" i="31"/>
  <c r="H3294" i="31"/>
  <c r="H3311" i="31"/>
  <c r="H3327" i="31"/>
  <c r="H3342" i="31"/>
  <c r="H3357" i="31"/>
  <c r="H3372" i="31"/>
  <c r="H3390" i="31"/>
  <c r="H3405" i="31"/>
  <c r="H3420" i="31"/>
  <c r="H3436" i="31"/>
  <c r="H3451" i="31"/>
  <c r="H3468" i="31"/>
  <c r="H3484" i="31"/>
  <c r="H3499" i="31"/>
  <c r="H3514" i="31"/>
  <c r="H3530" i="31"/>
  <c r="H3544" i="31"/>
  <c r="H3558" i="31"/>
  <c r="H3573" i="31"/>
  <c r="H3587" i="31"/>
  <c r="H3602" i="31"/>
  <c r="H3616" i="31"/>
  <c r="H3630" i="31"/>
  <c r="H3644" i="31"/>
  <c r="H3658" i="31"/>
  <c r="H3671" i="31"/>
  <c r="H3684" i="31"/>
  <c r="H3698" i="31"/>
  <c r="H3711" i="31"/>
  <c r="H3724" i="31"/>
  <c r="H3737" i="31"/>
  <c r="H3750" i="31"/>
  <c r="H3763" i="31"/>
  <c r="H3776" i="31"/>
  <c r="H3789" i="31"/>
  <c r="H3802" i="31"/>
  <c r="H3815" i="31"/>
  <c r="H3828" i="31"/>
  <c r="H3842" i="31"/>
  <c r="H3855" i="31"/>
  <c r="H3868" i="31"/>
  <c r="H3881" i="31"/>
  <c r="H3894" i="31"/>
  <c r="H3907" i="31"/>
  <c r="H3920" i="31"/>
  <c r="H3933" i="31"/>
  <c r="H3946" i="31"/>
  <c r="H3959" i="31"/>
  <c r="H3972" i="31"/>
  <c r="H3986" i="31"/>
  <c r="H3999" i="31"/>
  <c r="H4012" i="31"/>
  <c r="H4025" i="31"/>
  <c r="H4038" i="31"/>
  <c r="H4051" i="31"/>
  <c r="H4064" i="31"/>
  <c r="H4077" i="31"/>
  <c r="H4090" i="31"/>
  <c r="H4103" i="31"/>
  <c r="H4116" i="31"/>
  <c r="H4130" i="31"/>
  <c r="H4143" i="31"/>
  <c r="H4156" i="31"/>
  <c r="H4169" i="31"/>
  <c r="H4182" i="31"/>
  <c r="H4195" i="31"/>
  <c r="H4208" i="31"/>
  <c r="H4221" i="31"/>
  <c r="H4234" i="31"/>
  <c r="H4247" i="31"/>
  <c r="H4260" i="31"/>
  <c r="H4274" i="31"/>
  <c r="H70" i="31"/>
  <c r="H123" i="31"/>
  <c r="H172" i="31"/>
  <c r="H214" i="31"/>
  <c r="H261" i="31"/>
  <c r="H305" i="31"/>
  <c r="H348" i="31"/>
  <c r="H393" i="31"/>
  <c r="H435" i="31"/>
  <c r="H478" i="31"/>
  <c r="H527" i="31"/>
  <c r="H572" i="31"/>
  <c r="H609" i="31"/>
  <c r="H655" i="31"/>
  <c r="H701" i="31"/>
  <c r="H744" i="31"/>
  <c r="H791" i="31"/>
  <c r="H832" i="31"/>
  <c r="H875" i="31"/>
  <c r="H918" i="31"/>
  <c r="H957" i="31"/>
  <c r="H993" i="31"/>
  <c r="H1035" i="31"/>
  <c r="H1072" i="31"/>
  <c r="H1108" i="31"/>
  <c r="H1142" i="31"/>
  <c r="H1171" i="31"/>
  <c r="H1205" i="31"/>
  <c r="H1239" i="31"/>
  <c r="H1269" i="31"/>
  <c r="H1296" i="31"/>
  <c r="H1326" i="31"/>
  <c r="H1355" i="31"/>
  <c r="H1382" i="31"/>
  <c r="H1411" i="31"/>
  <c r="H1439" i="31"/>
  <c r="H1464" i="31"/>
  <c r="H1493" i="31"/>
  <c r="H1519" i="31"/>
  <c r="H1548" i="31"/>
  <c r="H1578" i="31"/>
  <c r="H1599" i="31"/>
  <c r="H1625" i="31"/>
  <c r="H1649" i="31"/>
  <c r="H1676" i="31"/>
  <c r="H1702" i="31"/>
  <c r="H1724" i="31"/>
  <c r="H1750" i="31"/>
  <c r="H1774" i="31"/>
  <c r="H1802" i="31"/>
  <c r="H1827" i="31"/>
  <c r="H1847" i="31"/>
  <c r="H1871" i="31"/>
  <c r="H1893" i="31"/>
  <c r="H1918" i="31"/>
  <c r="H1941" i="31"/>
  <c r="H1962" i="31"/>
  <c r="H1986" i="31"/>
  <c r="H2007" i="31"/>
  <c r="H2032" i="31"/>
  <c r="H2056" i="31"/>
  <c r="H2076" i="31"/>
  <c r="H2099" i="31"/>
  <c r="H2121" i="31"/>
  <c r="H2146" i="31"/>
  <c r="H2170" i="31"/>
  <c r="H2190" i="31"/>
  <c r="H2214" i="31"/>
  <c r="H2236" i="31"/>
  <c r="H2261" i="31"/>
  <c r="H2285" i="31"/>
  <c r="H2304" i="31"/>
  <c r="H2328" i="31"/>
  <c r="H2350" i="31"/>
  <c r="H2374" i="31"/>
  <c r="H2398" i="31"/>
  <c r="H2417" i="31"/>
  <c r="H2439" i="31"/>
  <c r="H2458" i="31"/>
  <c r="H2481" i="31"/>
  <c r="H2503" i="31"/>
  <c r="H2522" i="31"/>
  <c r="H2543" i="31"/>
  <c r="H2563" i="31"/>
  <c r="H2586" i="31"/>
  <c r="H71" i="31"/>
  <c r="H143" i="31"/>
  <c r="H223" i="31"/>
  <c r="H283" i="31"/>
  <c r="H353" i="31"/>
  <c r="H411" i="31"/>
  <c r="H486" i="31"/>
  <c r="H547" i="31"/>
  <c r="H618" i="31"/>
  <c r="H677" i="31"/>
  <c r="H749" i="31"/>
  <c r="H804" i="31"/>
  <c r="H876" i="31"/>
  <c r="H935" i="31"/>
  <c r="H1001" i="31"/>
  <c r="H1052" i="31"/>
  <c r="H1110" i="31"/>
  <c r="H1152" i="31"/>
  <c r="H1206" i="31"/>
  <c r="H1253" i="31"/>
  <c r="H1304" i="31"/>
  <c r="H1340" i="31"/>
  <c r="H1389" i="31"/>
  <c r="H1423" i="31"/>
  <c r="H1466" i="31"/>
  <c r="H1504" i="31"/>
  <c r="H1550" i="31"/>
  <c r="H1583" i="31"/>
  <c r="H1626" i="31"/>
  <c r="H1661" i="31"/>
  <c r="H1703" i="31"/>
  <c r="H1737" i="31"/>
  <c r="H1780" i="31"/>
  <c r="H1810" i="31"/>
  <c r="H1848" i="31"/>
  <c r="H1880" i="31"/>
  <c r="H1919" i="31"/>
  <c r="H1948" i="31"/>
  <c r="H1987" i="31"/>
  <c r="H2018" i="31"/>
  <c r="H2057" i="31"/>
  <c r="H2088" i="31"/>
  <c r="H2128" i="31"/>
  <c r="H2156" i="31"/>
  <c r="H2191" i="31"/>
  <c r="H2223" i="31"/>
  <c r="H2262" i="31"/>
  <c r="H2290" i="31"/>
  <c r="H2330" i="31"/>
  <c r="H2360" i="31"/>
  <c r="H2399" i="31"/>
  <c r="H2428" i="31"/>
  <c r="H2464" i="31"/>
  <c r="H2490" i="31"/>
  <c r="H2523" i="31"/>
  <c r="H2551" i="31"/>
  <c r="H2587" i="31"/>
  <c r="H2612" i="31"/>
  <c r="H2639" i="31"/>
  <c r="H2673" i="31"/>
  <c r="H2695" i="31"/>
  <c r="H2726" i="31"/>
  <c r="H2754" i="31"/>
  <c r="H2781" i="31"/>
  <c r="H2806" i="31"/>
  <c r="H2837" i="31"/>
  <c r="H2864" i="31"/>
  <c r="H2889" i="31"/>
  <c r="H2919" i="31"/>
  <c r="H2943" i="31"/>
  <c r="H2967" i="31"/>
  <c r="H2993" i="31"/>
  <c r="H3014" i="31"/>
  <c r="H3035" i="31"/>
  <c r="H3062" i="31"/>
  <c r="H3081" i="31"/>
  <c r="H3102" i="31"/>
  <c r="H3124" i="31"/>
  <c r="H3144" i="31"/>
  <c r="H3163" i="31"/>
  <c r="H3187" i="31"/>
  <c r="H3208" i="31"/>
  <c r="H3226" i="31"/>
  <c r="H3250" i="31"/>
  <c r="H3270" i="31"/>
  <c r="H3290" i="31"/>
  <c r="H3314" i="31"/>
  <c r="H3332" i="31"/>
  <c r="H3353" i="31"/>
  <c r="H3377" i="31"/>
  <c r="H3395" i="31"/>
  <c r="H3416" i="31"/>
  <c r="H3438" i="31"/>
  <c r="H3459" i="31"/>
  <c r="H3477" i="31"/>
  <c r="H3501" i="31"/>
  <c r="H3522" i="31"/>
  <c r="H3539" i="31"/>
  <c r="H90" i="31"/>
  <c r="H175" i="31"/>
  <c r="H233" i="31"/>
  <c r="H307" i="31"/>
  <c r="H364" i="31"/>
  <c r="H447" i="31"/>
  <c r="H497" i="31"/>
  <c r="H574" i="31"/>
  <c r="H630" i="31"/>
  <c r="H703" i="31"/>
  <c r="H759" i="31"/>
  <c r="H838" i="31"/>
  <c r="H893" i="31"/>
  <c r="H960" i="31"/>
  <c r="H1011" i="31"/>
  <c r="H1076" i="31"/>
  <c r="H1115" i="31"/>
  <c r="H1178" i="31"/>
  <c r="H1219" i="31"/>
  <c r="H1272" i="31"/>
  <c r="H1310" i="31"/>
  <c r="H1356" i="31"/>
  <c r="H1395" i="31"/>
  <c r="H1440" i="31"/>
  <c r="H1479" i="31"/>
  <c r="H1526" i="31"/>
  <c r="H1560" i="31"/>
  <c r="H1601" i="31"/>
  <c r="H1635" i="31"/>
  <c r="H1677" i="31"/>
  <c r="H1709" i="31"/>
  <c r="H1751" i="31"/>
  <c r="H1784" i="31"/>
  <c r="H1828" i="31"/>
  <c r="H1859" i="31"/>
  <c r="H1899" i="31"/>
  <c r="H1927" i="31"/>
  <c r="H1963" i="31"/>
  <c r="H1994" i="31"/>
  <c r="H2033" i="31"/>
  <c r="H2062" i="31"/>
  <c r="H2102" i="31"/>
  <c r="H2132" i="31"/>
  <c r="H2171" i="31"/>
  <c r="H2202" i="31"/>
  <c r="H2241" i="31"/>
  <c r="H2270" i="31"/>
  <c r="H2306" i="31"/>
  <c r="H2337" i="31"/>
  <c r="H2376" i="31"/>
  <c r="H2404" i="31"/>
  <c r="H2440" i="31"/>
  <c r="H2468" i="31"/>
  <c r="H2504" i="31"/>
  <c r="H2532" i="31"/>
  <c r="H2568" i="31"/>
  <c r="H2595" i="31"/>
  <c r="H2622" i="31"/>
  <c r="H2651" i="31"/>
  <c r="H2678" i="31"/>
  <c r="H2704" i="31"/>
  <c r="H2733" i="31"/>
  <c r="H2760" i="31"/>
  <c r="H2786" i="31"/>
  <c r="H2819" i="31"/>
  <c r="H2847" i="31"/>
  <c r="H2872" i="31"/>
  <c r="H2902" i="31"/>
  <c r="H2925" i="31"/>
  <c r="H2950" i="31"/>
  <c r="H2978" i="31"/>
  <c r="H2997" i="31"/>
  <c r="H3020" i="31"/>
  <c r="H3045" i="31"/>
  <c r="H3067" i="31"/>
  <c r="H3087" i="31"/>
  <c r="H3110" i="31"/>
  <c r="H3130" i="31"/>
  <c r="H3149" i="31"/>
  <c r="H3173" i="31"/>
  <c r="H3194" i="31"/>
  <c r="H3212" i="31"/>
  <c r="H3236" i="31"/>
  <c r="H3255" i="31"/>
  <c r="H3275" i="31"/>
  <c r="H76" i="31"/>
  <c r="H151" i="31"/>
  <c r="H247" i="31"/>
  <c r="H323" i="31"/>
  <c r="H404" i="31"/>
  <c r="H487" i="31"/>
  <c r="H550" i="31"/>
  <c r="H643" i="31"/>
  <c r="H718" i="31"/>
  <c r="H799" i="31"/>
  <c r="H880" i="31"/>
  <c r="H940" i="31"/>
  <c r="H1025" i="31"/>
  <c r="H1086" i="31"/>
  <c r="H1147" i="31"/>
  <c r="H1207" i="31"/>
  <c r="H1256" i="31"/>
  <c r="H1320" i="31"/>
  <c r="H1365" i="31"/>
  <c r="H1415" i="31"/>
  <c r="H1467" i="31"/>
  <c r="H1510" i="31"/>
  <c r="H1563" i="31"/>
  <c r="H1612" i="31"/>
  <c r="H1659" i="31"/>
  <c r="H1704" i="31"/>
  <c r="H1740" i="31"/>
  <c r="H1788" i="31"/>
  <c r="H1833" i="31"/>
  <c r="H1877" i="31"/>
  <c r="H1920" i="31"/>
  <c r="H1958" i="31"/>
  <c r="H89" i="31"/>
  <c r="H179" i="31"/>
  <c r="H262" i="31"/>
  <c r="H330" i="31"/>
  <c r="H413" i="31"/>
  <c r="H495" i="31"/>
  <c r="H579" i="31"/>
  <c r="H658" i="31"/>
  <c r="H723" i="31"/>
  <c r="H807" i="31"/>
  <c r="H891" i="31"/>
  <c r="H966" i="31"/>
  <c r="H1036" i="31"/>
  <c r="H1091" i="31"/>
  <c r="H1155" i="31"/>
  <c r="H1218" i="31"/>
  <c r="H1277" i="31"/>
  <c r="H1327" i="31"/>
  <c r="H1373" i="31"/>
  <c r="H1424" i="31"/>
  <c r="H1476" i="31"/>
  <c r="H1528" i="31"/>
  <c r="H1579" i="31"/>
  <c r="H1615" i="31"/>
  <c r="H1662" i="31"/>
  <c r="H1707" i="31"/>
  <c r="H1756" i="31"/>
  <c r="H1803" i="31"/>
  <c r="H1842" i="31"/>
  <c r="H1884" i="31"/>
  <c r="H1923" i="31"/>
  <c r="H1965" i="31"/>
  <c r="H2013" i="31"/>
  <c r="H2044" i="31"/>
  <c r="H2090" i="31"/>
  <c r="H2131" i="31"/>
  <c r="H2174" i="31"/>
  <c r="H2215" i="31"/>
  <c r="H2249" i="31"/>
  <c r="H2292" i="31"/>
  <c r="H2335" i="31"/>
  <c r="H2379" i="31"/>
  <c r="H2418" i="31"/>
  <c r="H2452" i="31"/>
  <c r="H2491" i="31"/>
  <c r="H2530" i="31"/>
  <c r="H2571" i="31"/>
  <c r="H2608" i="31"/>
  <c r="H2637" i="31"/>
  <c r="H2674" i="31"/>
  <c r="H2702" i="31"/>
  <c r="H2740" i="31"/>
  <c r="H2772" i="31"/>
  <c r="H2804" i="31"/>
  <c r="H2838" i="31"/>
  <c r="H2871" i="31"/>
  <c r="H2904" i="31"/>
  <c r="H2937" i="31"/>
  <c r="H2964" i="31"/>
  <c r="H2994" i="31"/>
  <c r="H3019" i="31"/>
  <c r="H3048" i="31"/>
  <c r="H3077" i="31"/>
  <c r="H3098" i="31"/>
  <c r="H3126" i="31"/>
  <c r="H3148" i="31"/>
  <c r="H3175" i="31"/>
  <c r="H3201" i="31"/>
  <c r="H3224" i="31"/>
  <c r="H3251" i="31"/>
  <c r="H3274" i="31"/>
  <c r="H3300" i="31"/>
  <c r="H3320" i="31"/>
  <c r="H3345" i="31"/>
  <c r="H3367" i="31"/>
  <c r="H3392" i="31"/>
  <c r="H3412" i="31"/>
  <c r="H3437" i="31"/>
  <c r="H3460" i="31"/>
  <c r="H3485" i="31"/>
  <c r="H3506" i="31"/>
  <c r="H3526" i="31"/>
  <c r="H3549" i="31"/>
  <c r="H3567" i="31"/>
  <c r="H3588" i="31"/>
  <c r="H3606" i="31"/>
  <c r="H3623" i="31"/>
  <c r="H3645" i="31"/>
  <c r="H3663" i="31"/>
  <c r="H3679" i="31"/>
  <c r="H3699" i="31"/>
  <c r="H3715" i="31"/>
  <c r="H3731" i="31"/>
  <c r="H3751" i="31"/>
  <c r="H3767" i="31"/>
  <c r="H3784" i="31"/>
  <c r="H3803" i="31"/>
  <c r="H3820" i="31"/>
  <c r="H3836" i="31"/>
  <c r="H3856" i="31"/>
  <c r="H3872" i="31"/>
  <c r="H3888" i="31"/>
  <c r="H3908" i="31"/>
  <c r="H3924" i="31"/>
  <c r="H3941" i="31"/>
  <c r="H3960" i="31"/>
  <c r="H3977" i="31"/>
  <c r="H3993" i="31"/>
  <c r="H4013" i="31"/>
  <c r="H4029" i="31"/>
  <c r="H4046" i="31"/>
  <c r="H4065" i="31"/>
  <c r="H4082" i="31"/>
  <c r="H4098" i="31"/>
  <c r="H4118" i="31"/>
  <c r="H4134" i="31"/>
  <c r="H4150" i="31"/>
  <c r="H4170" i="31"/>
  <c r="H4186" i="31"/>
  <c r="H4203" i="31"/>
  <c r="H4222" i="31"/>
  <c r="H4239" i="31"/>
  <c r="H4255" i="31"/>
  <c r="H4275" i="31"/>
  <c r="H4290" i="31"/>
  <c r="H4305" i="31"/>
  <c r="H4320" i="31"/>
  <c r="H4336" i="31"/>
  <c r="H4353" i="31"/>
  <c r="H4368" i="31"/>
  <c r="H4384" i="31"/>
  <c r="H4399" i="31"/>
  <c r="H4414" i="31"/>
  <c r="H4432" i="31"/>
  <c r="H4447" i="31"/>
  <c r="H4462" i="31"/>
  <c r="H4478" i="31"/>
  <c r="H4493" i="31"/>
  <c r="H4510" i="31"/>
  <c r="H4526" i="31"/>
  <c r="H4541" i="31"/>
  <c r="H4556" i="31"/>
  <c r="H4571" i="31"/>
  <c r="H4589" i="31"/>
  <c r="H4604" i="31"/>
  <c r="H4619" i="31"/>
  <c r="H4634" i="31"/>
  <c r="H4648" i="31"/>
  <c r="H4664" i="31"/>
  <c r="H4678" i="31"/>
  <c r="H4692" i="31"/>
  <c r="H4706" i="31"/>
  <c r="H4720" i="31"/>
  <c r="H4736" i="31"/>
  <c r="H4750" i="31"/>
  <c r="H4764" i="31"/>
  <c r="H4778" i="31"/>
  <c r="H4792" i="31"/>
  <c r="H4808" i="31"/>
  <c r="H4822" i="31"/>
  <c r="H4836" i="31"/>
  <c r="H4850" i="31"/>
  <c r="H4864" i="31"/>
  <c r="H4880" i="31"/>
  <c r="H4894" i="31"/>
  <c r="H4908" i="31"/>
  <c r="H4922" i="31"/>
  <c r="H4936" i="31"/>
  <c r="H4952" i="31"/>
  <c r="H4966" i="31"/>
  <c r="H4980" i="31"/>
  <c r="H4994" i="31"/>
  <c r="H5008" i="31"/>
  <c r="H37" i="31"/>
  <c r="H23" i="31"/>
  <c r="H129" i="31"/>
  <c r="H226" i="31"/>
  <c r="H286" i="31"/>
  <c r="H377" i="31"/>
  <c r="H453" i="31"/>
  <c r="H533" i="31"/>
  <c r="H619" i="31"/>
  <c r="H680" i="31"/>
  <c r="H774" i="31"/>
  <c r="H848" i="31"/>
  <c r="H922" i="31"/>
  <c r="H1003" i="31"/>
  <c r="H1059" i="31"/>
  <c r="H1127" i="31"/>
  <c r="H1186" i="31"/>
  <c r="H1244" i="31"/>
  <c r="H1305" i="31"/>
  <c r="H1347" i="31"/>
  <c r="H1397" i="31"/>
  <c r="H1448" i="31"/>
  <c r="H1499" i="31"/>
  <c r="H1552" i="31"/>
  <c r="H1594" i="31"/>
  <c r="H1640" i="31"/>
  <c r="H1687" i="31"/>
  <c r="H1727" i="31"/>
  <c r="H1781" i="31"/>
  <c r="H1817" i="31"/>
  <c r="H1862" i="31"/>
  <c r="H1903" i="31"/>
  <c r="H1946" i="31"/>
  <c r="H1989" i="31"/>
  <c r="H2021" i="31"/>
  <c r="H2070" i="31"/>
  <c r="H2108" i="31"/>
  <c r="H2150" i="31"/>
  <c r="H2193" i="31"/>
  <c r="H2229" i="31"/>
  <c r="H2273" i="31"/>
  <c r="H2316" i="31"/>
  <c r="H2358" i="31"/>
  <c r="H2400" i="31"/>
  <c r="H2431" i="31"/>
  <c r="H2470" i="31"/>
  <c r="H2508" i="31"/>
  <c r="H2549" i="31"/>
  <c r="H2588" i="31"/>
  <c r="H2621" i="31"/>
  <c r="H2655" i="31"/>
  <c r="H2691" i="31"/>
  <c r="H2718" i="31"/>
  <c r="H2756" i="31"/>
  <c r="H2784" i="31"/>
  <c r="H2822" i="31"/>
  <c r="H2858" i="31"/>
  <c r="H2887" i="31"/>
  <c r="H2922" i="31"/>
  <c r="H2949" i="31"/>
  <c r="H2980" i="31"/>
  <c r="H3008" i="31"/>
  <c r="H3033" i="31"/>
  <c r="H3063" i="31"/>
  <c r="H3084" i="31"/>
  <c r="H3113" i="31"/>
  <c r="H3139" i="31"/>
  <c r="H3161" i="31"/>
  <c r="H3188" i="31"/>
  <c r="H3211" i="31"/>
  <c r="H3238" i="31"/>
  <c r="H3264" i="31"/>
  <c r="H3287" i="31"/>
  <c r="H3312" i="31"/>
  <c r="H3333" i="31"/>
  <c r="H3358" i="31"/>
  <c r="H3380" i="31"/>
  <c r="H3401" i="31"/>
  <c r="H3425" i="31"/>
  <c r="H3447" i="31"/>
  <c r="H3472" i="31"/>
  <c r="H3492" i="31"/>
  <c r="H3516" i="31"/>
  <c r="H3537" i="31"/>
  <c r="H3560" i="31"/>
  <c r="H3578" i="31"/>
  <c r="H3595" i="31"/>
  <c r="H141" i="31"/>
  <c r="H228" i="31"/>
  <c r="H309" i="31"/>
  <c r="H381" i="31"/>
  <c r="H456" i="31"/>
  <c r="H88" i="31"/>
  <c r="H199" i="31"/>
  <c r="H328" i="31"/>
  <c r="H450" i="31"/>
  <c r="H549" i="31"/>
  <c r="H669" i="31"/>
  <c r="H767" i="31"/>
  <c r="H857" i="31"/>
  <c r="H969" i="31"/>
  <c r="H1055" i="31"/>
  <c r="H1144" i="31"/>
  <c r="H1226" i="31"/>
  <c r="H1290" i="31"/>
  <c r="H1364" i="31"/>
  <c r="H1427" i="31"/>
  <c r="H1496" i="31"/>
  <c r="H1562" i="31"/>
  <c r="H1630" i="31"/>
  <c r="H1680" i="31"/>
  <c r="H1739" i="31"/>
  <c r="H1805" i="31"/>
  <c r="H1860" i="31"/>
  <c r="H1907" i="31"/>
  <c r="H1974" i="31"/>
  <c r="H2019" i="31"/>
  <c r="H2071" i="31"/>
  <c r="H2116" i="31"/>
  <c r="H2172" i="31"/>
  <c r="H2220" i="31"/>
  <c r="H2265" i="31"/>
  <c r="H2318" i="31"/>
  <c r="H2363" i="31"/>
  <c r="H2412" i="31"/>
  <c r="H2465" i="31"/>
  <c r="H2506" i="31"/>
  <c r="H2550" i="31"/>
  <c r="H2596" i="31"/>
  <c r="H2635" i="31"/>
  <c r="H2676" i="31"/>
  <c r="H2716" i="31"/>
  <c r="H2758" i="31"/>
  <c r="H2798" i="31"/>
  <c r="H2836" i="31"/>
  <c r="H2883" i="31"/>
  <c r="H2912" i="31"/>
  <c r="H2955" i="31"/>
  <c r="H2983" i="31"/>
  <c r="H3017" i="31"/>
  <c r="H3052" i="31"/>
  <c r="H3082" i="31"/>
  <c r="H3115" i="31"/>
  <c r="H3143" i="31"/>
  <c r="H3174" i="31"/>
  <c r="H3204" i="31"/>
  <c r="H3235" i="31"/>
  <c r="H3266" i="31"/>
  <c r="H3296" i="31"/>
  <c r="H3319" i="31"/>
  <c r="H3348" i="31"/>
  <c r="H3378" i="31"/>
  <c r="H3406" i="31"/>
  <c r="H3430" i="31"/>
  <c r="H3458" i="31"/>
  <c r="H3487" i="31"/>
  <c r="H3511" i="31"/>
  <c r="H3538" i="31"/>
  <c r="H3563" i="31"/>
  <c r="H3583" i="31"/>
  <c r="H3608" i="31"/>
  <c r="H3631" i="31"/>
  <c r="H3650" i="31"/>
  <c r="H3668" i="31"/>
  <c r="H3689" i="31"/>
  <c r="H3706" i="31"/>
  <c r="H3727" i="31"/>
  <c r="H3744" i="31"/>
  <c r="H3765" i="31"/>
  <c r="H3783" i="31"/>
  <c r="H3804" i="31"/>
  <c r="H3822" i="31"/>
  <c r="H3843" i="31"/>
  <c r="H3860" i="31"/>
  <c r="H3878" i="31"/>
  <c r="H3898" i="31"/>
  <c r="H3916" i="31"/>
  <c r="H3936" i="31"/>
  <c r="H3954" i="31"/>
  <c r="H3975" i="31"/>
  <c r="H3992" i="31"/>
  <c r="H4014" i="31"/>
  <c r="H4031" i="31"/>
  <c r="H4052" i="31"/>
  <c r="H4070" i="31"/>
  <c r="H4087" i="31"/>
  <c r="H4108" i="31"/>
  <c r="H4125" i="31"/>
  <c r="H4146" i="31"/>
  <c r="H4163" i="31"/>
  <c r="H4184" i="31"/>
  <c r="H4202" i="31"/>
  <c r="H4223" i="31"/>
  <c r="H4241" i="31"/>
  <c r="H4262" i="31"/>
  <c r="H4279" i="31"/>
  <c r="H4295" i="31"/>
  <c r="H4314" i="31"/>
  <c r="H4330" i="31"/>
  <c r="H4347" i="31"/>
  <c r="H4365" i="31"/>
  <c r="H4382" i="31"/>
  <c r="H4398" i="31"/>
  <c r="H4418" i="31"/>
  <c r="H4434" i="31"/>
  <c r="H4450" i="31"/>
  <c r="H4467" i="31"/>
  <c r="H4485" i="31"/>
  <c r="H4502" i="31"/>
  <c r="H4518" i="31"/>
  <c r="H4536" i="31"/>
  <c r="H4553" i="31"/>
  <c r="H4569" i="31"/>
  <c r="H4588" i="31"/>
  <c r="H4605" i="31"/>
  <c r="H4622" i="31"/>
  <c r="H4639" i="31"/>
  <c r="H4654" i="31"/>
  <c r="H4669" i="31"/>
  <c r="H4684" i="31"/>
  <c r="H4701" i="31"/>
  <c r="H4716" i="31"/>
  <c r="H4731" i="31"/>
  <c r="H4748" i="31"/>
  <c r="H4763" i="31"/>
  <c r="H4779" i="31"/>
  <c r="H4796" i="31"/>
  <c r="H4811" i="31"/>
  <c r="H4826" i="31"/>
  <c r="H4843" i="31"/>
  <c r="H4858" i="31"/>
  <c r="H4873" i="31"/>
  <c r="H4888" i="31"/>
  <c r="H4905" i="31"/>
  <c r="H4920" i="31"/>
  <c r="H4935" i="31"/>
  <c r="H4953" i="31"/>
  <c r="H4968" i="31"/>
  <c r="H4983" i="31"/>
  <c r="H5000" i="31"/>
  <c r="H46" i="31"/>
  <c r="H31" i="31"/>
  <c r="H14" i="31"/>
  <c r="H102" i="31"/>
  <c r="H231" i="31"/>
  <c r="H355" i="31"/>
  <c r="H460" i="31"/>
  <c r="H580" i="31"/>
  <c r="H678" i="31"/>
  <c r="H792" i="31"/>
  <c r="H897" i="31"/>
  <c r="H979" i="31"/>
  <c r="H1078" i="31"/>
  <c r="H1160" i="31"/>
  <c r="H1240" i="31"/>
  <c r="H1308" i="31"/>
  <c r="H1375" i="31"/>
  <c r="H1444" i="31"/>
  <c r="H1508" i="31"/>
  <c r="H1580" i="31"/>
  <c r="H1634" i="31"/>
  <c r="H1689" i="31"/>
  <c r="H1758" i="31"/>
  <c r="H1811" i="31"/>
  <c r="H1872" i="31"/>
  <c r="H1928" i="31"/>
  <c r="H1976" i="31"/>
  <c r="H2034" i="31"/>
  <c r="H2079" i="31"/>
  <c r="H2130" i="31"/>
  <c r="H2176" i="31"/>
  <c r="H2227" i="31"/>
  <c r="H2275" i="31"/>
  <c r="H2320" i="31"/>
  <c r="H2378" i="31"/>
  <c r="H2420" i="31"/>
  <c r="H2467" i="31"/>
  <c r="H2511" i="31"/>
  <c r="H2556" i="31"/>
  <c r="H2599" i="31"/>
  <c r="H2640" i="31"/>
  <c r="H2680" i="31"/>
  <c r="H2720" i="31"/>
  <c r="H2765" i="31"/>
  <c r="H2800" i="31"/>
  <c r="H2844" i="31"/>
  <c r="H2885" i="31"/>
  <c r="H2923" i="31"/>
  <c r="H2958" i="31"/>
  <c r="H2992" i="31"/>
  <c r="H3027" i="31"/>
  <c r="H3054" i="31"/>
  <c r="H3092" i="31"/>
  <c r="H3117" i="31"/>
  <c r="H3147" i="31"/>
  <c r="H3178" i="31"/>
  <c r="H3209" i="31"/>
  <c r="H3239" i="31"/>
  <c r="H3268" i="31"/>
  <c r="H3299" i="31"/>
  <c r="H3328" i="31"/>
  <c r="H3352" i="31"/>
  <c r="H3381" i="31"/>
  <c r="H3408" i="31"/>
  <c r="H3432" i="31"/>
  <c r="H3462" i="31"/>
  <c r="H3489" i="31"/>
  <c r="H3519" i="31"/>
  <c r="H3545" i="31"/>
  <c r="H3566" i="31"/>
  <c r="H3591" i="31"/>
  <c r="H3610" i="31"/>
  <c r="H3633" i="31"/>
  <c r="H3653" i="31"/>
  <c r="H3674" i="31"/>
  <c r="H3691" i="31"/>
  <c r="H3712" i="31"/>
  <c r="H3729" i="31"/>
  <c r="H3747" i="31"/>
  <c r="H3768" i="31"/>
  <c r="H3786" i="31"/>
  <c r="H3807" i="31"/>
  <c r="H3824" i="31"/>
  <c r="H3845" i="31"/>
  <c r="H3862" i="31"/>
  <c r="H3883" i="31"/>
  <c r="H3900" i="31"/>
  <c r="H3921" i="31"/>
  <c r="H3939" i="31"/>
  <c r="H3956" i="31"/>
  <c r="H3978" i="31"/>
  <c r="H3995" i="31"/>
  <c r="H4016" i="31"/>
  <c r="H4034" i="31"/>
  <c r="H4054" i="31"/>
  <c r="H4072" i="31"/>
  <c r="H4092" i="31"/>
  <c r="H4110" i="31"/>
  <c r="H4131" i="31"/>
  <c r="H4148" i="31"/>
  <c r="H4166" i="31"/>
  <c r="H4187" i="31"/>
  <c r="H4205" i="31"/>
  <c r="H4226" i="31"/>
  <c r="H4243" i="31"/>
  <c r="H4264" i="31"/>
  <c r="H4281" i="31"/>
  <c r="H4300" i="31"/>
  <c r="H4316" i="31"/>
  <c r="H4332" i="31"/>
  <c r="H4349" i="31"/>
  <c r="H4367" i="31"/>
  <c r="H4385" i="31"/>
  <c r="H4401" i="31"/>
  <c r="H4420" i="31"/>
  <c r="H4436" i="31"/>
  <c r="H4452" i="31"/>
  <c r="H4471" i="31"/>
  <c r="H4487" i="31"/>
  <c r="H4504" i="31"/>
  <c r="H4522" i="31"/>
  <c r="H4539" i="31"/>
  <c r="H4555" i="31"/>
  <c r="H4575" i="31"/>
  <c r="H4591" i="31"/>
  <c r="H4607" i="31"/>
  <c r="H4624" i="31"/>
  <c r="H4641" i="31"/>
  <c r="H4656" i="31"/>
  <c r="H4671" i="31"/>
  <c r="H4688" i="31"/>
  <c r="H4703" i="31"/>
  <c r="H4718" i="31"/>
  <c r="H4735" i="31"/>
  <c r="H4751" i="31"/>
  <c r="H4766" i="31"/>
  <c r="H4783" i="31"/>
  <c r="H4798" i="31"/>
  <c r="H4813" i="31"/>
  <c r="H4828" i="31"/>
  <c r="H4845" i="31"/>
  <c r="H4860" i="31"/>
  <c r="H4875" i="31"/>
  <c r="H4892" i="31"/>
  <c r="H4907" i="31"/>
  <c r="H4923" i="31"/>
  <c r="H4940" i="31"/>
  <c r="H4955" i="31"/>
  <c r="H4970" i="31"/>
  <c r="H4987" i="31"/>
  <c r="H5002" i="31"/>
  <c r="H44" i="31"/>
  <c r="H29" i="31"/>
  <c r="H177" i="31"/>
  <c r="H284" i="31"/>
  <c r="H407" i="31"/>
  <c r="H528" i="31"/>
  <c r="H629" i="31"/>
  <c r="H727" i="31"/>
  <c r="H845" i="31"/>
  <c r="H936" i="31"/>
  <c r="H1037" i="31"/>
  <c r="H1114" i="31"/>
  <c r="H1190" i="31"/>
  <c r="H1278" i="31"/>
  <c r="H1342" i="31"/>
  <c r="H1412" i="31"/>
  <c r="H1480" i="31"/>
  <c r="H1534" i="31"/>
  <c r="H1604" i="31"/>
  <c r="H1663" i="31"/>
  <c r="H1725" i="31"/>
  <c r="H1783" i="31"/>
  <c r="H1843" i="31"/>
  <c r="H1901" i="31"/>
  <c r="H1950" i="31"/>
  <c r="H2001" i="31"/>
  <c r="H2058" i="31"/>
  <c r="H2106" i="31"/>
  <c r="H2151" i="31"/>
  <c r="H2203" i="31"/>
  <c r="H2248" i="31"/>
  <c r="H2300" i="31"/>
  <c r="H2356" i="31"/>
  <c r="H2402" i="31"/>
  <c r="H2445" i="31"/>
  <c r="H2486" i="31"/>
  <c r="H2535" i="31"/>
  <c r="H2575" i="31"/>
  <c r="H2626" i="31"/>
  <c r="H2661" i="31"/>
  <c r="H2700" i="31"/>
  <c r="H2743" i="31"/>
  <c r="H2782" i="31"/>
  <c r="H2823" i="31"/>
  <c r="H2863" i="31"/>
  <c r="H2903" i="31"/>
  <c r="H2939" i="31"/>
  <c r="H2976" i="31"/>
  <c r="H3009" i="31"/>
  <c r="H3042" i="31"/>
  <c r="H3070" i="31"/>
  <c r="H3103" i="31"/>
  <c r="H3132" i="31"/>
  <c r="H3162" i="31"/>
  <c r="H3195" i="31"/>
  <c r="H3223" i="31"/>
  <c r="H3254" i="31"/>
  <c r="H3285" i="31"/>
  <c r="H3315" i="31"/>
  <c r="H3339" i="31"/>
  <c r="H3366" i="31"/>
  <c r="H3394" i="31"/>
  <c r="H3423" i="31"/>
  <c r="H3448" i="31"/>
  <c r="H3475" i="31"/>
  <c r="H3503" i="31"/>
  <c r="H3532" i="31"/>
  <c r="H3554" i="31"/>
  <c r="H3579" i="31"/>
  <c r="H3603" i="31"/>
  <c r="H3621" i="31"/>
  <c r="H3641" i="31"/>
  <c r="H3664" i="31"/>
  <c r="H3681" i="31"/>
  <c r="H3702" i="31"/>
  <c r="H3719" i="31"/>
  <c r="H3740" i="31"/>
  <c r="H3758" i="31"/>
  <c r="H3778" i="31"/>
  <c r="H3796" i="31"/>
  <c r="H3816" i="31"/>
  <c r="H3834" i="31"/>
  <c r="H3851" i="31"/>
  <c r="H3873" i="31"/>
  <c r="H3891" i="31"/>
  <c r="H3911" i="31"/>
  <c r="H3929" i="31"/>
  <c r="H3950" i="31"/>
  <c r="H3967" i="31"/>
  <c r="H3988" i="31"/>
  <c r="H4005" i="31"/>
  <c r="H4026" i="31"/>
  <c r="H4043" i="31"/>
  <c r="H4061" i="31"/>
  <c r="H4083" i="31"/>
  <c r="H4100" i="31"/>
  <c r="H4121" i="31"/>
  <c r="H4138" i="31"/>
  <c r="H4159" i="31"/>
  <c r="H4176" i="31"/>
  <c r="H4197" i="31"/>
  <c r="H4215" i="31"/>
  <c r="H4235" i="31"/>
  <c r="H4253" i="31"/>
  <c r="H4270" i="31"/>
  <c r="H4291" i="31"/>
  <c r="H4307" i="31"/>
  <c r="H4326" i="31"/>
  <c r="H4342" i="31"/>
  <c r="H4359" i="31"/>
  <c r="H4375" i="31"/>
  <c r="H4394" i="31"/>
  <c r="H4410" i="31"/>
  <c r="H4426" i="31"/>
  <c r="H4445" i="31"/>
  <c r="H4461" i="31"/>
  <c r="H4479" i="31"/>
  <c r="H4497" i="31"/>
  <c r="H4514" i="31"/>
  <c r="H4530" i="31"/>
  <c r="H4548" i="31"/>
  <c r="H4565" i="31"/>
  <c r="H4581" i="31"/>
  <c r="H4598" i="31"/>
  <c r="H4616" i="31"/>
  <c r="H4632" i="31"/>
  <c r="H4647" i="31"/>
  <c r="H4665" i="31"/>
  <c r="H4680" i="31"/>
  <c r="H4695" i="31"/>
  <c r="H4712" i="31"/>
  <c r="H4727" i="31"/>
  <c r="H4742" i="31"/>
  <c r="H4759" i="31"/>
  <c r="H4774" i="31"/>
  <c r="H4789" i="31"/>
  <c r="H4804" i="31"/>
  <c r="H4821" i="31"/>
  <c r="H4837" i="31"/>
  <c r="H4852" i="31"/>
  <c r="H4869" i="31"/>
  <c r="H4884" i="31"/>
  <c r="H4899" i="31"/>
  <c r="H4916" i="31"/>
  <c r="H4931" i="31"/>
  <c r="H4946" i="31"/>
  <c r="H4963" i="31"/>
  <c r="H4978" i="31"/>
  <c r="H4993" i="31"/>
  <c r="H5011" i="31"/>
  <c r="H35" i="31"/>
  <c r="H20" i="31"/>
  <c r="H183" i="31"/>
  <c r="H285" i="31"/>
  <c r="H420" i="31"/>
  <c r="H531" i="31"/>
  <c r="H632" i="31"/>
  <c r="H751" i="31"/>
  <c r="H846" i="31"/>
  <c r="H939" i="31"/>
  <c r="H1048" i="31"/>
  <c r="H1125" i="31"/>
  <c r="H1191" i="31"/>
  <c r="H1279" i="31"/>
  <c r="H1344" i="31"/>
  <c r="H1413" i="31"/>
  <c r="H1481" i="31"/>
  <c r="H1535" i="31"/>
  <c r="H1610" i="31"/>
  <c r="H1664" i="31"/>
  <c r="H1726" i="31"/>
  <c r="H1787" i="31"/>
  <c r="H1850" i="31"/>
  <c r="H1902" i="31"/>
  <c r="H1955" i="31"/>
  <c r="H2014" i="31"/>
  <c r="H2059" i="31"/>
  <c r="H2107" i="31"/>
  <c r="H2157" i="31"/>
  <c r="H2204" i="31"/>
  <c r="H2250" i="31"/>
  <c r="H2307" i="31"/>
  <c r="H2357" i="31"/>
  <c r="H2403" i="31"/>
  <c r="H2446" i="31"/>
  <c r="H2492" i="31"/>
  <c r="H2536" i="31"/>
  <c r="H2576" i="31"/>
  <c r="H2627" i="31"/>
  <c r="H2662" i="31"/>
  <c r="H2712" i="31"/>
  <c r="H2744" i="31"/>
  <c r="H2783" i="31"/>
  <c r="H2825" i="31"/>
  <c r="H2865" i="31"/>
  <c r="H2906" i="31"/>
  <c r="H2940" i="31"/>
  <c r="H2979" i="31"/>
  <c r="H3010" i="31"/>
  <c r="H3043" i="31"/>
  <c r="H3078" i="31"/>
  <c r="H3107" i="31"/>
  <c r="H3134" i="31"/>
  <c r="H3165" i="31"/>
  <c r="H3196" i="31"/>
  <c r="H3225" i="31"/>
  <c r="H3257" i="31"/>
  <c r="H3286" i="31"/>
  <c r="H3316" i="31"/>
  <c r="H3343" i="31"/>
  <c r="H3368" i="31"/>
  <c r="H3396" i="31"/>
  <c r="H3424" i="31"/>
  <c r="H3453" i="31"/>
  <c r="H3476" i="31"/>
  <c r="H3508" i="31"/>
  <c r="H3534" i="31"/>
  <c r="H3555" i="31"/>
  <c r="H3580" i="31"/>
  <c r="H3604" i="31"/>
  <c r="H3622" i="31"/>
  <c r="H3646" i="31"/>
  <c r="H3665" i="31"/>
  <c r="H3686" i="31"/>
  <c r="H3703" i="31"/>
  <c r="H3720" i="31"/>
  <c r="H3741" i="31"/>
  <c r="H3759" i="31"/>
  <c r="H3779" i="31"/>
  <c r="H3797" i="31"/>
  <c r="H3818" i="31"/>
  <c r="H3835" i="31"/>
  <c r="H3857" i="31"/>
  <c r="H3874" i="31"/>
  <c r="H3895" i="31"/>
  <c r="H3912" i="31"/>
  <c r="H3930" i="31"/>
  <c r="H4991" i="31"/>
  <c r="H4971" i="31"/>
  <c r="H4948" i="31"/>
  <c r="H4929" i="31"/>
  <c r="H4909" i="31"/>
  <c r="H4886" i="31"/>
  <c r="H4867" i="31"/>
  <c r="H4846" i="31"/>
  <c r="H4824" i="31"/>
  <c r="H4802" i="31"/>
  <c r="H4784" i="31"/>
  <c r="H4761" i="31"/>
  <c r="H4740" i="31"/>
  <c r="H4719" i="31"/>
  <c r="H4699" i="31"/>
  <c r="H4677" i="31"/>
  <c r="H4657" i="31"/>
  <c r="H4635" i="31"/>
  <c r="H4614" i="31"/>
  <c r="H4592" i="31"/>
  <c r="H4567" i="31"/>
  <c r="H4544" i="31"/>
  <c r="H4523" i="31"/>
  <c r="H4499" i="31"/>
  <c r="H4475" i="31"/>
  <c r="H4454" i="31"/>
  <c r="H4431" i="31"/>
  <c r="H4408" i="31"/>
  <c r="H4386" i="31"/>
  <c r="H4361" i="31"/>
  <c r="H4340" i="31"/>
  <c r="H4317" i="31"/>
  <c r="H4293" i="31"/>
  <c r="H4268" i="31"/>
  <c r="H4244" i="31"/>
  <c r="H4217" i="31"/>
  <c r="H4192" i="31"/>
  <c r="H4171" i="31"/>
  <c r="H4144" i="31"/>
  <c r="H4119" i="31"/>
  <c r="H4094" i="31"/>
  <c r="H4067" i="31"/>
  <c r="H4041" i="31"/>
  <c r="H4017" i="31"/>
  <c r="H3990" i="31"/>
  <c r="H3965" i="31"/>
  <c r="H3940" i="31"/>
  <c r="H3910" i="31"/>
  <c r="H3884" i="31"/>
  <c r="H3850" i="31"/>
  <c r="H3825" i="31"/>
  <c r="H3795" i="31"/>
  <c r="H3770" i="31"/>
  <c r="H3739" i="31"/>
  <c r="H3713" i="31"/>
  <c r="H3680" i="31"/>
  <c r="H3654" i="31"/>
  <c r="H3620" i="31"/>
  <c r="H3592" i="31"/>
  <c r="H3552" i="31"/>
  <c r="H3521" i="31"/>
  <c r="H3474" i="31"/>
  <c r="H3440" i="31"/>
  <c r="H3393" i="31"/>
  <c r="H3354" i="31"/>
  <c r="H3306" i="31"/>
  <c r="H3272" i="31"/>
  <c r="H3222" i="31"/>
  <c r="H3180" i="31"/>
  <c r="H3131" i="31"/>
  <c r="H3093" i="31"/>
  <c r="H3036" i="31"/>
  <c r="H2995" i="31"/>
  <c r="H2938" i="31"/>
  <c r="H2886" i="31"/>
  <c r="H2820" i="31"/>
  <c r="H2766" i="31"/>
  <c r="H2699" i="31"/>
  <c r="H2648" i="31"/>
  <c r="H2574" i="31"/>
  <c r="H2516" i="31"/>
  <c r="H2444" i="31"/>
  <c r="H2380" i="31"/>
  <c r="H2299" i="31"/>
  <c r="H2228" i="31"/>
  <c r="H2148" i="31"/>
  <c r="H2080" i="31"/>
  <c r="H2000" i="31"/>
  <c r="H1929" i="31"/>
  <c r="H1835" i="31"/>
  <c r="H1759" i="31"/>
  <c r="H1660" i="31"/>
  <c r="H1581" i="31"/>
  <c r="H1468" i="31"/>
  <c r="H1390" i="31"/>
  <c r="H1275" i="31"/>
  <c r="H1161" i="31"/>
  <c r="H1026" i="31"/>
  <c r="H900" i="31"/>
  <c r="H720" i="31"/>
  <c r="H583" i="31"/>
  <c r="H402" i="31"/>
  <c r="H239" i="31"/>
  <c r="B14" i="34"/>
  <c r="H4463" i="31"/>
  <c r="H4439" i="31"/>
  <c r="H4419" i="31"/>
  <c r="H4395" i="31"/>
  <c r="H4372" i="31"/>
  <c r="H4348" i="31"/>
  <c r="H4327" i="31"/>
  <c r="H4303" i="31"/>
  <c r="H4280" i="31"/>
  <c r="H4254" i="31"/>
  <c r="H4229" i="31"/>
  <c r="H4204" i="31"/>
  <c r="H4178" i="31"/>
  <c r="H4152" i="31"/>
  <c r="H4126" i="31"/>
  <c r="H4104" i="31"/>
  <c r="H4078" i="31"/>
  <c r="H4053" i="31"/>
  <c r="H4027" i="31"/>
  <c r="H4002" i="31"/>
  <c r="H3976" i="31"/>
  <c r="H3951" i="31"/>
  <c r="H3923" i="31"/>
  <c r="H3896" i="31"/>
  <c r="H3864" i="31"/>
  <c r="H3837" i="31"/>
  <c r="H3809" i="31"/>
  <c r="H3780" i="31"/>
  <c r="H3753" i="31"/>
  <c r="H3725" i="31"/>
  <c r="H3693" i="31"/>
  <c r="H3666" i="31"/>
  <c r="H3635" i="31"/>
  <c r="H3605" i="31"/>
  <c r="H3569" i="31"/>
  <c r="H3535" i="31"/>
  <c r="H3495" i="31"/>
  <c r="H3455" i="31"/>
  <c r="H3411" i="31"/>
  <c r="H3369" i="31"/>
  <c r="H3330" i="31"/>
  <c r="H3288" i="31"/>
  <c r="H3242" i="31"/>
  <c r="H3197" i="31"/>
  <c r="H3156" i="31"/>
  <c r="H3108" i="31"/>
  <c r="H3065" i="31"/>
  <c r="H3012" i="31"/>
  <c r="H2963" i="31"/>
  <c r="H2909" i="31"/>
  <c r="H2849" i="31"/>
  <c r="H2795" i="31"/>
  <c r="H2731" i="31"/>
  <c r="H2668" i="31"/>
  <c r="H2610" i="31"/>
  <c r="H2544" i="31"/>
  <c r="H2471" i="31"/>
  <c r="H2406" i="31"/>
  <c r="H2334" i="31"/>
  <c r="H2263" i="31"/>
  <c r="H2184" i="31"/>
  <c r="H2112" i="31"/>
  <c r="H2037" i="31"/>
  <c r="H1964" i="31"/>
  <c r="H1879" i="31"/>
  <c r="H1790" i="31"/>
  <c r="H1706" i="31"/>
  <c r="H1613" i="31"/>
  <c r="H1527" i="31"/>
  <c r="H1418" i="31"/>
  <c r="H1322" i="31"/>
  <c r="H1217" i="31"/>
  <c r="H1089" i="31"/>
  <c r="H963" i="31"/>
  <c r="H802" i="31"/>
  <c r="H645" i="31"/>
  <c r="H492" i="31"/>
  <c r="H312" i="31"/>
  <c r="H126" i="31"/>
  <c r="D6" i="34"/>
  <c r="D19" i="34" s="1"/>
  <c r="H21" i="31"/>
  <c r="H42" i="31"/>
  <c r="H4999" i="31"/>
  <c r="H4977" i="31"/>
  <c r="H4957" i="31"/>
  <c r="H4934" i="31"/>
  <c r="H4915" i="31"/>
  <c r="H4895" i="31"/>
  <c r="H4872" i="31"/>
  <c r="H4851" i="31"/>
  <c r="H4832" i="31"/>
  <c r="H4810" i="31"/>
  <c r="H4788" i="31"/>
  <c r="H4768" i="31"/>
  <c r="H4747" i="31"/>
  <c r="H4726" i="31"/>
  <c r="H4705" i="31"/>
  <c r="H4683" i="31"/>
  <c r="H4663" i="31"/>
  <c r="H4643" i="31"/>
  <c r="H4620" i="31"/>
  <c r="H4596" i="31"/>
  <c r="H4577" i="31"/>
  <c r="H4552" i="31"/>
  <c r="H4529" i="31"/>
  <c r="H4506" i="31"/>
  <c r="H4484" i="31"/>
  <c r="H4460" i="31"/>
  <c r="H4438" i="31"/>
  <c r="H4413" i="31"/>
  <c r="H4392" i="31"/>
  <c r="H4371" i="31"/>
  <c r="H4346" i="31"/>
  <c r="H4323" i="31"/>
  <c r="H4302" i="31"/>
  <c r="H4278" i="31"/>
  <c r="H4252" i="31"/>
  <c r="H4228" i="31"/>
  <c r="H4200" i="31"/>
  <c r="H4175" i="31"/>
  <c r="H4151" i="31"/>
  <c r="H4124" i="31"/>
  <c r="H4099" i="31"/>
  <c r="H4074" i="31"/>
  <c r="H4048" i="31"/>
  <c r="H4022" i="31"/>
  <c r="H4001" i="31"/>
  <c r="H3974" i="31"/>
  <c r="H3948" i="31"/>
  <c r="H3922" i="31"/>
  <c r="H3890" i="31"/>
  <c r="H3863" i="31"/>
  <c r="H3833" i="31"/>
  <c r="H3808" i="31"/>
  <c r="H3777" i="31"/>
  <c r="H3752" i="31"/>
  <c r="H3718" i="31"/>
  <c r="H3692" i="31"/>
  <c r="H3662" i="31"/>
  <c r="H3634" i="31"/>
  <c r="H3597" i="31"/>
  <c r="H3568" i="31"/>
  <c r="H3531" i="31"/>
  <c r="H3490" i="31"/>
  <c r="H3446" i="31"/>
  <c r="H3410" i="31"/>
  <c r="H3365" i="31"/>
  <c r="H3329" i="31"/>
  <c r="H3283" i="31"/>
  <c r="H3240" i="31"/>
  <c r="H3191" i="31"/>
  <c r="H3155" i="31"/>
  <c r="H3100" i="31"/>
  <c r="H3059" i="31"/>
  <c r="H3003" i="31"/>
  <c r="H2962" i="31"/>
  <c r="H2901" i="31"/>
  <c r="H2848" i="31"/>
  <c r="H2780" i="31"/>
  <c r="H2727" i="31"/>
  <c r="H2660" i="31"/>
  <c r="H2609" i="31"/>
  <c r="H2534" i="31"/>
  <c r="H2469" i="31"/>
  <c r="H2390" i="31"/>
  <c r="H2332" i="31"/>
  <c r="H2247" i="31"/>
  <c r="H2178" i="31"/>
  <c r="H2104" i="31"/>
  <c r="H2036" i="31"/>
  <c r="H1947" i="31"/>
  <c r="H1875" i="31"/>
  <c r="H1782" i="31"/>
  <c r="H1691" i="31"/>
  <c r="H1602" i="31"/>
  <c r="H1509" i="31"/>
  <c r="H1398" i="31"/>
  <c r="H1312" i="31"/>
  <c r="H1188" i="31"/>
  <c r="H1085" i="31"/>
  <c r="H934" i="31"/>
  <c r="H796" i="31"/>
  <c r="H623" i="31"/>
  <c r="H462" i="31"/>
  <c r="H281" i="31"/>
  <c r="H104" i="31"/>
  <c r="C14" i="34"/>
  <c r="D14" i="34"/>
  <c r="J14" i="34"/>
  <c r="G22" i="26" s="1"/>
  <c r="K14" i="34"/>
  <c r="H22" i="26" s="1"/>
  <c r="N8" i="34"/>
  <c r="M9" i="34"/>
  <c r="H23" i="34"/>
  <c r="F6" i="34"/>
  <c r="F19" i="34" s="1"/>
  <c r="G6" i="34"/>
  <c r="G19" i="34" s="1"/>
  <c r="K23" i="34"/>
  <c r="M23" i="34" s="1"/>
  <c r="M4" i="34" s="1"/>
  <c r="I6" i="34"/>
  <c r="I19" i="34" s="1"/>
  <c r="H14" i="34"/>
  <c r="E22" i="26" s="1"/>
  <c r="K6" i="34"/>
  <c r="K19" i="34" s="1"/>
  <c r="B6" i="34"/>
  <c r="B19" i="34" s="1"/>
  <c r="N11" i="34"/>
  <c r="I14" i="34"/>
  <c r="F22" i="26" s="1"/>
  <c r="E6" i="34"/>
  <c r="E19" i="34" s="1"/>
  <c r="L14" i="34"/>
  <c r="L25" i="34" s="1"/>
  <c r="F14" i="34"/>
  <c r="G14" i="34"/>
  <c r="I23" i="34"/>
  <c r="J23" i="34"/>
  <c r="J6" i="34"/>
  <c r="J19" i="34" s="1"/>
  <c r="H6" i="34"/>
  <c r="H19" i="34" s="1"/>
  <c r="L29" i="31" l="1"/>
  <c r="M29" i="31" s="1"/>
  <c r="N29" i="31" s="1"/>
  <c r="L30" i="31"/>
  <c r="M30" i="31" s="1"/>
  <c r="N30" i="31" s="1"/>
  <c r="N21" i="31"/>
  <c r="N22" i="31"/>
  <c r="N23" i="31"/>
  <c r="N20" i="31"/>
  <c r="L28" i="31"/>
  <c r="M28" i="31" s="1"/>
  <c r="N28" i="31" s="1"/>
  <c r="L27" i="31"/>
  <c r="M27" i="31" s="1"/>
  <c r="N27" i="31" s="1"/>
  <c r="K24" i="34"/>
  <c r="M24" i="34" s="1"/>
  <c r="M6" i="34" s="1"/>
  <c r="I25" i="34"/>
  <c r="K25" i="34"/>
  <c r="M25" i="34" s="1"/>
  <c r="M14" i="34" s="1"/>
  <c r="M15" i="34" s="1"/>
  <c r="H24" i="34"/>
  <c r="N23" i="34"/>
  <c r="N4" i="34" s="1"/>
  <c r="J25" i="34"/>
  <c r="D22" i="26"/>
  <c r="J24" i="34"/>
  <c r="I24" i="34"/>
  <c r="H25" i="34"/>
  <c r="M10" i="34" l="1"/>
  <c r="M12" i="34" s="1"/>
  <c r="M5" i="34"/>
  <c r="N24" i="34"/>
  <c r="N6" i="34" s="1"/>
  <c r="N25" i="34"/>
  <c r="N14" i="34" s="1"/>
  <c r="N15" i="34" s="1"/>
  <c r="N10" i="34"/>
  <c r="N12" i="34" s="1"/>
  <c r="N5" i="34"/>
  <c r="K103" i="6"/>
  <c r="J103" i="6"/>
  <c r="I103" i="6"/>
  <c r="H103" i="6"/>
  <c r="G103" i="6"/>
  <c r="F103" i="6"/>
  <c r="E103" i="6"/>
  <c r="D103" i="6"/>
  <c r="C103" i="6"/>
  <c r="B103" i="6"/>
  <c r="K98" i="6"/>
  <c r="J98" i="6"/>
  <c r="I98" i="6"/>
  <c r="H98" i="6"/>
  <c r="G98" i="6"/>
  <c r="F98" i="6"/>
  <c r="E98" i="6"/>
  <c r="D98" i="6"/>
  <c r="C98" i="6"/>
  <c r="B98" i="6"/>
  <c r="C97" i="6"/>
  <c r="D97" i="6"/>
  <c r="E97" i="6"/>
  <c r="F97" i="6"/>
  <c r="G97" i="6"/>
  <c r="H97" i="6"/>
  <c r="I97" i="6"/>
  <c r="J97" i="6"/>
  <c r="K97" i="6"/>
  <c r="B97" i="6"/>
  <c r="C96" i="6"/>
  <c r="D96" i="6"/>
  <c r="E96" i="6"/>
  <c r="F96" i="6"/>
  <c r="G96" i="6"/>
  <c r="H96" i="6"/>
  <c r="I96" i="6"/>
  <c r="J96" i="6"/>
  <c r="K96" i="6"/>
  <c r="B96" i="6"/>
  <c r="B105" i="6" s="1"/>
  <c r="B4" i="31"/>
  <c r="B2" i="26"/>
  <c r="C12" i="16"/>
  <c r="D12" i="16"/>
  <c r="E12" i="16"/>
  <c r="F12" i="16"/>
  <c r="G12" i="16"/>
  <c r="D73" i="30"/>
  <c r="C73" i="30"/>
  <c r="I73" i="30"/>
  <c r="H73" i="30"/>
  <c r="G73" i="30"/>
  <c r="F73" i="30"/>
  <c r="E73" i="30"/>
  <c r="B80" i="30"/>
  <c r="I54" i="30"/>
  <c r="I60" i="30" s="1"/>
  <c r="I66" i="30" s="1"/>
  <c r="I72" i="30" s="1"/>
  <c r="H54" i="30"/>
  <c r="H60" i="30" s="1"/>
  <c r="H66" i="30" s="1"/>
  <c r="H72" i="30" s="1"/>
  <c r="G54" i="30"/>
  <c r="G60" i="30" s="1"/>
  <c r="G66" i="30" s="1"/>
  <c r="G72" i="30" s="1"/>
  <c r="F54" i="30"/>
  <c r="F60" i="30" s="1"/>
  <c r="F66" i="30" s="1"/>
  <c r="F72" i="30" s="1"/>
  <c r="E54" i="30"/>
  <c r="E78" i="30" s="1"/>
  <c r="E84" i="30" s="1"/>
  <c r="D54" i="30"/>
  <c r="D78" i="30" s="1"/>
  <c r="D84" i="30" s="1"/>
  <c r="C54" i="30"/>
  <c r="C78" i="30" s="1"/>
  <c r="C84" i="30" s="1"/>
  <c r="B4" i="30"/>
  <c r="B4" i="8"/>
  <c r="J105" i="6" l="1"/>
  <c r="G25" i="26" s="1"/>
  <c r="C105" i="6"/>
  <c r="E105" i="6"/>
  <c r="I99" i="6"/>
  <c r="I105" i="6"/>
  <c r="F25" i="26" s="1"/>
  <c r="C99" i="6"/>
  <c r="C102" i="6" s="1"/>
  <c r="H99" i="6"/>
  <c r="H102" i="6" s="1"/>
  <c r="E24" i="26" s="1"/>
  <c r="K99" i="6"/>
  <c r="K102" i="6" s="1"/>
  <c r="H24" i="26" s="1"/>
  <c r="G99" i="6"/>
  <c r="G102" i="6" s="1"/>
  <c r="D24" i="26" s="1"/>
  <c r="G105" i="6"/>
  <c r="D25" i="26" s="1"/>
  <c r="F99" i="6"/>
  <c r="F102" i="6" s="1"/>
  <c r="B99" i="6"/>
  <c r="B102" i="6" s="1"/>
  <c r="E99" i="6"/>
  <c r="E102" i="6" s="1"/>
  <c r="F105" i="6"/>
  <c r="D105" i="6"/>
  <c r="I102" i="6"/>
  <c r="F24" i="26" s="1"/>
  <c r="J99" i="6"/>
  <c r="K105" i="6"/>
  <c r="H25" i="26" s="1"/>
  <c r="D99" i="6"/>
  <c r="H105" i="6"/>
  <c r="E25" i="26" s="1"/>
  <c r="D60" i="30"/>
  <c r="D66" i="30" s="1"/>
  <c r="D72" i="30" s="1"/>
  <c r="C60" i="30"/>
  <c r="C66" i="30" s="1"/>
  <c r="C72" i="30" s="1"/>
  <c r="E60" i="30"/>
  <c r="E66" i="30" s="1"/>
  <c r="E72" i="30" s="1"/>
  <c r="G78" i="30"/>
  <c r="G84" i="30" s="1"/>
  <c r="I78" i="30"/>
  <c r="I84" i="30" s="1"/>
  <c r="F78" i="30"/>
  <c r="F84" i="30" s="1"/>
  <c r="H78" i="30"/>
  <c r="H84" i="30" s="1"/>
  <c r="B4" i="24"/>
  <c r="B10" i="24"/>
  <c r="B10" i="20"/>
  <c r="B10" i="14"/>
  <c r="B10" i="19"/>
  <c r="B10" i="13"/>
  <c r="B10" i="11"/>
  <c r="B10" i="12"/>
  <c r="B10" i="8"/>
  <c r="B4" i="20"/>
  <c r="B4" i="14"/>
  <c r="B4" i="19"/>
  <c r="B4" i="18"/>
  <c r="B4" i="16"/>
  <c r="B4" i="13"/>
  <c r="B4" i="11"/>
  <c r="B4" i="12"/>
  <c r="B4" i="22"/>
  <c r="B78" i="22"/>
  <c r="B77" i="22"/>
  <c r="B83" i="22" s="1"/>
  <c r="B70" i="22"/>
  <c r="B69" i="22"/>
  <c r="B61" i="22"/>
  <c r="H54" i="22"/>
  <c r="G54" i="22"/>
  <c r="G60" i="22" s="1"/>
  <c r="F54" i="22"/>
  <c r="F76" i="22" s="1"/>
  <c r="F82" i="22" s="1"/>
  <c r="E54" i="22"/>
  <c r="E60" i="22" s="1"/>
  <c r="D54" i="22"/>
  <c r="D76" i="22" s="1"/>
  <c r="D82" i="22" s="1"/>
  <c r="C54" i="22"/>
  <c r="C60" i="22" s="1"/>
  <c r="I54" i="22"/>
  <c r="I76" i="22" s="1"/>
  <c r="I82" i="22" s="1"/>
  <c r="I24" i="14"/>
  <c r="C50" i="8"/>
  <c r="D50" i="8"/>
  <c r="D55" i="8" s="1"/>
  <c r="E50" i="8"/>
  <c r="E55" i="8" s="1"/>
  <c r="F50" i="8"/>
  <c r="G50" i="8"/>
  <c r="H50" i="8"/>
  <c r="I50" i="8"/>
  <c r="J50" i="8"/>
  <c r="K50" i="8"/>
  <c r="L50" i="8"/>
  <c r="G14" i="18"/>
  <c r="J22" i="20"/>
  <c r="J21" i="20"/>
  <c r="J20" i="20"/>
  <c r="J19" i="20"/>
  <c r="J18" i="20"/>
  <c r="J16" i="20"/>
  <c r="L22" i="20"/>
  <c r="L21" i="20"/>
  <c r="L20" i="20"/>
  <c r="L19" i="20"/>
  <c r="L18" i="20"/>
  <c r="L16" i="20"/>
  <c r="L17" i="20"/>
  <c r="J17" i="20"/>
  <c r="I3" i="25"/>
  <c r="G17" i="20" s="1"/>
  <c r="I9" i="25"/>
  <c r="G22" i="20" s="1"/>
  <c r="I8" i="25"/>
  <c r="G21" i="20" s="1"/>
  <c r="I7" i="25"/>
  <c r="G20" i="20" s="1"/>
  <c r="I6" i="25"/>
  <c r="G19" i="20" s="1"/>
  <c r="I5" i="25"/>
  <c r="G18" i="20" s="1"/>
  <c r="I4" i="25"/>
  <c r="G16" i="20" s="1"/>
  <c r="P34" i="20" s="1"/>
  <c r="E22" i="20"/>
  <c r="D22" i="20"/>
  <c r="E21" i="20"/>
  <c r="D21" i="20"/>
  <c r="E20" i="20"/>
  <c r="D20" i="20"/>
  <c r="E19" i="20"/>
  <c r="D19" i="20"/>
  <c r="E18" i="20"/>
  <c r="D18" i="20"/>
  <c r="E16" i="20"/>
  <c r="P36" i="20" s="1"/>
  <c r="D16" i="20"/>
  <c r="E17" i="20"/>
  <c r="D17" i="20"/>
  <c r="B22" i="20"/>
  <c r="B21" i="20"/>
  <c r="B20" i="20"/>
  <c r="B19" i="20"/>
  <c r="B18" i="20"/>
  <c r="B16" i="20"/>
  <c r="B17" i="20"/>
  <c r="F9" i="25"/>
  <c r="J9" i="25" s="1"/>
  <c r="M9" i="25" s="1"/>
  <c r="K22" i="20" s="1"/>
  <c r="F8" i="25"/>
  <c r="J8" i="25" s="1"/>
  <c r="M8" i="25" s="1"/>
  <c r="K21" i="20" s="1"/>
  <c r="F7" i="25"/>
  <c r="J7" i="25" s="1"/>
  <c r="M7" i="25" s="1"/>
  <c r="K20" i="20" s="1"/>
  <c r="F6" i="25"/>
  <c r="J6" i="25" s="1"/>
  <c r="M6" i="25" s="1"/>
  <c r="K19" i="20" s="1"/>
  <c r="F5" i="25"/>
  <c r="J5" i="25" s="1"/>
  <c r="M5" i="25" s="1"/>
  <c r="K18" i="20" s="1"/>
  <c r="F4" i="25"/>
  <c r="J4" i="25" s="1"/>
  <c r="M4" i="25" s="1"/>
  <c r="K16" i="20" s="1"/>
  <c r="F3" i="25"/>
  <c r="J3" i="25" s="1"/>
  <c r="D102" i="6" l="1"/>
  <c r="J102" i="6"/>
  <c r="G24" i="26" s="1"/>
  <c r="M3" i="25"/>
  <c r="K17" i="20" s="1"/>
  <c r="G55" i="8"/>
  <c r="I55" i="8"/>
  <c r="H55" i="8"/>
  <c r="F55" i="8"/>
  <c r="K55" i="8"/>
  <c r="J55" i="8"/>
  <c r="L55" i="8"/>
  <c r="F60" i="22"/>
  <c r="I60" i="22"/>
  <c r="E76" i="22"/>
  <c r="E82" i="22" s="1"/>
  <c r="D60" i="22"/>
  <c r="H60" i="22"/>
  <c r="H76" i="22"/>
  <c r="H82" i="22" s="1"/>
  <c r="G76" i="22"/>
  <c r="G82" i="22" s="1"/>
  <c r="C76" i="22"/>
  <c r="C82" i="22" s="1"/>
  <c r="F21" i="20"/>
  <c r="H21" i="20" s="1"/>
  <c r="N34" i="20"/>
  <c r="O34" i="20"/>
  <c r="N36" i="20"/>
  <c r="O36" i="20"/>
  <c r="F20" i="20"/>
  <c r="H20" i="20" s="1"/>
  <c r="F22" i="20"/>
  <c r="P22" i="20" s="1"/>
  <c r="F19" i="20"/>
  <c r="F17" i="20"/>
  <c r="F18" i="20"/>
  <c r="F16" i="20"/>
  <c r="H18" i="14"/>
  <c r="G18" i="14"/>
  <c r="J18" i="14" s="1"/>
  <c r="G19" i="14"/>
  <c r="J40" i="14"/>
  <c r="P20" i="20" l="1"/>
  <c r="H17" i="26"/>
  <c r="H17" i="12"/>
  <c r="D18" i="26" s="1"/>
  <c r="F17" i="26"/>
  <c r="E17" i="26"/>
  <c r="G17" i="26"/>
  <c r="D17" i="26"/>
  <c r="P21" i="20"/>
  <c r="H17" i="20"/>
  <c r="P17" i="20"/>
  <c r="H22" i="20"/>
  <c r="H16" i="20"/>
  <c r="P16" i="20"/>
  <c r="H18" i="20"/>
  <c r="P18" i="20"/>
  <c r="H19" i="20"/>
  <c r="P19" i="20"/>
  <c r="I25" i="14"/>
  <c r="P29" i="20" l="1"/>
  <c r="P28" i="20"/>
  <c r="P24" i="20"/>
  <c r="P27" i="20"/>
  <c r="P35" i="20" s="1"/>
  <c r="P26" i="20"/>
  <c r="P25" i="20"/>
  <c r="N18" i="20"/>
  <c r="O19" i="20"/>
  <c r="O17" i="20"/>
  <c r="N17" i="20"/>
  <c r="O22" i="20"/>
  <c r="O16" i="20"/>
  <c r="N22" i="20"/>
  <c r="N16" i="20"/>
  <c r="O21" i="20"/>
  <c r="N21" i="20"/>
  <c r="O20" i="20"/>
  <c r="N20" i="20"/>
  <c r="N19" i="20"/>
  <c r="O18" i="20"/>
  <c r="C33" i="19"/>
  <c r="E31" i="14"/>
  <c r="C50" i="16"/>
  <c r="L94" i="8"/>
  <c r="K94" i="8"/>
  <c r="J94" i="8"/>
  <c r="I94" i="8"/>
  <c r="H94" i="8"/>
  <c r="G94" i="8"/>
  <c r="F94" i="8"/>
  <c r="E94" i="8"/>
  <c r="D94" i="8"/>
  <c r="C94" i="8"/>
  <c r="C92" i="8"/>
  <c r="D92" i="8"/>
  <c r="E92" i="8"/>
  <c r="F92" i="8"/>
  <c r="G92" i="8"/>
  <c r="H92" i="8"/>
  <c r="I92" i="8"/>
  <c r="J92" i="8"/>
  <c r="K92" i="8"/>
  <c r="L92" i="8"/>
  <c r="D50" i="16"/>
  <c r="O27" i="20" l="1"/>
  <c r="O33" i="20" s="1"/>
  <c r="O35" i="20" s="1"/>
  <c r="O38" i="20" s="1"/>
  <c r="O40" i="20" s="1"/>
  <c r="P38" i="20"/>
  <c r="P40" i="20" s="1"/>
  <c r="P33" i="20"/>
  <c r="O25" i="20"/>
  <c r="O26" i="20"/>
  <c r="O29" i="20"/>
  <c r="O28" i="20"/>
  <c r="O24" i="20"/>
  <c r="N29" i="20"/>
  <c r="N28" i="20"/>
  <c r="N27" i="20"/>
  <c r="N26" i="20"/>
  <c r="N25" i="20"/>
  <c r="N24" i="20"/>
  <c r="G16" i="18"/>
  <c r="J31" i="14" s="1"/>
  <c r="D75" i="8"/>
  <c r="E75" i="8"/>
  <c r="F75" i="8"/>
  <c r="G75" i="8"/>
  <c r="H75" i="8"/>
  <c r="I75" i="8"/>
  <c r="J75" i="8"/>
  <c r="K75" i="8"/>
  <c r="L75" i="8"/>
  <c r="D76" i="8"/>
  <c r="E76" i="8"/>
  <c r="F76" i="8"/>
  <c r="G76" i="8"/>
  <c r="H76" i="8"/>
  <c r="I76" i="8"/>
  <c r="J76" i="8"/>
  <c r="K76" i="8"/>
  <c r="L76" i="8"/>
  <c r="D77" i="8"/>
  <c r="E77" i="8"/>
  <c r="F77" i="8"/>
  <c r="G77" i="8"/>
  <c r="H77" i="8"/>
  <c r="I77" i="8"/>
  <c r="J77" i="8"/>
  <c r="K77" i="8"/>
  <c r="L77" i="8"/>
  <c r="D78" i="8"/>
  <c r="E78" i="8"/>
  <c r="F78" i="8"/>
  <c r="G78" i="8"/>
  <c r="H78" i="8"/>
  <c r="I78" i="8"/>
  <c r="J78" i="8"/>
  <c r="K78" i="8"/>
  <c r="L78" i="8"/>
  <c r="C87" i="8"/>
  <c r="F20" i="19"/>
  <c r="C49" i="19"/>
  <c r="B49" i="19"/>
  <c r="B48" i="19"/>
  <c r="C48" i="19"/>
  <c r="B47" i="19"/>
  <c r="J79" i="8" l="1"/>
  <c r="N33" i="20"/>
  <c r="N35" i="20" s="1"/>
  <c r="N38" i="20" s="1"/>
  <c r="N40" i="20" s="1"/>
  <c r="K79" i="8"/>
  <c r="I79" i="8"/>
  <c r="E79" i="8"/>
  <c r="D79" i="8"/>
  <c r="L79" i="8"/>
  <c r="F79" i="8"/>
  <c r="H79" i="8"/>
  <c r="G79" i="8"/>
  <c r="G20" i="19"/>
  <c r="H20" i="19" s="1"/>
  <c r="I20" i="19" s="1"/>
  <c r="J19" i="14"/>
  <c r="C40" i="14"/>
  <c r="C39" i="14"/>
  <c r="F24" i="14"/>
  <c r="B67" i="16"/>
  <c r="B66" i="16"/>
  <c r="G64" i="16"/>
  <c r="F64" i="16"/>
  <c r="E64" i="16"/>
  <c r="D64" i="16"/>
  <c r="C64" i="16"/>
  <c r="E50" i="16"/>
  <c r="F50" i="16"/>
  <c r="G50" i="16"/>
  <c r="D39" i="16"/>
  <c r="E39" i="16"/>
  <c r="F39" i="16"/>
  <c r="G39" i="16"/>
  <c r="C39" i="16"/>
  <c r="G48" i="16"/>
  <c r="F48" i="16"/>
  <c r="E48" i="16"/>
  <c r="D48" i="16"/>
  <c r="C48" i="16"/>
  <c r="D12" i="19"/>
  <c r="E12" i="19" s="1"/>
  <c r="F12" i="19" s="1"/>
  <c r="G12" i="19" s="1"/>
  <c r="H12" i="19" s="1"/>
  <c r="I12" i="19" s="1"/>
  <c r="B39" i="16"/>
  <c r="G37" i="16"/>
  <c r="F37" i="16"/>
  <c r="E37" i="16"/>
  <c r="D37" i="16"/>
  <c r="C37" i="16"/>
  <c r="G36" i="16"/>
  <c r="F36" i="16"/>
  <c r="E36" i="16"/>
  <c r="D36" i="16"/>
  <c r="C36" i="16"/>
  <c r="G35" i="16"/>
  <c r="F35" i="16"/>
  <c r="E35" i="16"/>
  <c r="D35" i="16"/>
  <c r="C35" i="16"/>
  <c r="G34" i="16"/>
  <c r="F34" i="16"/>
  <c r="E34" i="16"/>
  <c r="D34" i="16"/>
  <c r="C34" i="16"/>
  <c r="G33" i="16"/>
  <c r="F33" i="16"/>
  <c r="E33" i="16"/>
  <c r="D33" i="16"/>
  <c r="C33" i="16"/>
  <c r="G32" i="16"/>
  <c r="F32" i="16"/>
  <c r="E32" i="16"/>
  <c r="D32" i="16"/>
  <c r="C32" i="16"/>
  <c r="G31" i="16"/>
  <c r="F31" i="16"/>
  <c r="E31" i="16"/>
  <c r="D31" i="16"/>
  <c r="C31" i="16"/>
  <c r="G30" i="16"/>
  <c r="F30" i="16"/>
  <c r="E30" i="16"/>
  <c r="D30" i="16"/>
  <c r="C30" i="16"/>
  <c r="G29" i="16"/>
  <c r="F29" i="16"/>
  <c r="E29" i="16"/>
  <c r="D29" i="16"/>
  <c r="C29" i="16"/>
  <c r="B37" i="16"/>
  <c r="B30" i="16"/>
  <c r="B31" i="16"/>
  <c r="B32" i="16"/>
  <c r="B33" i="16"/>
  <c r="B34" i="16"/>
  <c r="B35" i="16"/>
  <c r="B36" i="16"/>
  <c r="B29" i="16"/>
  <c r="C22" i="16"/>
  <c r="D22" i="16"/>
  <c r="E22" i="16"/>
  <c r="F22" i="16"/>
  <c r="G22" i="16"/>
  <c r="C23" i="16"/>
  <c r="D23" i="16"/>
  <c r="E23" i="16"/>
  <c r="F23" i="16"/>
  <c r="G23" i="16"/>
  <c r="D21" i="16"/>
  <c r="E21" i="16"/>
  <c r="F21" i="16"/>
  <c r="G21" i="16"/>
  <c r="C21" i="16"/>
  <c r="B22" i="16"/>
  <c r="B23" i="16"/>
  <c r="B21" i="16"/>
  <c r="D15" i="16"/>
  <c r="E15" i="16"/>
  <c r="F15" i="16"/>
  <c r="G15" i="16"/>
  <c r="D17" i="16"/>
  <c r="E17" i="16"/>
  <c r="F17" i="16"/>
  <c r="G17" i="16"/>
  <c r="D16" i="16"/>
  <c r="E16" i="16"/>
  <c r="F16" i="16"/>
  <c r="G16" i="16"/>
  <c r="C16" i="16"/>
  <c r="B17" i="16"/>
  <c r="B16" i="16"/>
  <c r="C15" i="16"/>
  <c r="B15" i="16"/>
  <c r="E43" i="17"/>
  <c r="H21" i="14"/>
  <c r="G21" i="14"/>
  <c r="J21" i="14" s="1"/>
  <c r="G20" i="14"/>
  <c r="J20" i="14" s="1"/>
  <c r="G22" i="14"/>
  <c r="J22" i="14" s="1"/>
  <c r="H22" i="14"/>
  <c r="H20" i="14"/>
  <c r="H19" i="14"/>
  <c r="F25" i="14"/>
  <c r="B12" i="13"/>
  <c r="B48" i="13"/>
  <c r="B30" i="13"/>
  <c r="D14" i="13" a="1"/>
  <c r="E20" i="13" s="1"/>
  <c r="M44" i="8"/>
  <c r="M38" i="8"/>
  <c r="M35" i="8"/>
  <c r="M29" i="8"/>
  <c r="M17" i="8"/>
  <c r="M14" i="8"/>
  <c r="M24" i="8" s="1"/>
  <c r="J25" i="14" l="1"/>
  <c r="J38" i="14" s="1"/>
  <c r="C18" i="16"/>
  <c r="M20" i="8"/>
  <c r="M26" i="8" s="1"/>
  <c r="M32" i="8" s="1"/>
  <c r="M39" i="8"/>
  <c r="J24" i="14"/>
  <c r="C41" i="14"/>
  <c r="D39" i="14" s="1"/>
  <c r="H25" i="14"/>
  <c r="G18" i="16"/>
  <c r="F18" i="16"/>
  <c r="E18" i="16"/>
  <c r="G24" i="16"/>
  <c r="C24" i="16"/>
  <c r="F24" i="16"/>
  <c r="E24" i="16"/>
  <c r="D18" i="16"/>
  <c r="D38" i="16"/>
  <c r="D40" i="16" s="1"/>
  <c r="E38" i="16"/>
  <c r="E40" i="16" s="1"/>
  <c r="F38" i="16"/>
  <c r="F40" i="16" s="1"/>
  <c r="G38" i="16"/>
  <c r="C38" i="16"/>
  <c r="C40" i="16" s="1"/>
  <c r="D24" i="16"/>
  <c r="G24" i="14"/>
  <c r="M18" i="8"/>
  <c r="M36" i="8"/>
  <c r="H24" i="14"/>
  <c r="E39" i="14" s="1"/>
  <c r="G25" i="14"/>
  <c r="E18" i="13"/>
  <c r="E17" i="13"/>
  <c r="E23" i="13"/>
  <c r="E22" i="13"/>
  <c r="E21" i="13"/>
  <c r="D14" i="13"/>
  <c r="D24" i="13" s="1"/>
  <c r="E16" i="13"/>
  <c r="E19" i="13"/>
  <c r="M30" i="8"/>
  <c r="C26" i="16" l="1"/>
  <c r="C42" i="16" s="1"/>
  <c r="J51" i="14"/>
  <c r="F26" i="16"/>
  <c r="E15" i="13"/>
  <c r="E24" i="13"/>
  <c r="E26" i="16"/>
  <c r="G26" i="16"/>
  <c r="M27" i="8"/>
  <c r="M21" i="8"/>
  <c r="D40" i="14"/>
  <c r="D41" i="14" s="1"/>
  <c r="G40" i="16"/>
  <c r="D26" i="16"/>
  <c r="D28" i="13"/>
  <c r="D27" i="13"/>
  <c r="D26" i="13"/>
  <c r="D25" i="13"/>
  <c r="M33" i="8"/>
  <c r="M41" i="8"/>
  <c r="G42" i="16" l="1"/>
  <c r="E40" i="14"/>
  <c r="E43" i="14" s="1"/>
  <c r="D43" i="14"/>
  <c r="D51" i="16"/>
  <c r="D57" i="16" s="1"/>
  <c r="G51" i="16"/>
  <c r="G57" i="16" s="1"/>
  <c r="F42" i="16"/>
  <c r="F51" i="16"/>
  <c r="F57" i="16" s="1"/>
  <c r="E42" i="16"/>
  <c r="E51" i="16"/>
  <c r="E57" i="16" s="1"/>
  <c r="D42" i="16"/>
  <c r="E25" i="13"/>
  <c r="E27" i="13"/>
  <c r="E26" i="13"/>
  <c r="E28" i="13"/>
  <c r="M47" i="8"/>
  <c r="M48" i="8" s="1"/>
  <c r="M42" i="8"/>
  <c r="M45" i="8"/>
  <c r="J39" i="14" l="1"/>
  <c r="J48" i="14"/>
  <c r="L11" i="12"/>
  <c r="K11" i="12"/>
  <c r="J11" i="12"/>
  <c r="I11" i="12"/>
  <c r="H11" i="12"/>
  <c r="G11" i="12"/>
  <c r="F11" i="12"/>
  <c r="E11" i="12"/>
  <c r="D11" i="12"/>
  <c r="C11" i="12"/>
  <c r="D42" i="11"/>
  <c r="E42" i="11"/>
  <c r="F42" i="11"/>
  <c r="G42" i="11"/>
  <c r="H42" i="11"/>
  <c r="I42" i="11"/>
  <c r="J42" i="11"/>
  <c r="K42" i="11"/>
  <c r="L42" i="11"/>
  <c r="C42" i="11"/>
  <c r="B38" i="11"/>
  <c r="B39" i="11"/>
  <c r="D38" i="11"/>
  <c r="E38" i="11"/>
  <c r="F38" i="11"/>
  <c r="G38" i="11"/>
  <c r="H38" i="11"/>
  <c r="I38" i="11"/>
  <c r="J38" i="11"/>
  <c r="K38" i="11"/>
  <c r="L38" i="11"/>
  <c r="C38" i="11"/>
  <c r="C43" i="11"/>
  <c r="D43" i="11"/>
  <c r="E43" i="11"/>
  <c r="F43" i="11"/>
  <c r="G43" i="11"/>
  <c r="H43" i="11"/>
  <c r="I43" i="11"/>
  <c r="J43" i="11"/>
  <c r="K43" i="11"/>
  <c r="L43" i="11"/>
  <c r="D44" i="11"/>
  <c r="E44" i="11"/>
  <c r="F44" i="11"/>
  <c r="G44" i="11"/>
  <c r="H44" i="11"/>
  <c r="I44" i="11"/>
  <c r="J44" i="11"/>
  <c r="K44" i="11"/>
  <c r="L44" i="11"/>
  <c r="D45" i="11"/>
  <c r="E45" i="11"/>
  <c r="F45" i="11"/>
  <c r="G45" i="11"/>
  <c r="H45" i="11"/>
  <c r="I45" i="11"/>
  <c r="J45" i="11"/>
  <c r="K45" i="11"/>
  <c r="L45" i="11"/>
  <c r="C44" i="11"/>
  <c r="C45" i="11"/>
  <c r="D39" i="11"/>
  <c r="E39" i="11"/>
  <c r="F39" i="11"/>
  <c r="G39" i="11"/>
  <c r="H39" i="11"/>
  <c r="I39" i="11"/>
  <c r="J39" i="11"/>
  <c r="K39" i="11"/>
  <c r="L39" i="11"/>
  <c r="D40" i="11"/>
  <c r="E40" i="11"/>
  <c r="F40" i="11"/>
  <c r="G40" i="11"/>
  <c r="H40" i="11"/>
  <c r="I40" i="11"/>
  <c r="J40" i="11"/>
  <c r="K40" i="11"/>
  <c r="L40" i="11"/>
  <c r="D41" i="11"/>
  <c r="E41" i="11"/>
  <c r="F41" i="11"/>
  <c r="G41" i="11"/>
  <c r="H41" i="11"/>
  <c r="I41" i="11"/>
  <c r="J41" i="11"/>
  <c r="K41" i="11"/>
  <c r="L41" i="11"/>
  <c r="C40" i="11"/>
  <c r="C41" i="11"/>
  <c r="C39" i="11"/>
  <c r="D35" i="11"/>
  <c r="E35" i="11"/>
  <c r="F35" i="11"/>
  <c r="G35" i="11"/>
  <c r="H35" i="11"/>
  <c r="I35" i="11"/>
  <c r="J35" i="11"/>
  <c r="K35" i="11"/>
  <c r="L35" i="11"/>
  <c r="D36" i="11"/>
  <c r="E36" i="11"/>
  <c r="F36" i="11"/>
  <c r="G36" i="11"/>
  <c r="H36" i="11"/>
  <c r="I36" i="11"/>
  <c r="J36" i="11"/>
  <c r="K36" i="11"/>
  <c r="L36" i="11"/>
  <c r="C36" i="11"/>
  <c r="D33" i="11"/>
  <c r="E33" i="11"/>
  <c r="F33" i="11"/>
  <c r="G33" i="11"/>
  <c r="H33" i="11"/>
  <c r="I33" i="11"/>
  <c r="J33" i="11"/>
  <c r="K33" i="11"/>
  <c r="L33" i="11"/>
  <c r="D34" i="11"/>
  <c r="E34" i="11"/>
  <c r="F34" i="11"/>
  <c r="G34" i="11"/>
  <c r="H34" i="11"/>
  <c r="I34" i="11"/>
  <c r="J34" i="11"/>
  <c r="K34" i="11"/>
  <c r="L34" i="11"/>
  <c r="C34" i="11"/>
  <c r="C35" i="11"/>
  <c r="C33" i="11"/>
  <c r="C32" i="11"/>
  <c r="D32" i="11"/>
  <c r="E32" i="11"/>
  <c r="F32" i="11"/>
  <c r="G32" i="11"/>
  <c r="H32" i="11"/>
  <c r="I32" i="11"/>
  <c r="J32" i="11"/>
  <c r="K32" i="11"/>
  <c r="L32" i="11"/>
  <c r="B44" i="11"/>
  <c r="B45" i="11"/>
  <c r="B43" i="11"/>
  <c r="B41" i="11"/>
  <c r="B42" i="11"/>
  <c r="B40" i="11"/>
  <c r="B34" i="11"/>
  <c r="B35" i="11"/>
  <c r="B36" i="11"/>
  <c r="B33" i="11"/>
  <c r="B32" i="11"/>
  <c r="D28" i="11"/>
  <c r="E28" i="11"/>
  <c r="F28" i="11"/>
  <c r="G28" i="11"/>
  <c r="H28" i="11"/>
  <c r="I28" i="11"/>
  <c r="J28" i="11"/>
  <c r="K28" i="11"/>
  <c r="L28" i="11"/>
  <c r="B29" i="11"/>
  <c r="B32" i="6"/>
  <c r="C29" i="11" s="1"/>
  <c r="C32" i="6"/>
  <c r="C101" i="6" s="1"/>
  <c r="D32" i="6"/>
  <c r="D101" i="6" s="1"/>
  <c r="E32" i="6"/>
  <c r="E101" i="6" s="1"/>
  <c r="F32" i="6"/>
  <c r="F101" i="6" s="1"/>
  <c r="G32" i="6"/>
  <c r="G101" i="6" s="1"/>
  <c r="D23" i="26" s="1"/>
  <c r="H32" i="6"/>
  <c r="H101" i="6" s="1"/>
  <c r="E23" i="26" s="1"/>
  <c r="I32" i="6"/>
  <c r="I101" i="6" s="1"/>
  <c r="F23" i="26" s="1"/>
  <c r="J32" i="6"/>
  <c r="J101" i="6" s="1"/>
  <c r="G23" i="26" s="1"/>
  <c r="K32" i="6"/>
  <c r="K101" i="6" s="1"/>
  <c r="H23" i="26" s="1"/>
  <c r="C14" i="11"/>
  <c r="C28" i="11"/>
  <c r="C15" i="11"/>
  <c r="D15" i="11"/>
  <c r="E15" i="11"/>
  <c r="F15" i="11"/>
  <c r="G15" i="11"/>
  <c r="H15" i="11"/>
  <c r="I15" i="11"/>
  <c r="J15" i="11"/>
  <c r="K15" i="11"/>
  <c r="L15" i="11"/>
  <c r="C16" i="11"/>
  <c r="D16" i="11"/>
  <c r="E16" i="11"/>
  <c r="F16" i="11"/>
  <c r="G16" i="11"/>
  <c r="H16" i="11"/>
  <c r="I16" i="11"/>
  <c r="J16" i="11"/>
  <c r="K16" i="11"/>
  <c r="L16" i="11"/>
  <c r="C17" i="11"/>
  <c r="D17" i="11"/>
  <c r="E17" i="11"/>
  <c r="F17" i="11"/>
  <c r="G17" i="11"/>
  <c r="H17" i="11"/>
  <c r="I17" i="11"/>
  <c r="J17" i="11"/>
  <c r="K17" i="11"/>
  <c r="L17" i="11"/>
  <c r="C18" i="11"/>
  <c r="D18" i="11"/>
  <c r="E18" i="11"/>
  <c r="F18" i="11"/>
  <c r="G18" i="11"/>
  <c r="H18" i="11"/>
  <c r="I18" i="11"/>
  <c r="J18" i="11"/>
  <c r="K18" i="11"/>
  <c r="L18" i="11"/>
  <c r="C19" i="11"/>
  <c r="D19" i="11"/>
  <c r="E19" i="11"/>
  <c r="F19" i="11"/>
  <c r="G19" i="11"/>
  <c r="H19" i="11"/>
  <c r="I19" i="11"/>
  <c r="J19" i="11"/>
  <c r="K19" i="11"/>
  <c r="L19" i="11"/>
  <c r="C20" i="11"/>
  <c r="D20" i="11"/>
  <c r="E20" i="11"/>
  <c r="F20" i="11"/>
  <c r="G20" i="11"/>
  <c r="H20" i="11"/>
  <c r="I20" i="11"/>
  <c r="J20" i="11"/>
  <c r="K20" i="11"/>
  <c r="L20" i="11"/>
  <c r="C21" i="11"/>
  <c r="D21" i="11"/>
  <c r="E21" i="11"/>
  <c r="F21" i="11"/>
  <c r="G21" i="11"/>
  <c r="H21" i="11"/>
  <c r="I21" i="11"/>
  <c r="J21" i="11"/>
  <c r="K21" i="11"/>
  <c r="L21" i="11"/>
  <c r="C22" i="11"/>
  <c r="D22" i="11"/>
  <c r="E22" i="11"/>
  <c r="F22" i="11"/>
  <c r="G22" i="11"/>
  <c r="H22" i="11"/>
  <c r="I22" i="11"/>
  <c r="J22" i="11"/>
  <c r="K22" i="11"/>
  <c r="L22" i="11"/>
  <c r="C23" i="11"/>
  <c r="D23" i="11"/>
  <c r="E23" i="11"/>
  <c r="F23" i="11"/>
  <c r="G23" i="11"/>
  <c r="H23" i="11"/>
  <c r="I23" i="11"/>
  <c r="J23" i="11"/>
  <c r="K23" i="11"/>
  <c r="L23" i="11"/>
  <c r="C24" i="11"/>
  <c r="D24" i="11"/>
  <c r="E24" i="11"/>
  <c r="F24" i="11"/>
  <c r="G24" i="11"/>
  <c r="H24" i="11"/>
  <c r="I24" i="11"/>
  <c r="J24" i="11"/>
  <c r="K24" i="11"/>
  <c r="L24" i="11"/>
  <c r="C25" i="11"/>
  <c r="D25" i="11"/>
  <c r="E25" i="11"/>
  <c r="F25" i="11"/>
  <c r="G25" i="11"/>
  <c r="H25" i="11"/>
  <c r="I25" i="11"/>
  <c r="J25" i="11"/>
  <c r="K25" i="11"/>
  <c r="L25" i="11"/>
  <c r="C26" i="11"/>
  <c r="D26" i="11"/>
  <c r="E26" i="11"/>
  <c r="F26" i="11"/>
  <c r="G26" i="11"/>
  <c r="H26" i="11"/>
  <c r="I26" i="11"/>
  <c r="J26" i="11"/>
  <c r="K26" i="11"/>
  <c r="L26" i="11"/>
  <c r="C27" i="11"/>
  <c r="D27" i="11"/>
  <c r="E27" i="11"/>
  <c r="F27" i="11"/>
  <c r="G27" i="11"/>
  <c r="H27" i="11"/>
  <c r="I27" i="11"/>
  <c r="J27" i="11"/>
  <c r="K27" i="11"/>
  <c r="L27" i="11"/>
  <c r="D14" i="11"/>
  <c r="E14" i="11"/>
  <c r="F14" i="11"/>
  <c r="G14" i="11"/>
  <c r="H14" i="11"/>
  <c r="I14" i="11"/>
  <c r="J14" i="11"/>
  <c r="K14" i="11"/>
  <c r="L14" i="11"/>
  <c r="B15" i="11"/>
  <c r="B16" i="11"/>
  <c r="B17" i="11"/>
  <c r="B18" i="11"/>
  <c r="B19" i="11"/>
  <c r="B20" i="11"/>
  <c r="B21" i="11"/>
  <c r="B22" i="11"/>
  <c r="B23" i="11"/>
  <c r="B24" i="11"/>
  <c r="B25" i="11"/>
  <c r="B26" i="11"/>
  <c r="B27" i="11"/>
  <c r="B28" i="11"/>
  <c r="B14" i="11"/>
  <c r="L11" i="11"/>
  <c r="K11" i="11"/>
  <c r="J11" i="11"/>
  <c r="I11" i="11"/>
  <c r="H11" i="11"/>
  <c r="G11" i="11"/>
  <c r="F11" i="11"/>
  <c r="E11" i="11"/>
  <c r="D11" i="11"/>
  <c r="C11" i="11"/>
  <c r="L111" i="8"/>
  <c r="L112" i="8"/>
  <c r="L113" i="8"/>
  <c r="L114" i="8"/>
  <c r="L115" i="8"/>
  <c r="D111" i="8"/>
  <c r="E111" i="8"/>
  <c r="F111" i="8"/>
  <c r="G111" i="8"/>
  <c r="H111" i="8"/>
  <c r="I111" i="8"/>
  <c r="J111" i="8"/>
  <c r="K111" i="8"/>
  <c r="D112" i="8"/>
  <c r="E112" i="8"/>
  <c r="F112" i="8"/>
  <c r="G112" i="8"/>
  <c r="H112" i="8"/>
  <c r="I112" i="8"/>
  <c r="J112" i="8"/>
  <c r="K112" i="8"/>
  <c r="D113" i="8"/>
  <c r="E113" i="8"/>
  <c r="F113" i="8"/>
  <c r="G113" i="8"/>
  <c r="H113" i="8"/>
  <c r="I113" i="8"/>
  <c r="J113" i="8"/>
  <c r="K113" i="8"/>
  <c r="D114" i="8"/>
  <c r="E114" i="8"/>
  <c r="F114" i="8"/>
  <c r="G114" i="8"/>
  <c r="H114" i="8"/>
  <c r="I114" i="8"/>
  <c r="J114" i="8"/>
  <c r="K114" i="8"/>
  <c r="D115" i="8"/>
  <c r="E115" i="8"/>
  <c r="F115" i="8"/>
  <c r="G115" i="8"/>
  <c r="H115" i="8"/>
  <c r="I115" i="8"/>
  <c r="J115" i="8"/>
  <c r="K115" i="8"/>
  <c r="C112" i="8"/>
  <c r="C113" i="8"/>
  <c r="C114" i="8"/>
  <c r="C115" i="8"/>
  <c r="C111" i="8"/>
  <c r="D98" i="8"/>
  <c r="E98" i="8"/>
  <c r="F98" i="8"/>
  <c r="G98" i="8"/>
  <c r="H98" i="8"/>
  <c r="I98" i="8"/>
  <c r="J98" i="8"/>
  <c r="K98" i="8"/>
  <c r="L98" i="8"/>
  <c r="D99" i="8"/>
  <c r="E99" i="8"/>
  <c r="F99" i="8"/>
  <c r="G99" i="8"/>
  <c r="H99" i="8"/>
  <c r="I99" i="8"/>
  <c r="J99" i="8"/>
  <c r="K99" i="8"/>
  <c r="L99" i="8"/>
  <c r="D100" i="8"/>
  <c r="E100" i="8"/>
  <c r="F100" i="8"/>
  <c r="G100" i="8"/>
  <c r="H100" i="8"/>
  <c r="I100" i="8"/>
  <c r="J100" i="8"/>
  <c r="K100" i="8"/>
  <c r="L100" i="8"/>
  <c r="D101" i="8"/>
  <c r="E101" i="8"/>
  <c r="F101" i="8"/>
  <c r="G101" i="8"/>
  <c r="H101" i="8"/>
  <c r="I101" i="8"/>
  <c r="J101" i="8"/>
  <c r="K101" i="8"/>
  <c r="L101" i="8"/>
  <c r="D102" i="8"/>
  <c r="E102" i="8"/>
  <c r="F102" i="8"/>
  <c r="G102" i="8"/>
  <c r="H102" i="8"/>
  <c r="I102" i="8"/>
  <c r="J102" i="8"/>
  <c r="K102" i="8"/>
  <c r="L102" i="8"/>
  <c r="D103" i="8"/>
  <c r="E103" i="8"/>
  <c r="F103" i="8"/>
  <c r="G103" i="8"/>
  <c r="H103" i="8"/>
  <c r="I103" i="8"/>
  <c r="J103" i="8"/>
  <c r="K103" i="8"/>
  <c r="L103" i="8"/>
  <c r="D104" i="8"/>
  <c r="E104" i="8"/>
  <c r="F104" i="8"/>
  <c r="G104" i="8"/>
  <c r="H104" i="8"/>
  <c r="I104" i="8"/>
  <c r="J104" i="8"/>
  <c r="K104" i="8"/>
  <c r="L104" i="8"/>
  <c r="D105" i="8"/>
  <c r="E105" i="8"/>
  <c r="F105" i="8"/>
  <c r="G105" i="8"/>
  <c r="H105" i="8"/>
  <c r="I105" i="8"/>
  <c r="J105" i="8"/>
  <c r="K105" i="8"/>
  <c r="L105" i="8"/>
  <c r="D106" i="8"/>
  <c r="E106" i="8"/>
  <c r="F106" i="8"/>
  <c r="G106" i="8"/>
  <c r="H106" i="8"/>
  <c r="I106" i="8"/>
  <c r="J106" i="8"/>
  <c r="K106" i="8"/>
  <c r="L106" i="8"/>
  <c r="C99" i="8"/>
  <c r="C100" i="8"/>
  <c r="C101" i="8"/>
  <c r="C102" i="8"/>
  <c r="C103" i="8"/>
  <c r="C104" i="8"/>
  <c r="C105" i="8"/>
  <c r="C106" i="8"/>
  <c r="C98" i="8"/>
  <c r="D87" i="8"/>
  <c r="E87" i="8"/>
  <c r="F87" i="8"/>
  <c r="G87" i="8"/>
  <c r="H87" i="8"/>
  <c r="I87" i="8"/>
  <c r="J87" i="8"/>
  <c r="K87" i="8"/>
  <c r="L87" i="8"/>
  <c r="D88" i="8"/>
  <c r="E88" i="8"/>
  <c r="F88" i="8"/>
  <c r="G88" i="8"/>
  <c r="H88" i="8"/>
  <c r="I88" i="8"/>
  <c r="J88" i="8"/>
  <c r="K88" i="8"/>
  <c r="L88" i="8"/>
  <c r="D89" i="8"/>
  <c r="E89" i="8"/>
  <c r="F89" i="8"/>
  <c r="G89" i="8"/>
  <c r="H89" i="8"/>
  <c r="I89" i="8"/>
  <c r="J89" i="8"/>
  <c r="K89" i="8"/>
  <c r="L89" i="8"/>
  <c r="D90" i="8"/>
  <c r="E90" i="8"/>
  <c r="F90" i="8"/>
  <c r="G90" i="8"/>
  <c r="H90" i="8"/>
  <c r="I90" i="8"/>
  <c r="J90" i="8"/>
  <c r="K90" i="8"/>
  <c r="L90" i="8"/>
  <c r="D91" i="8"/>
  <c r="E91" i="8"/>
  <c r="F91" i="8"/>
  <c r="G91" i="8"/>
  <c r="H91" i="8"/>
  <c r="I91" i="8"/>
  <c r="J91" i="8"/>
  <c r="K91" i="8"/>
  <c r="L91" i="8"/>
  <c r="D93" i="8"/>
  <c r="E93" i="8"/>
  <c r="F93" i="8"/>
  <c r="G93" i="8"/>
  <c r="H93" i="8"/>
  <c r="I93" i="8"/>
  <c r="J93" i="8"/>
  <c r="K93" i="8"/>
  <c r="L93" i="8"/>
  <c r="C88" i="8"/>
  <c r="C89" i="8"/>
  <c r="C90" i="8"/>
  <c r="C91" i="8"/>
  <c r="C93" i="8"/>
  <c r="L23" i="8"/>
  <c r="K23" i="8"/>
  <c r="J23" i="8"/>
  <c r="I23" i="8"/>
  <c r="H23" i="8"/>
  <c r="G23" i="8"/>
  <c r="F23" i="8"/>
  <c r="E23" i="8"/>
  <c r="D23" i="8"/>
  <c r="C23" i="8"/>
  <c r="C55" i="8"/>
  <c r="L44" i="8"/>
  <c r="K44" i="8"/>
  <c r="J44" i="8"/>
  <c r="I44" i="8"/>
  <c r="H44" i="8"/>
  <c r="G44" i="8"/>
  <c r="F44" i="8"/>
  <c r="E44" i="8"/>
  <c r="D44" i="8"/>
  <c r="L35" i="8"/>
  <c r="K35" i="8"/>
  <c r="J35" i="8"/>
  <c r="I35" i="8"/>
  <c r="H35" i="8"/>
  <c r="G35" i="8"/>
  <c r="F35" i="8"/>
  <c r="E35" i="8"/>
  <c r="D35" i="8"/>
  <c r="L38" i="8"/>
  <c r="E30" i="14" s="1"/>
  <c r="E32" i="14" s="1"/>
  <c r="J50" i="14" s="1"/>
  <c r="K38" i="8"/>
  <c r="J38" i="8"/>
  <c r="I38" i="8"/>
  <c r="H38" i="8"/>
  <c r="G38" i="8"/>
  <c r="F38" i="8"/>
  <c r="E38" i="8"/>
  <c r="D38" i="8"/>
  <c r="L29" i="8"/>
  <c r="K29" i="8"/>
  <c r="J29" i="8"/>
  <c r="I29" i="8"/>
  <c r="H29" i="8"/>
  <c r="G29" i="8"/>
  <c r="F29" i="8"/>
  <c r="E29" i="8"/>
  <c r="D29" i="8"/>
  <c r="C44" i="8"/>
  <c r="C35" i="8"/>
  <c r="C38" i="8"/>
  <c r="C29" i="8"/>
  <c r="D14" i="8"/>
  <c r="E14" i="8"/>
  <c r="F14" i="8"/>
  <c r="G14" i="8"/>
  <c r="H14" i="8"/>
  <c r="I14" i="8"/>
  <c r="J14" i="8"/>
  <c r="K14" i="8"/>
  <c r="L14" i="8"/>
  <c r="D17" i="8"/>
  <c r="E17" i="8"/>
  <c r="F17" i="8"/>
  <c r="G17" i="8"/>
  <c r="H17" i="8"/>
  <c r="I17" i="8"/>
  <c r="J17" i="8"/>
  <c r="K17" i="8"/>
  <c r="L17" i="8"/>
  <c r="C17" i="8"/>
  <c r="C14" i="8"/>
  <c r="J41" i="14" l="1"/>
  <c r="J32" i="14" s="1"/>
  <c r="D29" i="11"/>
  <c r="G29" i="11"/>
  <c r="B101" i="6"/>
  <c r="D32" i="13" a="1"/>
  <c r="H29" i="11"/>
  <c r="L29" i="11"/>
  <c r="F29" i="11"/>
  <c r="K29" i="11"/>
  <c r="J29" i="11"/>
  <c r="E29" i="11"/>
  <c r="I29" i="11"/>
  <c r="H62" i="22"/>
  <c r="H65" i="22" s="1"/>
  <c r="H79" i="30"/>
  <c r="G9" i="26"/>
  <c r="D9" i="26"/>
  <c r="E62" i="22"/>
  <c r="E65" i="22" s="1"/>
  <c r="F9" i="26"/>
  <c r="E9" i="26"/>
  <c r="E79" i="30"/>
  <c r="H9" i="26"/>
  <c r="M15" i="8"/>
  <c r="I62" i="22"/>
  <c r="I65" i="22" s="1"/>
  <c r="I79" i="30"/>
  <c r="G79" i="30"/>
  <c r="G62" i="22"/>
  <c r="G65" i="22" s="1"/>
  <c r="F62" i="22"/>
  <c r="F65" i="22" s="1"/>
  <c r="F79" i="30"/>
  <c r="D62" i="22"/>
  <c r="D65" i="22" s="1"/>
  <c r="D79" i="30"/>
  <c r="C62" i="22"/>
  <c r="C65" i="22" s="1"/>
  <c r="C79" i="30"/>
  <c r="D15" i="8"/>
  <c r="D13" i="12" s="1"/>
  <c r="C46" i="12"/>
  <c r="F17" i="12"/>
  <c r="D17" i="12"/>
  <c r="J17" i="12"/>
  <c r="F18" i="26" s="1"/>
  <c r="I17" i="12"/>
  <c r="E18" i="26" s="1"/>
  <c r="G17" i="12"/>
  <c r="K17" i="12"/>
  <c r="G18" i="26" s="1"/>
  <c r="E17" i="12"/>
  <c r="L17" i="12"/>
  <c r="H18" i="26" s="1"/>
  <c r="J116" i="8"/>
  <c r="I116" i="8"/>
  <c r="H116" i="8"/>
  <c r="C116" i="8"/>
  <c r="L107" i="8"/>
  <c r="K107" i="8"/>
  <c r="K116" i="8"/>
  <c r="G107" i="8"/>
  <c r="I107" i="8"/>
  <c r="G116" i="8"/>
  <c r="F116" i="8"/>
  <c r="D107" i="8"/>
  <c r="E116" i="8"/>
  <c r="L116" i="8"/>
  <c r="F107" i="8"/>
  <c r="D116" i="8"/>
  <c r="J107" i="8"/>
  <c r="H107" i="8"/>
  <c r="E107" i="8"/>
  <c r="C107" i="8"/>
  <c r="L11" i="8"/>
  <c r="K11" i="8"/>
  <c r="J11" i="8"/>
  <c r="I11" i="8"/>
  <c r="H11" i="8"/>
  <c r="G11" i="8"/>
  <c r="F11" i="8"/>
  <c r="E11" i="8"/>
  <c r="D11" i="8"/>
  <c r="C11" i="8"/>
  <c r="D35" i="12"/>
  <c r="D41" i="12" s="1"/>
  <c r="E35" i="12"/>
  <c r="E41" i="12" s="1"/>
  <c r="F35" i="12"/>
  <c r="F41" i="12" s="1"/>
  <c r="G35" i="12"/>
  <c r="G41" i="12" s="1"/>
  <c r="H35" i="12"/>
  <c r="H41" i="12" s="1"/>
  <c r="I35" i="12"/>
  <c r="I41" i="12" s="1"/>
  <c r="J35" i="12"/>
  <c r="J41" i="12" s="1"/>
  <c r="K35" i="12"/>
  <c r="K41" i="12" s="1"/>
  <c r="L35" i="12"/>
  <c r="L41" i="12" s="1"/>
  <c r="D37" i="12"/>
  <c r="E37" i="12"/>
  <c r="E43" i="12" s="1"/>
  <c r="F37" i="12"/>
  <c r="F43" i="12" s="1"/>
  <c r="G37" i="12"/>
  <c r="G43" i="12" s="1"/>
  <c r="H37" i="12"/>
  <c r="H43" i="12" s="1"/>
  <c r="I37" i="12"/>
  <c r="I43" i="12" s="1"/>
  <c r="J37" i="12"/>
  <c r="J43" i="12" s="1"/>
  <c r="K37" i="12"/>
  <c r="K43" i="12" s="1"/>
  <c r="L37" i="12"/>
  <c r="L43" i="12" s="1"/>
  <c r="C76" i="8"/>
  <c r="C37" i="12" s="1"/>
  <c r="C43" i="12" s="1"/>
  <c r="C77" i="8"/>
  <c r="C75" i="8"/>
  <c r="D70" i="8"/>
  <c r="E70" i="8"/>
  <c r="F70" i="8"/>
  <c r="G70" i="8"/>
  <c r="H70" i="8"/>
  <c r="I70" i="8"/>
  <c r="J70" i="8"/>
  <c r="K70" i="8"/>
  <c r="L70" i="8"/>
  <c r="D71" i="8"/>
  <c r="E71" i="8"/>
  <c r="F71" i="8"/>
  <c r="G71" i="8"/>
  <c r="H71" i="8"/>
  <c r="I71" i="8"/>
  <c r="J71" i="8"/>
  <c r="K71" i="8"/>
  <c r="L71" i="8"/>
  <c r="D72" i="8"/>
  <c r="E72" i="8"/>
  <c r="F72" i="8"/>
  <c r="G72" i="8"/>
  <c r="H72" i="8"/>
  <c r="I72" i="8"/>
  <c r="J72" i="8"/>
  <c r="K72" i="8"/>
  <c r="L72" i="8"/>
  <c r="C71" i="8"/>
  <c r="C72" i="8"/>
  <c r="C78" i="8"/>
  <c r="C70" i="8"/>
  <c r="L64" i="8"/>
  <c r="L65" i="8"/>
  <c r="L66" i="8"/>
  <c r="L67" i="8"/>
  <c r="L68" i="8"/>
  <c r="D64" i="8"/>
  <c r="E64" i="8"/>
  <c r="F64" i="8"/>
  <c r="G64" i="8"/>
  <c r="H64" i="8"/>
  <c r="I64" i="8"/>
  <c r="J64" i="8"/>
  <c r="K64" i="8"/>
  <c r="D65" i="8"/>
  <c r="E65" i="8"/>
  <c r="F65" i="8"/>
  <c r="G65" i="8"/>
  <c r="H65" i="8"/>
  <c r="I65" i="8"/>
  <c r="J65" i="8"/>
  <c r="K65" i="8"/>
  <c r="D66" i="8"/>
  <c r="E66" i="8"/>
  <c r="F66" i="8"/>
  <c r="G66" i="8"/>
  <c r="H66" i="8"/>
  <c r="I66" i="8"/>
  <c r="J66" i="8"/>
  <c r="K66" i="8"/>
  <c r="D67" i="8"/>
  <c r="D36" i="12" s="1"/>
  <c r="D42" i="12" s="1"/>
  <c r="E67" i="8"/>
  <c r="E36" i="12" s="1"/>
  <c r="E42" i="12" s="1"/>
  <c r="F67" i="8"/>
  <c r="G67" i="8"/>
  <c r="H67" i="8"/>
  <c r="I67" i="8"/>
  <c r="J67" i="8"/>
  <c r="K67" i="8"/>
  <c r="D68" i="8"/>
  <c r="E68" i="8"/>
  <c r="F68" i="8"/>
  <c r="G68" i="8"/>
  <c r="H68" i="8"/>
  <c r="I68" i="8"/>
  <c r="J68" i="8"/>
  <c r="K68" i="8"/>
  <c r="C65" i="8"/>
  <c r="C66" i="8"/>
  <c r="C67" i="8"/>
  <c r="C36" i="12" s="1"/>
  <c r="C42" i="12" s="1"/>
  <c r="C68" i="8"/>
  <c r="C64" i="8"/>
  <c r="C20" i="8"/>
  <c r="C26" i="8" s="1"/>
  <c r="F30" i="8"/>
  <c r="F26" i="12" s="1"/>
  <c r="G30" i="8"/>
  <c r="G26" i="12" s="1"/>
  <c r="H15" i="8"/>
  <c r="H13" i="12" s="1"/>
  <c r="D10" i="26" s="1"/>
  <c r="I15" i="8"/>
  <c r="I13" i="12" s="1"/>
  <c r="E10" i="26" s="1"/>
  <c r="J15" i="8"/>
  <c r="J13" i="12" s="1"/>
  <c r="F10" i="26" s="1"/>
  <c r="K15" i="8"/>
  <c r="K13" i="12" s="1"/>
  <c r="G10" i="26" s="1"/>
  <c r="L20" i="8"/>
  <c r="L26" i="8" s="1"/>
  <c r="D36" i="8"/>
  <c r="C36" i="8"/>
  <c r="G36" i="8"/>
  <c r="D39" i="8"/>
  <c r="C39" i="8"/>
  <c r="G39" i="8"/>
  <c r="E39" i="8"/>
  <c r="J30" i="8"/>
  <c r="J26" i="12" s="1"/>
  <c r="I30" i="8"/>
  <c r="I26" i="12" s="1"/>
  <c r="H30" i="8"/>
  <c r="H26" i="12" s="1"/>
  <c r="E30" i="8"/>
  <c r="E26" i="12" s="1"/>
  <c r="C30" i="8"/>
  <c r="C26" i="12" s="1"/>
  <c r="D24" i="8"/>
  <c r="D25" i="12" s="1"/>
  <c r="C24" i="8"/>
  <c r="C25" i="12" s="1"/>
  <c r="J20" i="8"/>
  <c r="J21" i="8" s="1"/>
  <c r="J19" i="12" s="1"/>
  <c r="F11" i="26" s="1"/>
  <c r="D20" i="8"/>
  <c r="D26" i="8" s="1"/>
  <c r="I18" i="8"/>
  <c r="D18" i="8"/>
  <c r="C18" i="8"/>
  <c r="F18" i="8"/>
  <c r="L15" i="8"/>
  <c r="L13" i="12" s="1"/>
  <c r="H10" i="26" s="1"/>
  <c r="H36" i="8"/>
  <c r="G18" i="8"/>
  <c r="F15" i="8"/>
  <c r="F13" i="12" s="1"/>
  <c r="E15" i="8"/>
  <c r="E13" i="12" s="1"/>
  <c r="D30" i="8"/>
  <c r="D26" i="12" s="1"/>
  <c r="B6" i="6"/>
  <c r="E1" i="6"/>
  <c r="H1" i="34" s="1"/>
  <c r="J33" i="14" l="1"/>
  <c r="J47" i="14" s="1"/>
  <c r="J53" i="14" s="1"/>
  <c r="C27" i="19" s="1"/>
  <c r="F56" i="22"/>
  <c r="F70" i="22" s="1"/>
  <c r="H56" i="22"/>
  <c r="H70" i="22" s="1"/>
  <c r="G56" i="22"/>
  <c r="G70" i="22" s="1"/>
  <c r="C52" i="19"/>
  <c r="O45" i="26"/>
  <c r="O46" i="26" s="1"/>
  <c r="O50" i="26" s="1"/>
  <c r="E56" i="22"/>
  <c r="E70" i="22" s="1"/>
  <c r="D56" i="22"/>
  <c r="D70" i="22" s="1"/>
  <c r="D32" i="13"/>
  <c r="E33" i="13" s="1"/>
  <c r="E41" i="13"/>
  <c r="E40" i="13"/>
  <c r="E39" i="13"/>
  <c r="E35" i="13"/>
  <c r="E36" i="13"/>
  <c r="E38" i="13"/>
  <c r="E34" i="13"/>
  <c r="E37" i="13"/>
  <c r="C56" i="22"/>
  <c r="C70" i="22" s="1"/>
  <c r="E20" i="26"/>
  <c r="E7" i="26"/>
  <c r="K36" i="12"/>
  <c r="K42" i="12" s="1"/>
  <c r="K44" i="12" s="1"/>
  <c r="H55" i="30"/>
  <c r="I56" i="22"/>
  <c r="I70" i="22" s="1"/>
  <c r="F20" i="26"/>
  <c r="F7" i="26"/>
  <c r="I84" i="22"/>
  <c r="I87" i="22"/>
  <c r="J36" i="12"/>
  <c r="J42" i="12" s="1"/>
  <c r="J44" i="12" s="1"/>
  <c r="G55" i="30"/>
  <c r="G20" i="26"/>
  <c r="G7" i="26"/>
  <c r="I36" i="12"/>
  <c r="I42" i="12" s="1"/>
  <c r="I44" i="12" s="1"/>
  <c r="F55" i="30"/>
  <c r="H7" i="26"/>
  <c r="H20" i="26"/>
  <c r="H36" i="12"/>
  <c r="H42" i="12" s="1"/>
  <c r="H44" i="12" s="1"/>
  <c r="E55" i="30"/>
  <c r="G36" i="12"/>
  <c r="G42" i="12" s="1"/>
  <c r="G44" i="12" s="1"/>
  <c r="D55" i="30"/>
  <c r="C84" i="22"/>
  <c r="C87" i="22"/>
  <c r="F36" i="12"/>
  <c r="F42" i="12" s="1"/>
  <c r="F44" i="12" s="1"/>
  <c r="C55" i="30"/>
  <c r="D87" i="22"/>
  <c r="D84" i="22"/>
  <c r="E87" i="22"/>
  <c r="E84" i="22"/>
  <c r="F87" i="22"/>
  <c r="F84" i="22"/>
  <c r="L36" i="12"/>
  <c r="L42" i="12" s="1"/>
  <c r="L44" i="12" s="1"/>
  <c r="I55" i="30"/>
  <c r="G87" i="22"/>
  <c r="G84" i="22"/>
  <c r="C27" i="8"/>
  <c r="C20" i="12" s="1"/>
  <c r="C29" i="12"/>
  <c r="D20" i="26"/>
  <c r="D7" i="26"/>
  <c r="H84" i="22"/>
  <c r="H87" i="22"/>
  <c r="E39" i="12"/>
  <c r="D39" i="12"/>
  <c r="C79" i="8"/>
  <c r="C39" i="12"/>
  <c r="E38" i="12"/>
  <c r="E73" i="8"/>
  <c r="L38" i="12"/>
  <c r="L73" i="8"/>
  <c r="I38" i="12"/>
  <c r="I73" i="8"/>
  <c r="C35" i="12"/>
  <c r="N35" i="12" s="1"/>
  <c r="D38" i="12"/>
  <c r="D73" i="8"/>
  <c r="C38" i="12"/>
  <c r="C73" i="8"/>
  <c r="F38" i="12"/>
  <c r="F73" i="8"/>
  <c r="K38" i="12"/>
  <c r="K73" i="8"/>
  <c r="J38" i="12"/>
  <c r="J73" i="8"/>
  <c r="H38" i="12"/>
  <c r="H73" i="8"/>
  <c r="G38" i="12"/>
  <c r="G73" i="8"/>
  <c r="D119" i="8"/>
  <c r="K39" i="12"/>
  <c r="I39" i="12"/>
  <c r="J39" i="12"/>
  <c r="D29" i="12"/>
  <c r="H39" i="12"/>
  <c r="L39" i="12"/>
  <c r="G39" i="12"/>
  <c r="F39" i="12"/>
  <c r="E44" i="12"/>
  <c r="D43" i="12"/>
  <c r="N37" i="12"/>
  <c r="O37" i="12"/>
  <c r="L29" i="12"/>
  <c r="H27" i="26" s="1"/>
  <c r="C32" i="8"/>
  <c r="C41" i="8" s="1"/>
  <c r="C33" i="12"/>
  <c r="D32" i="8"/>
  <c r="D33" i="8" s="1"/>
  <c r="D21" i="12" s="1"/>
  <c r="D33" i="12"/>
  <c r="L32" i="8"/>
  <c r="L33" i="12"/>
  <c r="N17" i="12"/>
  <c r="F48" i="12"/>
  <c r="F46" i="12"/>
  <c r="D14" i="12"/>
  <c r="L46" i="12"/>
  <c r="L48" i="12"/>
  <c r="E48" i="12"/>
  <c r="E46" i="12"/>
  <c r="I46" i="12"/>
  <c r="I48" i="12"/>
  <c r="J46" i="12"/>
  <c r="J48" i="12"/>
  <c r="O17" i="12"/>
  <c r="K46" i="12"/>
  <c r="K48" i="12"/>
  <c r="G48" i="12"/>
  <c r="G46" i="12"/>
  <c r="H46" i="12"/>
  <c r="H48" i="12"/>
  <c r="C48" i="12"/>
  <c r="D48" i="12"/>
  <c r="D46" i="12"/>
  <c r="H119" i="8"/>
  <c r="F119" i="8"/>
  <c r="C119" i="8"/>
  <c r="L119" i="8"/>
  <c r="E119" i="8"/>
  <c r="K119" i="8"/>
  <c r="I119" i="8"/>
  <c r="J119" i="8"/>
  <c r="G119" i="8"/>
  <c r="L21" i="8"/>
  <c r="L19" i="12" s="1"/>
  <c r="H11" i="26" s="1"/>
  <c r="D21" i="8"/>
  <c r="D19" i="12" s="1"/>
  <c r="C21" i="8"/>
  <c r="C19" i="12" s="1"/>
  <c r="K39" i="8"/>
  <c r="L18" i="8"/>
  <c r="K20" i="8"/>
  <c r="L39" i="8"/>
  <c r="K18" i="8"/>
  <c r="J39" i="8"/>
  <c r="I39" i="8"/>
  <c r="J36" i="8"/>
  <c r="G15" i="8"/>
  <c r="G13" i="12" s="1"/>
  <c r="O13" i="12" s="1"/>
  <c r="D27" i="8"/>
  <c r="K30" i="8"/>
  <c r="K26" i="12" s="1"/>
  <c r="K36" i="8"/>
  <c r="K24" i="8"/>
  <c r="K25" i="12" s="1"/>
  <c r="L30" i="8"/>
  <c r="L26" i="12" s="1"/>
  <c r="L36" i="8"/>
  <c r="I20" i="8"/>
  <c r="I21" i="8" s="1"/>
  <c r="I19" i="12" s="1"/>
  <c r="E11" i="26" s="1"/>
  <c r="J18" i="8"/>
  <c r="L24" i="8"/>
  <c r="L25" i="12" s="1"/>
  <c r="J24" i="8"/>
  <c r="J25" i="12" s="1"/>
  <c r="H39" i="8"/>
  <c r="I36" i="8"/>
  <c r="H18" i="8"/>
  <c r="L27" i="8"/>
  <c r="E24" i="8"/>
  <c r="E25" i="12" s="1"/>
  <c r="G24" i="8"/>
  <c r="G25" i="12" s="1"/>
  <c r="E20" i="8"/>
  <c r="E21" i="8" s="1"/>
  <c r="E19" i="12" s="1"/>
  <c r="J26" i="8"/>
  <c r="J29" i="12" s="1"/>
  <c r="F27" i="26" s="1"/>
  <c r="E36" i="8"/>
  <c r="F36" i="8"/>
  <c r="G20" i="8"/>
  <c r="G21" i="8" s="1"/>
  <c r="G19" i="12" s="1"/>
  <c r="H24" i="8"/>
  <c r="H25" i="12" s="1"/>
  <c r="I24" i="8"/>
  <c r="I25" i="12" s="1"/>
  <c r="E18" i="8"/>
  <c r="F20" i="8"/>
  <c r="F21" i="8" s="1"/>
  <c r="F19" i="12" s="1"/>
  <c r="H20" i="8"/>
  <c r="H21" i="8" s="1"/>
  <c r="H19" i="12" s="1"/>
  <c r="D11" i="26" s="1"/>
  <c r="F39" i="8"/>
  <c r="F24" i="8"/>
  <c r="F25" i="12" s="1"/>
  <c r="I21" i="19" l="1"/>
  <c r="C32" i="19"/>
  <c r="G21" i="19"/>
  <c r="E21" i="19"/>
  <c r="F21" i="19"/>
  <c r="H21" i="19"/>
  <c r="D44" i="13"/>
  <c r="D46" i="13"/>
  <c r="D43" i="13"/>
  <c r="D45" i="13"/>
  <c r="D42" i="13"/>
  <c r="E42" i="13" s="1"/>
  <c r="O36" i="12"/>
  <c r="D14" i="19"/>
  <c r="I67" i="30"/>
  <c r="N42" i="12"/>
  <c r="O42" i="12"/>
  <c r="N36" i="12"/>
  <c r="N38" i="12"/>
  <c r="C41" i="12"/>
  <c r="N41" i="12" s="1"/>
  <c r="O38" i="12"/>
  <c r="O35" i="12"/>
  <c r="L41" i="8"/>
  <c r="L45" i="8" s="1"/>
  <c r="G43" i="16"/>
  <c r="G45" i="16" s="1"/>
  <c r="C47" i="8"/>
  <c r="C52" i="8" s="1"/>
  <c r="C45" i="8"/>
  <c r="D41" i="8"/>
  <c r="D45" i="8" s="1"/>
  <c r="N43" i="12"/>
  <c r="O43" i="12"/>
  <c r="D44" i="12"/>
  <c r="O39" i="12"/>
  <c r="N39" i="12"/>
  <c r="D15" i="12"/>
  <c r="C33" i="8"/>
  <c r="C21" i="12" s="1"/>
  <c r="L33" i="8"/>
  <c r="L21" i="12" s="1"/>
  <c r="H13" i="26" s="1"/>
  <c r="J32" i="8"/>
  <c r="G67" i="30" s="1"/>
  <c r="J33" i="12"/>
  <c r="N25" i="12"/>
  <c r="D27" i="12"/>
  <c r="D20" i="12"/>
  <c r="C27" i="12"/>
  <c r="O25" i="12"/>
  <c r="L20" i="12"/>
  <c r="H12" i="26" s="1"/>
  <c r="L27" i="12"/>
  <c r="N26" i="12"/>
  <c r="N13" i="12"/>
  <c r="N46" i="12"/>
  <c r="O46" i="12"/>
  <c r="O26" i="12"/>
  <c r="O48" i="12"/>
  <c r="N48" i="12"/>
  <c r="K26" i="8"/>
  <c r="K29" i="12" s="1"/>
  <c r="G27" i="26" s="1"/>
  <c r="K21" i="8"/>
  <c r="I26" i="8"/>
  <c r="I29" i="12" s="1"/>
  <c r="E27" i="26" s="1"/>
  <c r="F26" i="8"/>
  <c r="F29" i="12" s="1"/>
  <c r="C42" i="8"/>
  <c r="C22" i="12" s="1"/>
  <c r="G26" i="8"/>
  <c r="G29" i="12" s="1"/>
  <c r="J27" i="8"/>
  <c r="E26" i="8"/>
  <c r="E29" i="12" s="1"/>
  <c r="H26" i="8"/>
  <c r="H29" i="12" s="1"/>
  <c r="D27" i="26" s="1"/>
  <c r="D16" i="19" l="1"/>
  <c r="E44" i="13"/>
  <c r="E45" i="13"/>
  <c r="E43" i="13"/>
  <c r="E46" i="13"/>
  <c r="C44" i="12"/>
  <c r="N44" i="12" s="1"/>
  <c r="O41" i="12"/>
  <c r="C56" i="8"/>
  <c r="C58" i="8" s="1"/>
  <c r="L47" i="8"/>
  <c r="I55" i="22" s="1"/>
  <c r="L42" i="8"/>
  <c r="L22" i="12" s="1"/>
  <c r="J41" i="8"/>
  <c r="J45" i="8" s="1"/>
  <c r="E43" i="16"/>
  <c r="G53" i="16"/>
  <c r="G67" i="16"/>
  <c r="D47" i="8"/>
  <c r="D31" i="12" s="1"/>
  <c r="C31" i="12"/>
  <c r="D42" i="8"/>
  <c r="D22" i="12" s="1"/>
  <c r="O29" i="12"/>
  <c r="N29" i="12"/>
  <c r="J33" i="8"/>
  <c r="J21" i="12" s="1"/>
  <c r="F13" i="26" s="1"/>
  <c r="F32" i="8"/>
  <c r="F33" i="12"/>
  <c r="I32" i="8"/>
  <c r="F67" i="30" s="1"/>
  <c r="I33" i="12"/>
  <c r="H32" i="8"/>
  <c r="H33" i="12"/>
  <c r="K32" i="8"/>
  <c r="H67" i="30" s="1"/>
  <c r="K33" i="12"/>
  <c r="E32" i="8"/>
  <c r="E33" i="12"/>
  <c r="G32" i="8"/>
  <c r="G33" i="12"/>
  <c r="K19" i="12"/>
  <c r="G11" i="26" s="1"/>
  <c r="J20" i="12"/>
  <c r="F12" i="26" s="1"/>
  <c r="J27" i="12"/>
  <c r="F14" i="12"/>
  <c r="I14" i="12"/>
  <c r="K14" i="12"/>
  <c r="L14" i="12"/>
  <c r="H14" i="12"/>
  <c r="E14" i="12"/>
  <c r="G14" i="12"/>
  <c r="J14" i="12"/>
  <c r="I27" i="8"/>
  <c r="K27" i="8"/>
  <c r="E27" i="8"/>
  <c r="G27" i="8"/>
  <c r="H27" i="8"/>
  <c r="C48" i="8"/>
  <c r="C23" i="12" s="1"/>
  <c r="F27" i="8"/>
  <c r="O44" i="12" l="1"/>
  <c r="C43" i="16"/>
  <c r="C45" i="16" s="1"/>
  <c r="E67" i="30"/>
  <c r="F41" i="8"/>
  <c r="F47" i="8" s="1"/>
  <c r="F52" i="8" s="1"/>
  <c r="C67" i="30"/>
  <c r="G41" i="8"/>
  <c r="G45" i="8" s="1"/>
  <c r="D67" i="30"/>
  <c r="C30" i="12"/>
  <c r="C32" i="12" s="1"/>
  <c r="I61" i="22"/>
  <c r="I63" i="22" s="1"/>
  <c r="I57" i="22"/>
  <c r="I77" i="22"/>
  <c r="J47" i="8"/>
  <c r="J52" i="8" s="1"/>
  <c r="L31" i="12"/>
  <c r="H26" i="26" s="1"/>
  <c r="L52" i="8"/>
  <c r="G55" i="16"/>
  <c r="G59" i="16" s="1"/>
  <c r="G66" i="16" s="1"/>
  <c r="G69" i="16" s="1"/>
  <c r="N19" i="12"/>
  <c r="O19" i="12"/>
  <c r="L48" i="8"/>
  <c r="L23" i="12" s="1"/>
  <c r="H14" i="26" s="1"/>
  <c r="J42" i="8"/>
  <c r="J22" i="12" s="1"/>
  <c r="K41" i="8"/>
  <c r="K47" i="8" s="1"/>
  <c r="H55" i="22" s="1"/>
  <c r="F43" i="16"/>
  <c r="H33" i="8"/>
  <c r="H21" i="12" s="1"/>
  <c r="D13" i="26" s="1"/>
  <c r="J15" i="12"/>
  <c r="D43" i="16"/>
  <c r="D45" i="16" s="1"/>
  <c r="E53" i="16"/>
  <c r="E55" i="16" s="1"/>
  <c r="E59" i="16" s="1"/>
  <c r="E66" i="16" s="1"/>
  <c r="E45" i="16"/>
  <c r="E67" i="16" s="1"/>
  <c r="F33" i="8"/>
  <c r="F21" i="12" s="1"/>
  <c r="D48" i="8"/>
  <c r="D23" i="12" s="1"/>
  <c r="D16" i="12"/>
  <c r="D52" i="8"/>
  <c r="H41" i="8"/>
  <c r="H42" i="8" s="1"/>
  <c r="H22" i="12" s="1"/>
  <c r="I33" i="8"/>
  <c r="I21" i="12" s="1"/>
  <c r="E13" i="26" s="1"/>
  <c r="F15" i="12"/>
  <c r="I41" i="8"/>
  <c r="I45" i="8" s="1"/>
  <c r="H15" i="12"/>
  <c r="I15" i="12"/>
  <c r="O33" i="12"/>
  <c r="N33" i="12"/>
  <c r="E15" i="12"/>
  <c r="E41" i="8"/>
  <c r="E45" i="8" s="1"/>
  <c r="E33" i="8"/>
  <c r="E21" i="12" s="1"/>
  <c r="L15" i="12"/>
  <c r="K33" i="8"/>
  <c r="K21" i="12" s="1"/>
  <c r="G13" i="26" s="1"/>
  <c r="K15" i="12"/>
  <c r="G33" i="8"/>
  <c r="G21" i="12" s="1"/>
  <c r="G15" i="12"/>
  <c r="I20" i="12"/>
  <c r="E12" i="26" s="1"/>
  <c r="I27" i="12"/>
  <c r="F27" i="12"/>
  <c r="F20" i="12"/>
  <c r="H27" i="12"/>
  <c r="H20" i="12"/>
  <c r="D12" i="26" s="1"/>
  <c r="G27" i="12"/>
  <c r="G20" i="12"/>
  <c r="E27" i="12"/>
  <c r="E20" i="12"/>
  <c r="K20" i="12"/>
  <c r="G12" i="26" s="1"/>
  <c r="K27" i="12"/>
  <c r="N14" i="12"/>
  <c r="O14" i="12"/>
  <c r="G42" i="8" l="1"/>
  <c r="G22" i="12" s="1"/>
  <c r="G47" i="8"/>
  <c r="G52" i="8" s="1"/>
  <c r="C55" i="22"/>
  <c r="C61" i="22" s="1"/>
  <c r="C63" i="22" s="1"/>
  <c r="F31" i="12"/>
  <c r="F45" i="8"/>
  <c r="F42" i="8"/>
  <c r="F22" i="12" s="1"/>
  <c r="L56" i="8"/>
  <c r="L58" i="8" s="1"/>
  <c r="L30" i="12" s="1"/>
  <c r="L32" i="12" s="1"/>
  <c r="F56" i="8"/>
  <c r="F58" i="8" s="1"/>
  <c r="C61" i="30" s="1"/>
  <c r="J56" i="8"/>
  <c r="J58" i="8" s="1"/>
  <c r="J31" i="12"/>
  <c r="F26" i="26" s="1"/>
  <c r="G55" i="22"/>
  <c r="I83" i="22"/>
  <c r="I85" i="22" s="1"/>
  <c r="J48" i="8"/>
  <c r="J23" i="12" s="1"/>
  <c r="F14" i="26" s="1"/>
  <c r="H77" i="22"/>
  <c r="H61" i="22"/>
  <c r="H63" i="22" s="1"/>
  <c r="H57" i="22"/>
  <c r="C77" i="22"/>
  <c r="K31" i="12"/>
  <c r="G26" i="26" s="1"/>
  <c r="K52" i="8"/>
  <c r="D56" i="8"/>
  <c r="D58" i="8" s="1"/>
  <c r="D30" i="12" s="1"/>
  <c r="D32" i="12" s="1"/>
  <c r="C53" i="16"/>
  <c r="C55" i="16" s="1"/>
  <c r="K45" i="8"/>
  <c r="D53" i="8"/>
  <c r="K42" i="8"/>
  <c r="K22" i="12" s="1"/>
  <c r="E69" i="16"/>
  <c r="D53" i="16"/>
  <c r="D55" i="16" s="1"/>
  <c r="D59" i="16" s="1"/>
  <c r="D67" i="16"/>
  <c r="F53" i="16"/>
  <c r="F55" i="16" s="1"/>
  <c r="F59" i="16" s="1"/>
  <c r="F66" i="16" s="1"/>
  <c r="F45" i="16"/>
  <c r="F67" i="16" s="1"/>
  <c r="H47" i="8"/>
  <c r="H45" i="8"/>
  <c r="N21" i="12"/>
  <c r="I42" i="8"/>
  <c r="I22" i="12" s="1"/>
  <c r="I47" i="8"/>
  <c r="N15" i="12"/>
  <c r="O15" i="12"/>
  <c r="O21" i="12"/>
  <c r="E47" i="8"/>
  <c r="E42" i="8"/>
  <c r="E22" i="12" s="1"/>
  <c r="O20" i="12"/>
  <c r="N27" i="12"/>
  <c r="O27" i="12"/>
  <c r="N20" i="12"/>
  <c r="K16" i="12"/>
  <c r="L16" i="12"/>
  <c r="K48" i="8"/>
  <c r="K23" i="12" s="1"/>
  <c r="G14" i="26" s="1"/>
  <c r="F48" i="8"/>
  <c r="F23" i="12" s="1"/>
  <c r="D55" i="22" l="1"/>
  <c r="D57" i="22" s="1"/>
  <c r="G31" i="12"/>
  <c r="G48" i="8"/>
  <c r="G23" i="12" s="1"/>
  <c r="G16" i="12"/>
  <c r="C57" i="22"/>
  <c r="I61" i="30"/>
  <c r="J30" i="12"/>
  <c r="J32" i="12" s="1"/>
  <c r="G61" i="30"/>
  <c r="G56" i="8"/>
  <c r="G58" i="8" s="1"/>
  <c r="G30" i="12" s="1"/>
  <c r="K56" i="8"/>
  <c r="K58" i="8" s="1"/>
  <c r="K30" i="12" s="1"/>
  <c r="K32" i="12" s="1"/>
  <c r="I31" i="12"/>
  <c r="E26" i="26" s="1"/>
  <c r="F55" i="22"/>
  <c r="H83" i="22"/>
  <c r="H85" i="22" s="1"/>
  <c r="C83" i="22"/>
  <c r="C85" i="22" s="1"/>
  <c r="H31" i="12"/>
  <c r="D26" i="26" s="1"/>
  <c r="E55" i="22"/>
  <c r="G61" i="22"/>
  <c r="G63" i="22" s="1"/>
  <c r="G57" i="22"/>
  <c r="G77" i="22"/>
  <c r="K53" i="8"/>
  <c r="G62" i="16"/>
  <c r="D17" i="19" s="1"/>
  <c r="D18" i="19" s="1"/>
  <c r="G61" i="16"/>
  <c r="D66" i="16"/>
  <c r="D69" i="16" s="1"/>
  <c r="F69" i="16"/>
  <c r="H52" i="8"/>
  <c r="H48" i="8"/>
  <c r="H23" i="12" s="1"/>
  <c r="D14" i="26" s="1"/>
  <c r="H16" i="12"/>
  <c r="I52" i="8"/>
  <c r="N22" i="12"/>
  <c r="I48" i="8"/>
  <c r="I23" i="12" s="1"/>
  <c r="E14" i="26" s="1"/>
  <c r="I16" i="12"/>
  <c r="F16" i="12"/>
  <c r="E31" i="12"/>
  <c r="E48" i="8"/>
  <c r="E23" i="12" s="1"/>
  <c r="E52" i="8"/>
  <c r="E56" i="8" s="1"/>
  <c r="O22" i="12"/>
  <c r="J16" i="12"/>
  <c r="E16" i="12"/>
  <c r="L53" i="8"/>
  <c r="F30" i="12"/>
  <c r="F32" i="12" s="1"/>
  <c r="G53" i="8"/>
  <c r="D77" i="22" l="1"/>
  <c r="D83" i="22" s="1"/>
  <c r="D85" i="22" s="1"/>
  <c r="D61" i="22"/>
  <c r="D63" i="22" s="1"/>
  <c r="G32" i="12"/>
  <c r="H61" i="30"/>
  <c r="G15" i="26"/>
  <c r="F15" i="26"/>
  <c r="D15" i="26"/>
  <c r="E15" i="26"/>
  <c r="H15" i="26"/>
  <c r="D61" i="30"/>
  <c r="G83" i="22"/>
  <c r="G85" i="22" s="1"/>
  <c r="E61" i="22"/>
  <c r="E63" i="22" s="1"/>
  <c r="E57" i="22"/>
  <c r="E77" i="22"/>
  <c r="F61" i="22"/>
  <c r="F63" i="22" s="1"/>
  <c r="F77" i="22"/>
  <c r="F57" i="22"/>
  <c r="J53" i="8"/>
  <c r="I56" i="8"/>
  <c r="I58" i="8" s="1"/>
  <c r="I30" i="12" s="1"/>
  <c r="I32" i="12" s="1"/>
  <c r="H56" i="8"/>
  <c r="H58" i="8" s="1"/>
  <c r="H30" i="12" s="1"/>
  <c r="H32" i="12" s="1"/>
  <c r="G71" i="16"/>
  <c r="G72" i="16"/>
  <c r="C25" i="19" s="1"/>
  <c r="E14" i="19" s="1"/>
  <c r="H53" i="8"/>
  <c r="O16" i="12"/>
  <c r="F53" i="8"/>
  <c r="D50" i="13" a="1"/>
  <c r="I53" i="8"/>
  <c r="N23" i="12"/>
  <c r="E58" i="8"/>
  <c r="E30" i="12" s="1"/>
  <c r="E32" i="12" s="1"/>
  <c r="E53" i="8"/>
  <c r="N16" i="12"/>
  <c r="O23" i="12"/>
  <c r="N31" i="12"/>
  <c r="O31" i="12"/>
  <c r="E61" i="30" l="1"/>
  <c r="D16" i="26"/>
  <c r="G16" i="26"/>
  <c r="H16" i="26"/>
  <c r="E16" i="26"/>
  <c r="F16" i="26"/>
  <c r="F61" i="30"/>
  <c r="E83" i="22"/>
  <c r="E85" i="22" s="1"/>
  <c r="F83" i="22"/>
  <c r="F85" i="22" s="1"/>
  <c r="E16" i="19"/>
  <c r="E18" i="19" s="1"/>
  <c r="E23" i="19" s="1"/>
  <c r="D50" i="13"/>
  <c r="E59" i="13"/>
  <c r="E58" i="13"/>
  <c r="E57" i="13"/>
  <c r="E53" i="13"/>
  <c r="E55" i="13"/>
  <c r="E56" i="13"/>
  <c r="E54" i="13"/>
  <c r="E52" i="13"/>
  <c r="N30" i="12"/>
  <c r="O30" i="12"/>
  <c r="O32" i="12"/>
  <c r="N32" i="12"/>
  <c r="F14" i="19" l="1"/>
  <c r="F16" i="19" s="1"/>
  <c r="F18" i="19" s="1"/>
  <c r="F23" i="19" s="1"/>
  <c r="E51" i="13"/>
  <c r="D62" i="13"/>
  <c r="D63" i="13"/>
  <c r="D64" i="13"/>
  <c r="D60" i="13"/>
  <c r="E60" i="13" s="1"/>
  <c r="D61" i="13"/>
  <c r="G14" i="19" l="1"/>
  <c r="H14" i="19" s="1"/>
  <c r="E62" i="13"/>
  <c r="E63" i="13"/>
  <c r="E64" i="13"/>
  <c r="E61" i="13"/>
  <c r="G16" i="19" l="1"/>
  <c r="G18" i="19" s="1"/>
  <c r="G23" i="19" s="1"/>
  <c r="I14" i="19"/>
  <c r="I16" i="19" s="1"/>
  <c r="I18" i="19" s="1"/>
  <c r="C31" i="19" s="1"/>
  <c r="H16" i="19"/>
  <c r="H18" i="19" s="1"/>
  <c r="H23" i="19" s="1"/>
  <c r="E41" i="14"/>
  <c r="C35" i="19" l="1"/>
  <c r="E30" i="19" s="1"/>
  <c r="I23" i="19"/>
  <c r="C39" i="19" s="1"/>
  <c r="C40" i="19" l="1"/>
  <c r="C41" i="19" s="1"/>
  <c r="C43" i="19" s="1"/>
  <c r="C47" i="19" l="1"/>
  <c r="C50" i="19" l="1"/>
  <c r="C81" i="8"/>
  <c r="C83" i="8" s="1"/>
  <c r="K81" i="8"/>
  <c r="H81" i="8"/>
  <c r="J81" i="8"/>
  <c r="F81" i="8"/>
  <c r="D81" i="8"/>
  <c r="D83" i="8" s="1"/>
  <c r="E81" i="8"/>
  <c r="E47" i="12" s="1"/>
  <c r="G81" i="8"/>
  <c r="I81" i="8"/>
  <c r="K83" i="8" l="1"/>
  <c r="H56" i="30"/>
  <c r="H66" i="22"/>
  <c r="I83" i="8"/>
  <c r="F56" i="30"/>
  <c r="F66" i="22"/>
  <c r="G47" i="12"/>
  <c r="D66" i="22"/>
  <c r="D56" i="30"/>
  <c r="F47" i="12"/>
  <c r="C66" i="22"/>
  <c r="C56" i="30"/>
  <c r="J83" i="8"/>
  <c r="G56" i="30"/>
  <c r="G66" i="22"/>
  <c r="H83" i="8"/>
  <c r="E56" i="30"/>
  <c r="E66" i="22"/>
  <c r="C53" i="19"/>
  <c r="E38" i="19" s="1"/>
  <c r="J47" i="12"/>
  <c r="K47" i="12"/>
  <c r="C47" i="12"/>
  <c r="I47" i="12"/>
  <c r="G83" i="8"/>
  <c r="F83" i="8"/>
  <c r="H47" i="12"/>
  <c r="E83" i="8"/>
  <c r="D47" i="12"/>
  <c r="L81" i="8"/>
  <c r="C62" i="30" l="1"/>
  <c r="C57" i="30"/>
  <c r="C78" i="22"/>
  <c r="C79" i="22" s="1"/>
  <c r="C69" i="22"/>
  <c r="C71" i="22" s="1"/>
  <c r="C88" i="22"/>
  <c r="C89" i="22" s="1"/>
  <c r="C91" i="22" s="1"/>
  <c r="C67" i="22"/>
  <c r="D62" i="30"/>
  <c r="D57" i="30"/>
  <c r="D78" i="22"/>
  <c r="D79" i="22" s="1"/>
  <c r="D69" i="22"/>
  <c r="D71" i="22" s="1"/>
  <c r="D88" i="22"/>
  <c r="D89" i="22" s="1"/>
  <c r="D91" i="22" s="1"/>
  <c r="D67" i="22"/>
  <c r="D73" i="22" s="1"/>
  <c r="E69" i="22"/>
  <c r="E71" i="22" s="1"/>
  <c r="E78" i="22"/>
  <c r="E79" i="22" s="1"/>
  <c r="E88" i="22"/>
  <c r="E89" i="22" s="1"/>
  <c r="E91" i="22" s="1"/>
  <c r="E67" i="22"/>
  <c r="F69" i="22"/>
  <c r="F71" i="22" s="1"/>
  <c r="F88" i="22"/>
  <c r="F89" i="22" s="1"/>
  <c r="F91" i="22" s="1"/>
  <c r="F78" i="22"/>
  <c r="F79" i="22" s="1"/>
  <c r="F67" i="22"/>
  <c r="F73" i="22" s="1"/>
  <c r="L83" i="8"/>
  <c r="I66" i="22"/>
  <c r="I56" i="30"/>
  <c r="E62" i="30"/>
  <c r="E57" i="30"/>
  <c r="F62" i="30"/>
  <c r="F57" i="30"/>
  <c r="G69" i="22"/>
  <c r="G71" i="22" s="1"/>
  <c r="G78" i="22"/>
  <c r="G79" i="22" s="1"/>
  <c r="G88" i="22"/>
  <c r="G89" i="22" s="1"/>
  <c r="G91" i="22" s="1"/>
  <c r="G67" i="22"/>
  <c r="H88" i="22"/>
  <c r="H89" i="22" s="1"/>
  <c r="H91" i="22" s="1"/>
  <c r="H69" i="22"/>
  <c r="H71" i="22" s="1"/>
  <c r="H78" i="22"/>
  <c r="H79" i="22" s="1"/>
  <c r="H67" i="22"/>
  <c r="H73" i="22" s="1"/>
  <c r="G62" i="30"/>
  <c r="G57" i="30"/>
  <c r="H62" i="30"/>
  <c r="H57" i="30"/>
  <c r="C56" i="19"/>
  <c r="L47" i="12"/>
  <c r="N47" i="12" s="1"/>
  <c r="G73" i="22" l="1"/>
  <c r="C73" i="22"/>
  <c r="H68" i="30"/>
  <c r="H63" i="30"/>
  <c r="F68" i="30"/>
  <c r="F63" i="30"/>
  <c r="C68" i="30"/>
  <c r="C63" i="30"/>
  <c r="G68" i="30"/>
  <c r="G63" i="30"/>
  <c r="E68" i="30"/>
  <c r="E63" i="30"/>
  <c r="I62" i="30"/>
  <c r="I57" i="30"/>
  <c r="I78" i="22"/>
  <c r="I79" i="22" s="1"/>
  <c r="I69" i="22"/>
  <c r="I71" i="22" s="1"/>
  <c r="I88" i="22"/>
  <c r="I89" i="22" s="1"/>
  <c r="I91" i="22" s="1"/>
  <c r="I67" i="22"/>
  <c r="D68" i="30"/>
  <c r="D63" i="30"/>
  <c r="E73" i="22"/>
  <c r="O47" i="12"/>
  <c r="I73" i="22" l="1"/>
  <c r="F74" i="30"/>
  <c r="F75" i="30" s="1"/>
  <c r="F80" i="30"/>
  <c r="F81" i="30" s="1"/>
  <c r="F69" i="30"/>
  <c r="I63" i="30"/>
  <c r="I68" i="30"/>
  <c r="E74" i="30"/>
  <c r="E75" i="30" s="1"/>
  <c r="E80" i="30"/>
  <c r="E81" i="30" s="1"/>
  <c r="E69" i="30"/>
  <c r="G74" i="30"/>
  <c r="G75" i="30" s="1"/>
  <c r="G80" i="30"/>
  <c r="G81" i="30" s="1"/>
  <c r="G69" i="30"/>
  <c r="G85" i="30" s="1"/>
  <c r="G86" i="30" s="1"/>
  <c r="D80" i="30"/>
  <c r="D81" i="30" s="1"/>
  <c r="D74" i="30"/>
  <c r="D75" i="30" s="1"/>
  <c r="D69" i="30"/>
  <c r="C74" i="30"/>
  <c r="C75" i="30" s="1"/>
  <c r="C80" i="30"/>
  <c r="C81" i="30" s="1"/>
  <c r="C69" i="30"/>
  <c r="H74" i="30"/>
  <c r="H75" i="30" s="1"/>
  <c r="H80" i="30"/>
  <c r="H81" i="30" s="1"/>
  <c r="H69" i="30"/>
  <c r="C85" i="30" l="1"/>
  <c r="C86" i="30" s="1"/>
  <c r="F85" i="30"/>
  <c r="F86" i="30" s="1"/>
  <c r="D85" i="30"/>
  <c r="D86" i="30" s="1"/>
  <c r="I74" i="30"/>
  <c r="I75" i="30" s="1"/>
  <c r="I80" i="30"/>
  <c r="I81" i="30" s="1"/>
  <c r="I69" i="30"/>
  <c r="H85" i="30"/>
  <c r="H86" i="30" s="1"/>
  <c r="E85" i="30"/>
  <c r="E86" i="30" s="1"/>
  <c r="I85" i="30" l="1"/>
  <c r="I86" i="3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<sst xmlns="http://schemas.openxmlformats.org/spreadsheetml/2006/main" count="1965" uniqueCount="1229">
  <si>
    <t>COMPANY NAME</t>
  </si>
  <si>
    <t>Sales</t>
  </si>
  <si>
    <t>Expenses</t>
  </si>
  <si>
    <t>Operating Profit</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</si>
  <si>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</si>
  <si>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</si>
  <si>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</si>
  <si>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</si>
  <si>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</si>
  <si>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</si>
  <si>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</si>
  <si>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</si>
  <si>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</si>
  <si>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</si>
  <si>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</si>
  <si>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</si>
  <si>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</si>
  <si>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</si>
  <si>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</si>
  <si>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</si>
  <si>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</si>
  <si>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</si>
  <si>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</si>
  <si>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</si>
  <si>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</si>
  <si>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</si>
  <si>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</si>
  <si>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</si>
  <si>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</si>
  <si>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</si>
  <si>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Debtor Days</t>
  </si>
  <si>
    <t>LATEST VERSION</t>
  </si>
  <si>
    <t>CURRENT VERSION</t>
  </si>
  <si>
    <t>INFOSYS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</si>
  <si>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</si>
  <si>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</si>
  <si>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</si>
  <si>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</si>
  <si>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</si>
  <si>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</si>
  <si>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</si>
  <si>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</si>
  <si>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</si>
  <si>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</si>
  <si>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</si>
  <si>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</si>
  <si>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</si>
  <si>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</si>
  <si>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</si>
  <si>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</si>
  <si>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</si>
  <si>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</si>
  <si>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</si>
  <si>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</si>
  <si>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</si>
  <si>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Particulars</t>
  </si>
  <si>
    <t>LTM</t>
  </si>
  <si>
    <t>#</t>
  </si>
  <si>
    <t>Income Statement</t>
  </si>
  <si>
    <t>Sales Growth %</t>
  </si>
  <si>
    <t>-</t>
  </si>
  <si>
    <t>COGS</t>
  </si>
  <si>
    <t>COGS % sale</t>
  </si>
  <si>
    <t>Gross Profit</t>
  </si>
  <si>
    <t>EBITDA</t>
  </si>
  <si>
    <t>EBITDA Margin</t>
  </si>
  <si>
    <t>Dep. % Sale</t>
  </si>
  <si>
    <t>Int. % Sale</t>
  </si>
  <si>
    <t>EBT / Profit before tax</t>
  </si>
  <si>
    <t>Effective tax rate</t>
  </si>
  <si>
    <t>Net Profit</t>
  </si>
  <si>
    <t>No. of Equity Share (CR.)</t>
  </si>
  <si>
    <t>Earning per share</t>
  </si>
  <si>
    <t>EPS growth %</t>
  </si>
  <si>
    <t>Dividend per share</t>
  </si>
  <si>
    <t>Dividend Payout ratio</t>
  </si>
  <si>
    <t>Retained Earnings</t>
  </si>
  <si>
    <t>Balance Sheet</t>
  </si>
  <si>
    <t>Total Liabilities</t>
  </si>
  <si>
    <t>Fixed Assests Net Block</t>
  </si>
  <si>
    <t>Total Non-Current Assests</t>
  </si>
  <si>
    <t>Total Current Assests</t>
  </si>
  <si>
    <t xml:space="preserve">Total Assests </t>
  </si>
  <si>
    <t>Check</t>
  </si>
  <si>
    <t>Cash Flow Statement</t>
  </si>
  <si>
    <t>Profit from operations</t>
  </si>
  <si>
    <t>Payables</t>
  </si>
  <si>
    <t>Loans Advances</t>
  </si>
  <si>
    <t>Other WC items</t>
  </si>
  <si>
    <t>Working capital changes</t>
  </si>
  <si>
    <t>Direct taxes</t>
  </si>
  <si>
    <t>Fixed assets purchased</t>
  </si>
  <si>
    <t>Fixed assets sold</t>
  </si>
  <si>
    <t>Investments purchased</t>
  </si>
  <si>
    <t>Investments sold</t>
  </si>
  <si>
    <t>Interest received</t>
  </si>
  <si>
    <t>Dividends received</t>
  </si>
  <si>
    <t>Acquisition of companies</t>
  </si>
  <si>
    <t>Inter corporate deposits</t>
  </si>
  <si>
    <t>Other investing items</t>
  </si>
  <si>
    <t>Proceeds from shares</t>
  </si>
  <si>
    <t>Repayment of borrowings</t>
  </si>
  <si>
    <t>Dividends paid</t>
  </si>
  <si>
    <t>Financial liabilities</t>
  </si>
  <si>
    <t>Other financing items</t>
  </si>
  <si>
    <t>Cash from Operating Activity -</t>
  </si>
  <si>
    <t>Cash from Investing Activity -</t>
  </si>
  <si>
    <t>Cash from Financing Activity -</t>
  </si>
  <si>
    <t>Selling, General &amp; Admin. Exp.</t>
  </si>
  <si>
    <t>SG&amp;A expense % sale</t>
  </si>
  <si>
    <t xml:space="preserve">Cash from Investing Activity </t>
  </si>
  <si>
    <t xml:space="preserve">Cash from Financing Activity </t>
  </si>
  <si>
    <t xml:space="preserve">Cash from Operating Activity </t>
  </si>
  <si>
    <t>Trend</t>
  </si>
  <si>
    <t>Mean</t>
  </si>
  <si>
    <t>Median</t>
  </si>
  <si>
    <t>OI % Sale</t>
  </si>
  <si>
    <t>EBITDA Growth</t>
  </si>
  <si>
    <t>EBIT Growth</t>
  </si>
  <si>
    <t>Dividend Growth</t>
  </si>
  <si>
    <t>Gross Margin</t>
  </si>
  <si>
    <t>EBIT Margin</t>
  </si>
  <si>
    <t>Net Profit Growth</t>
  </si>
  <si>
    <t>Net Profit Margin</t>
  </si>
  <si>
    <t>EBT Margin</t>
  </si>
  <si>
    <t>Sales Expense % Sales</t>
  </si>
  <si>
    <t xml:space="preserve">Sales Growth </t>
  </si>
  <si>
    <t>Depreciation % Sales</t>
  </si>
  <si>
    <t>Return on Capital Employed</t>
  </si>
  <si>
    <t>Retained Earning %</t>
  </si>
  <si>
    <t>Return on Equity %</t>
  </si>
  <si>
    <t>Debtor Turnover ratio</t>
  </si>
  <si>
    <t>Inventory turnover ratio</t>
  </si>
  <si>
    <t>Creditor turnover ratio</t>
  </si>
  <si>
    <t>Capital turnover ratio</t>
  </si>
  <si>
    <t>Fixed Assets Turnover ratio</t>
  </si>
  <si>
    <t>Operating Income % sales</t>
  </si>
  <si>
    <t>Self Sustained Growth Rate</t>
  </si>
  <si>
    <t>Interest Coverage Ratio</t>
  </si>
  <si>
    <t>CFO / Sales</t>
  </si>
  <si>
    <t>CFO / Total Assets</t>
  </si>
  <si>
    <t>CFO / Total Debt</t>
  </si>
  <si>
    <t>Creditor Days</t>
  </si>
  <si>
    <t>Inventory Days</t>
  </si>
  <si>
    <t>Cash Conversion Cycle (CCC)</t>
  </si>
  <si>
    <t xml:space="preserve">INVESTING ACTIVITIES </t>
  </si>
  <si>
    <t>OPERATING ACTIVITIES</t>
  </si>
  <si>
    <t>FINANCING ACTIVITIES</t>
  </si>
  <si>
    <t>EBT % Margin</t>
  </si>
  <si>
    <t>Net Margin</t>
  </si>
  <si>
    <t>EBIT</t>
  </si>
  <si>
    <t>Year Weights</t>
  </si>
  <si>
    <t>Year</t>
  </si>
  <si>
    <t>EPS</t>
  </si>
  <si>
    <t>EPS Growth</t>
  </si>
  <si>
    <t>Sales Growth</t>
  </si>
  <si>
    <t>Peer Comps.</t>
  </si>
  <si>
    <t xml:space="preserve">Country </t>
  </si>
  <si>
    <t>Total Debt</t>
  </si>
  <si>
    <t>Total Equity</t>
  </si>
  <si>
    <t>Debt /</t>
  </si>
  <si>
    <t>Equity</t>
  </si>
  <si>
    <t>Name of the Company</t>
  </si>
  <si>
    <r>
      <t>Tax rate</t>
    </r>
    <r>
      <rPr>
        <b/>
        <vertAlign val="superscript"/>
        <sz val="11"/>
        <color theme="1"/>
        <rFont val="Calibri"/>
        <family val="2"/>
        <scheme val="minor"/>
      </rPr>
      <t>1</t>
    </r>
  </si>
  <si>
    <r>
      <t>Beta</t>
    </r>
    <r>
      <rPr>
        <b/>
        <vertAlign val="superscript"/>
        <sz val="11"/>
        <color theme="1"/>
        <rFont val="Calibri"/>
        <family val="2"/>
        <scheme val="minor"/>
      </rPr>
      <t>2</t>
    </r>
  </si>
  <si>
    <r>
      <t>Beta</t>
    </r>
    <r>
      <rPr>
        <b/>
        <vertAlign val="superscript"/>
        <sz val="11"/>
        <color theme="1"/>
        <rFont val="Calibri"/>
        <family val="2"/>
        <scheme val="minor"/>
      </rPr>
      <t>3</t>
    </r>
  </si>
  <si>
    <t>All  figures are in INR unless stated  otherwise.</t>
  </si>
  <si>
    <t>Capital</t>
  </si>
  <si>
    <t>Average</t>
  </si>
  <si>
    <t>Cost of Debt</t>
  </si>
  <si>
    <t>Pre-Tax Cost of Debt</t>
  </si>
  <si>
    <t>Post-Tax Cost of Debt</t>
  </si>
  <si>
    <t>Cost of Equity</t>
  </si>
  <si>
    <t>Risk Free Rate</t>
  </si>
  <si>
    <t>Risk Premium</t>
  </si>
  <si>
    <r>
      <t>Leverage Beta</t>
    </r>
    <r>
      <rPr>
        <vertAlign val="superscript"/>
        <sz val="11"/>
        <color theme="1"/>
        <rFont val="Calibri"/>
        <family val="2"/>
        <scheme val="minor"/>
      </rPr>
      <t>4</t>
    </r>
  </si>
  <si>
    <t>Capital Structure</t>
  </si>
  <si>
    <t>Current</t>
  </si>
  <si>
    <t>Target</t>
  </si>
  <si>
    <t>Market Capitilization</t>
  </si>
  <si>
    <t>Total Capitalization</t>
  </si>
  <si>
    <t xml:space="preserve">Debt / Equity </t>
  </si>
  <si>
    <t>Comps. Median Unlevered Beta</t>
  </si>
  <si>
    <t>Levered Beta</t>
  </si>
  <si>
    <t>Levered</t>
  </si>
  <si>
    <t>Unlevered</t>
  </si>
  <si>
    <t>Target Debt / Equity</t>
  </si>
  <si>
    <t>Tax-rate</t>
  </si>
  <si>
    <t>Weighted Average Cost of Capital</t>
  </si>
  <si>
    <t>Equity Weight</t>
  </si>
  <si>
    <t>Debt Weight</t>
  </si>
  <si>
    <t>WACC</t>
  </si>
  <si>
    <t>Notes:</t>
  </si>
  <si>
    <t>1. Tax rate considered as Marginal Tax Rate for the country</t>
  </si>
  <si>
    <t>TCS</t>
  </si>
  <si>
    <t>Infosys</t>
  </si>
  <si>
    <t>HCL Technologies</t>
  </si>
  <si>
    <t>Wipro</t>
  </si>
  <si>
    <t>Tech Mahindra</t>
  </si>
  <si>
    <t>India</t>
  </si>
  <si>
    <t xml:space="preserve"> </t>
  </si>
  <si>
    <t>Equity Capital</t>
  </si>
  <si>
    <t>Lease Liabilities</t>
  </si>
  <si>
    <t>Non controlling int</t>
  </si>
  <si>
    <t>Trade Payables</t>
  </si>
  <si>
    <t>Advance from Customers</t>
  </si>
  <si>
    <t>Other liability items</t>
  </si>
  <si>
    <t>Land</t>
  </si>
  <si>
    <t>Building</t>
  </si>
  <si>
    <t>Plant Machinery</t>
  </si>
  <si>
    <t>Equipments</t>
  </si>
  <si>
    <t>Computers</t>
  </si>
  <si>
    <t>Furniture n fittings</t>
  </si>
  <si>
    <t>Vehicles</t>
  </si>
  <si>
    <t>Intangible Assets</t>
  </si>
  <si>
    <t>Other fixed assets</t>
  </si>
  <si>
    <t>Gross Block</t>
  </si>
  <si>
    <t>Accumulated Depreciation</t>
  </si>
  <si>
    <t>CWIP</t>
  </si>
  <si>
    <t>Trade receivables</t>
  </si>
  <si>
    <t>Cash Equivalents</t>
  </si>
  <si>
    <t>Loans n Advances</t>
  </si>
  <si>
    <t>Other asset items</t>
  </si>
  <si>
    <t>Total Assets</t>
  </si>
  <si>
    <t>Borrowings -</t>
  </si>
  <si>
    <t>Other Liabilities -</t>
  </si>
  <si>
    <t>Fixed Assets -</t>
  </si>
  <si>
    <t>Other Assets -</t>
  </si>
  <si>
    <t>Calculation of ROIC</t>
  </si>
  <si>
    <t>Current Assets</t>
  </si>
  <si>
    <t>Total Current Assets</t>
  </si>
  <si>
    <t>Current Liabilities</t>
  </si>
  <si>
    <t>Total Current Liabilities</t>
  </si>
  <si>
    <t>Net Working Capital</t>
  </si>
  <si>
    <t>Non-Current Assets</t>
  </si>
  <si>
    <t xml:space="preserve">Invested Capital  </t>
  </si>
  <si>
    <t>ROIC</t>
  </si>
  <si>
    <t>Net Capex</t>
  </si>
  <si>
    <t>Change In Working Capital</t>
  </si>
  <si>
    <t>Marginal Tax Rate</t>
  </si>
  <si>
    <t>Calculation of Reinvestment Rate</t>
  </si>
  <si>
    <t>Reinvestment rate</t>
  </si>
  <si>
    <t>EBIT(1-Tax)</t>
  </si>
  <si>
    <t xml:space="preserve">Reinvestment </t>
  </si>
  <si>
    <t>4 year Average</t>
  </si>
  <si>
    <t>4 year Median</t>
  </si>
  <si>
    <t>Intrinsic Growth</t>
  </si>
  <si>
    <t>Annual</t>
  </si>
  <si>
    <t>Return on Markets</t>
  </si>
  <si>
    <t>Average Return</t>
  </si>
  <si>
    <t>Dividend Yield</t>
  </si>
  <si>
    <t>Total Market Return</t>
  </si>
  <si>
    <t>Calculation of  Intrinsic Growth Rate</t>
  </si>
  <si>
    <t>Calculation of PV of FCFF</t>
  </si>
  <si>
    <t>Tax-Rate</t>
  </si>
  <si>
    <t>EBIT(1-T)</t>
  </si>
  <si>
    <t>Less: Reinvestment Rate</t>
  </si>
  <si>
    <t>Free Cash flow to firm (FCFF)</t>
  </si>
  <si>
    <t>Mid Year conversion</t>
  </si>
  <si>
    <t>Discounting factor</t>
  </si>
  <si>
    <t>PV of FCFF</t>
  </si>
  <si>
    <t>Expected Growth</t>
  </si>
  <si>
    <t>Terminal Growth</t>
  </si>
  <si>
    <t>Terminal Growth Rate</t>
  </si>
  <si>
    <t>FCFF (n+1)</t>
  </si>
  <si>
    <t>Calculation of Terminal Value</t>
  </si>
  <si>
    <t>PV of Terminal Value</t>
  </si>
  <si>
    <t>Terminal Value</t>
  </si>
  <si>
    <t>Enterprise Value</t>
  </si>
  <si>
    <t>Calculation of Enterprise Value</t>
  </si>
  <si>
    <t>Calculation of Equity Per Share Value</t>
  </si>
  <si>
    <t>Equity Value</t>
  </si>
  <si>
    <t>No. of Equity Share</t>
  </si>
  <si>
    <t>Equity Per share Value</t>
  </si>
  <si>
    <t>Discount/Premium</t>
  </si>
  <si>
    <t>Current Share price</t>
  </si>
  <si>
    <t>Senstivity Analysis - Terminal Value</t>
  </si>
  <si>
    <t xml:space="preserve">  </t>
  </si>
  <si>
    <t xml:space="preserve">Company </t>
  </si>
  <si>
    <t>Ticker</t>
  </si>
  <si>
    <t>Share Outstanding</t>
  </si>
  <si>
    <t>Share Price</t>
  </si>
  <si>
    <t>Net Debt</t>
  </si>
  <si>
    <t>Market Data</t>
  </si>
  <si>
    <t>Revenue</t>
  </si>
  <si>
    <t>Net Income</t>
  </si>
  <si>
    <t>Financials</t>
  </si>
  <si>
    <t>Valuation</t>
  </si>
  <si>
    <t>S.No.</t>
  </si>
  <si>
    <t>Name</t>
  </si>
  <si>
    <t>CMP Rs.</t>
  </si>
  <si>
    <t>No. Eq. Shares Cr.</t>
  </si>
  <si>
    <t>Debt Rs.Cr.</t>
  </si>
  <si>
    <t>Cash End Rs.Cr.</t>
  </si>
  <si>
    <t>Sales Rs.Cr.</t>
  </si>
  <si>
    <t>EV / EBITDA</t>
  </si>
  <si>
    <t>NP 12M Rs.Cr.</t>
  </si>
  <si>
    <t>LTIMindtree</t>
  </si>
  <si>
    <t>Persistent Systems</t>
  </si>
  <si>
    <t>Market  Cap</t>
  </si>
  <si>
    <t>EV</t>
  </si>
  <si>
    <t>Net debt</t>
  </si>
  <si>
    <t>i</t>
  </si>
  <si>
    <t>P/E</t>
  </si>
  <si>
    <t>EV/EBITDA</t>
  </si>
  <si>
    <t>EV/Revenue</t>
  </si>
  <si>
    <t>High</t>
  </si>
  <si>
    <t>Low</t>
  </si>
  <si>
    <t>Infosys Comparable Valuation</t>
  </si>
  <si>
    <t>Implied Enterprise value</t>
  </si>
  <si>
    <t>INFY</t>
  </si>
  <si>
    <t>HCLTECH</t>
  </si>
  <si>
    <t>WIPRO</t>
  </si>
  <si>
    <t>TECHM</t>
  </si>
  <si>
    <t>PERSISTENT</t>
  </si>
  <si>
    <t>(Figures in Crores)</t>
  </si>
  <si>
    <t>Implied Market value</t>
  </si>
  <si>
    <t>Implied Value per Share</t>
  </si>
  <si>
    <t>Source: Screener.in</t>
  </si>
  <si>
    <r>
      <t>1.28%</t>
    </r>
    <r>
      <rPr>
        <vertAlign val="superscript"/>
        <sz val="11"/>
        <color theme="1"/>
        <rFont val="Calibri"/>
        <family val="2"/>
        <scheme val="minor"/>
      </rPr>
      <t>1</t>
    </r>
  </si>
  <si>
    <r>
      <t>75</t>
    </r>
    <r>
      <rPr>
        <vertAlign val="superscript"/>
        <sz val="11"/>
        <color theme="1"/>
        <rFont val="Calibri"/>
        <family val="2"/>
        <scheme val="minor"/>
      </rPr>
      <t>th</t>
    </r>
    <r>
      <rPr>
        <sz val="11"/>
        <color theme="1"/>
        <rFont val="Calibri"/>
        <family val="2"/>
        <scheme val="minor"/>
      </rPr>
      <t xml:space="preserve"> Percentile</t>
    </r>
  </si>
  <si>
    <r>
      <t>25</t>
    </r>
    <r>
      <rPr>
        <vertAlign val="superscript"/>
        <sz val="11"/>
        <color theme="1"/>
        <rFont val="Calibri"/>
        <family val="2"/>
        <scheme val="minor"/>
      </rPr>
      <t>th</t>
    </r>
    <r>
      <rPr>
        <sz val="11"/>
        <color theme="1"/>
        <rFont val="Calibri"/>
        <family val="2"/>
        <scheme val="minor"/>
      </rPr>
      <t xml:space="preserve"> Percentile</t>
    </r>
  </si>
  <si>
    <t>OpenHigh</t>
  </si>
  <si>
    <t>OpenLow</t>
  </si>
  <si>
    <t>Comps.</t>
  </si>
  <si>
    <t>DCF Bear</t>
  </si>
  <si>
    <t>DCF Base</t>
  </si>
  <si>
    <t>DCF Bull</t>
  </si>
  <si>
    <t>52W H/L</t>
  </si>
  <si>
    <t>Return on Equity (ROE)</t>
  </si>
  <si>
    <t>Average Shareholder Equity</t>
  </si>
  <si>
    <t xml:space="preserve">Return on Equity </t>
  </si>
  <si>
    <t>ROE - Dupont Equation</t>
  </si>
  <si>
    <t>Net Profit Margin (A)</t>
  </si>
  <si>
    <t>Average Total Assets</t>
  </si>
  <si>
    <t>Equity Multiplier (C)</t>
  </si>
  <si>
    <t>Assets Turnover Ratio (B)</t>
  </si>
  <si>
    <t>Return on Equity ( A*B*C)</t>
  </si>
  <si>
    <t>Return on Assets (ROA)</t>
  </si>
  <si>
    <t xml:space="preserve"> ROA - Dupont Equation</t>
  </si>
  <si>
    <t xml:space="preserve">Return on Assets </t>
  </si>
  <si>
    <t>About the Company</t>
  </si>
  <si>
    <t xml:space="preserve"> Financial Summary</t>
  </si>
  <si>
    <t>Return on Assets (A*B)</t>
  </si>
  <si>
    <t>Recent Updates:</t>
  </si>
  <si>
    <t>TABLE OF CONTENTS</t>
  </si>
  <si>
    <t>Historical Financial statement</t>
  </si>
  <si>
    <t>Ratio Analysis</t>
  </si>
  <si>
    <t>Common Size Statement Analysis</t>
  </si>
  <si>
    <t>Forecasting</t>
  </si>
  <si>
    <t>Return on Market</t>
  </si>
  <si>
    <t>Weighted Average cost of capital</t>
  </si>
  <si>
    <t>Valuation - Discounted Cashflow</t>
  </si>
  <si>
    <t>Valuation - Comparable Company (Relative)</t>
  </si>
  <si>
    <t>Value at Risk</t>
  </si>
  <si>
    <t>Football Field Analysis</t>
  </si>
  <si>
    <t>Dupont Analysis</t>
  </si>
  <si>
    <t>Altman's Z Score Analysis</t>
  </si>
  <si>
    <t>Senstivity Analysis - EPS</t>
  </si>
  <si>
    <t>2. Risk-free rate is based on Annualised yield of 10 years G-sec Bonds sourced from Rbi.org.in</t>
  </si>
  <si>
    <t>3. Levered Beta is based on 5 years monthly data</t>
  </si>
  <si>
    <t>4. Unlevered Beta = Levered Beta/(1+(1-Tax rate)*Debt/Equity)</t>
  </si>
  <si>
    <t>2. Discounting Factor = 1/(1+WACC)^Mid year Conversion</t>
  </si>
  <si>
    <t>4. The mid year Conversion is used to reflect the timming of cashflows, assuming they are received evenly throughout the year rather than all at year-end.</t>
  </si>
  <si>
    <t>3. The Terminal Growth rate has been assumed to be 4.50%, reflecting long-term Nominal GDP expectations.</t>
  </si>
  <si>
    <t xml:space="preserve">Notes: </t>
  </si>
  <si>
    <t xml:space="preserve">2. the FORECAST.LINEAR (linear regression) function was used to project future values based on historical trends. </t>
  </si>
  <si>
    <t>1.  All data presented in this forecasting sheet has been derived from historical income statement, based on previously reported data sourced from screener.in. except for 2026E to 2030E.</t>
  </si>
  <si>
    <t>Sources : Primeinvestor.in</t>
  </si>
  <si>
    <t>FINANCIAL MODELLING</t>
  </si>
  <si>
    <t>&amp; VALUATION REPORT</t>
  </si>
  <si>
    <t>Prepared By: Daksh</t>
  </si>
  <si>
    <t xml:space="preserve">DISCLAIMER : This Report has been prepared for education purposes only. All the information is sourced from publicly availabe data, and does not constitute investment advice. </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</si>
  <si>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companies.Infosys offers Software development, maintenance, and the independent validation services across industries Such as finance, insurance, manufacturing and  among others.</t>
  </si>
  <si>
    <t>Altman's Z Score Analysis  Calculation</t>
  </si>
  <si>
    <t>Working Capital</t>
  </si>
  <si>
    <t>Retained Earning</t>
  </si>
  <si>
    <t>Long term Liabilities</t>
  </si>
  <si>
    <t>Market Cap</t>
  </si>
  <si>
    <t xml:space="preserve"> Sales</t>
  </si>
  <si>
    <t>Activity Ratio</t>
  </si>
  <si>
    <t>Solvency Ratio</t>
  </si>
  <si>
    <t>Profitability Ratio</t>
  </si>
  <si>
    <t>Liqudity Ratio</t>
  </si>
  <si>
    <t>Altman's Z Score</t>
  </si>
  <si>
    <t>Working Capital / Total Assets (A)</t>
  </si>
  <si>
    <t>Retained Earning / Total Assets (B)</t>
  </si>
  <si>
    <t>EBIT / Total Assets (C)</t>
  </si>
  <si>
    <t>Sales / Total Assets (E)</t>
  </si>
  <si>
    <t>Final Score</t>
  </si>
  <si>
    <t>Market Cap / Total Liabilities (D)</t>
  </si>
  <si>
    <t>Financial Health</t>
  </si>
  <si>
    <t>One Page Profile</t>
  </si>
  <si>
    <t xml:space="preserve">( NSE: INFY | BSE: 500209) </t>
  </si>
  <si>
    <t>52 Week (High 1728 &amp; Low 1215)</t>
  </si>
  <si>
    <t>INR(Crs.)</t>
  </si>
  <si>
    <t>Sales Growth (Y-O-Y)</t>
  </si>
  <si>
    <t>Total Sales</t>
  </si>
  <si>
    <t>Gross Profit Margins (%)</t>
  </si>
  <si>
    <t>EBITDA Margins (%)</t>
  </si>
  <si>
    <t>EBIT Margins (%)</t>
  </si>
  <si>
    <t>Net Margin (%)</t>
  </si>
  <si>
    <t>Earning Per Share (In Rs.)</t>
  </si>
  <si>
    <t>EPS Growth (Y-O-Y)</t>
  </si>
  <si>
    <t>Dividend Per Share (in Rs.)</t>
  </si>
  <si>
    <t>DPS Growth (Y-O-Y)</t>
  </si>
  <si>
    <t>Altman's Z Score - Summary</t>
  </si>
  <si>
    <t xml:space="preserve">1.  All data presented in this sheet has been derived from historical income statement, based on previously reported data sourced from screener.in. </t>
  </si>
  <si>
    <t>2. Altman's Z score defined as follows - safe zone &gt;2.99, Grey zone 1.81-2.99, Distress Zone &lt; 1.81.</t>
  </si>
  <si>
    <t>Key Financial Metrics</t>
  </si>
  <si>
    <t>Data - FDA</t>
  </si>
  <si>
    <t>Share Price - 5 Years</t>
  </si>
  <si>
    <t>wvg</t>
  </si>
  <si>
    <t>5.68M</t>
  </si>
  <si>
    <t>9.48M</t>
  </si>
  <si>
    <t>5.79M</t>
  </si>
  <si>
    <t>5.88M</t>
  </si>
  <si>
    <t>5.65M</t>
  </si>
  <si>
    <t>6.05M</t>
  </si>
  <si>
    <t>20.38M</t>
  </si>
  <si>
    <t>14.86M</t>
  </si>
  <si>
    <t>25.34M</t>
  </si>
  <si>
    <t>10.88M</t>
  </si>
  <si>
    <t>12.51M</t>
  </si>
  <si>
    <t>8.56M</t>
  </si>
  <si>
    <t>6.62M</t>
  </si>
  <si>
    <t>7.32M</t>
  </si>
  <si>
    <t>7.09M</t>
  </si>
  <si>
    <t>3.64M</t>
  </si>
  <si>
    <t>4.88M</t>
  </si>
  <si>
    <t>5.41M</t>
  </si>
  <si>
    <t>8.35M</t>
  </si>
  <si>
    <t>4.56M</t>
  </si>
  <si>
    <t>4.89M</t>
  </si>
  <si>
    <t>3.94M</t>
  </si>
  <si>
    <t>4.81M</t>
  </si>
  <si>
    <t>4.99M</t>
  </si>
  <si>
    <t>7.20M</t>
  </si>
  <si>
    <t>6.42M</t>
  </si>
  <si>
    <t>5.24M</t>
  </si>
  <si>
    <t>4.82M</t>
  </si>
  <si>
    <t>5.02M</t>
  </si>
  <si>
    <t>5.62M</t>
  </si>
  <si>
    <t>4.44M</t>
  </si>
  <si>
    <t>4.49M</t>
  </si>
  <si>
    <t>4.97M</t>
  </si>
  <si>
    <t>4.23M</t>
  </si>
  <si>
    <t>4.10M</t>
  </si>
  <si>
    <t>6.85M</t>
  </si>
  <si>
    <t>15.37M</t>
  </si>
  <si>
    <t>4.26M</t>
  </si>
  <si>
    <t>4.43M</t>
  </si>
  <si>
    <t>4.79M</t>
  </si>
  <si>
    <t>9.27M</t>
  </si>
  <si>
    <t>5.12M</t>
  </si>
  <si>
    <t>4.19M</t>
  </si>
  <si>
    <t>5.15M</t>
  </si>
  <si>
    <t>7.36M</t>
  </si>
  <si>
    <t>5.39M</t>
  </si>
  <si>
    <t>3.50M</t>
  </si>
  <si>
    <t>6.14M</t>
  </si>
  <si>
    <t>7.13M</t>
  </si>
  <si>
    <t>5.40M</t>
  </si>
  <si>
    <t>7.66M</t>
  </si>
  <si>
    <t>7.68M</t>
  </si>
  <si>
    <t>13.53M</t>
  </si>
  <si>
    <t>5.45M</t>
  </si>
  <si>
    <t>6.43M</t>
  </si>
  <si>
    <t>5.53M</t>
  </si>
  <si>
    <t>10.79M</t>
  </si>
  <si>
    <t>9.78M</t>
  </si>
  <si>
    <t>5.91M</t>
  </si>
  <si>
    <t>6.06M</t>
  </si>
  <si>
    <t>5.17M</t>
  </si>
  <si>
    <t>4.06M</t>
  </si>
  <si>
    <t>4.09M</t>
  </si>
  <si>
    <t>4.80M</t>
  </si>
  <si>
    <t>3.33M</t>
  </si>
  <si>
    <t>3.44M</t>
  </si>
  <si>
    <t>4.59M</t>
  </si>
  <si>
    <t>4.46M</t>
  </si>
  <si>
    <t>5.66M</t>
  </si>
  <si>
    <t>10.02M</t>
  </si>
  <si>
    <t>6.27M</t>
  </si>
  <si>
    <t>5.67M</t>
  </si>
  <si>
    <t>5.07M</t>
  </si>
  <si>
    <t>7.85M</t>
  </si>
  <si>
    <t>4.18M</t>
  </si>
  <si>
    <t>5.89M</t>
  </si>
  <si>
    <t>4.69M</t>
  </si>
  <si>
    <t>4.66M</t>
  </si>
  <si>
    <t>6.23M</t>
  </si>
  <si>
    <t>5.55M</t>
  </si>
  <si>
    <t>5.51M</t>
  </si>
  <si>
    <t>6.74M</t>
  </si>
  <si>
    <t>5.42M</t>
  </si>
  <si>
    <t>3.75M</t>
  </si>
  <si>
    <t>4.90M</t>
  </si>
  <si>
    <t>5.61M</t>
  </si>
  <si>
    <t>9.51M</t>
  </si>
  <si>
    <t>6.69M</t>
  </si>
  <si>
    <t>6.21M</t>
  </si>
  <si>
    <t>6.19M</t>
  </si>
  <si>
    <t>7.60M</t>
  </si>
  <si>
    <t>6.15M</t>
  </si>
  <si>
    <t>5.30M</t>
  </si>
  <si>
    <t>6.70M</t>
  </si>
  <si>
    <t>6.56M</t>
  </si>
  <si>
    <t>12.26M</t>
  </si>
  <si>
    <t>7.80M</t>
  </si>
  <si>
    <t>6.83M</t>
  </si>
  <si>
    <t>5.34M</t>
  </si>
  <si>
    <t>3.52M</t>
  </si>
  <si>
    <t>4.58M</t>
  </si>
  <si>
    <t>4.95M</t>
  </si>
  <si>
    <t>3.25M</t>
  </si>
  <si>
    <t>7.45M</t>
  </si>
  <si>
    <t>4.67M</t>
  </si>
  <si>
    <t>4.55M</t>
  </si>
  <si>
    <t>3.83M</t>
  </si>
  <si>
    <t>8.28M</t>
  </si>
  <si>
    <t>5.05M</t>
  </si>
  <si>
    <t>7.79M</t>
  </si>
  <si>
    <t>6.91M</t>
  </si>
  <si>
    <t>5.73M</t>
  </si>
  <si>
    <t>2.95M</t>
  </si>
  <si>
    <t>4.37M</t>
  </si>
  <si>
    <t>4.27M</t>
  </si>
  <si>
    <t>5.48M</t>
  </si>
  <si>
    <t>4.74M</t>
  </si>
  <si>
    <t>8.84M</t>
  </si>
  <si>
    <t>7.44M</t>
  </si>
  <si>
    <t>7.10M</t>
  </si>
  <si>
    <t>19.66M</t>
  </si>
  <si>
    <t>13.44M</t>
  </si>
  <si>
    <t>10.32M</t>
  </si>
  <si>
    <t>8.78M</t>
  </si>
  <si>
    <t>7.37M</t>
  </si>
  <si>
    <t>5.87M</t>
  </si>
  <si>
    <t>5.09M</t>
  </si>
  <si>
    <t>5.33M</t>
  </si>
  <si>
    <t>3.47M</t>
  </si>
  <si>
    <t>3.53M</t>
  </si>
  <si>
    <t>483.41K</t>
  </si>
  <si>
    <t>5.25M</t>
  </si>
  <si>
    <t>4.02M</t>
  </si>
  <si>
    <t>4.78M</t>
  </si>
  <si>
    <t>4.73M</t>
  </si>
  <si>
    <t>4.35M</t>
  </si>
  <si>
    <t>6.03M</t>
  </si>
  <si>
    <t>4.33M</t>
  </si>
  <si>
    <t>8.44M</t>
  </si>
  <si>
    <t>7.33M</t>
  </si>
  <si>
    <t>4.48M</t>
  </si>
  <si>
    <t>14.81M</t>
  </si>
  <si>
    <t>5.19M</t>
  </si>
  <si>
    <t>5.56M</t>
  </si>
  <si>
    <t>6.75M</t>
  </si>
  <si>
    <t>3.99M</t>
  </si>
  <si>
    <t>4.20M</t>
  </si>
  <si>
    <t>3.03M</t>
  </si>
  <si>
    <t>2.08M</t>
  </si>
  <si>
    <t>1.82M</t>
  </si>
  <si>
    <t>4.04M</t>
  </si>
  <si>
    <t>4.77M</t>
  </si>
  <si>
    <t>3.05M</t>
  </si>
  <si>
    <t>18.89M</t>
  </si>
  <si>
    <t>5.77M</t>
  </si>
  <si>
    <t>5.35M</t>
  </si>
  <si>
    <t>4.16M</t>
  </si>
  <si>
    <t>4.11M</t>
  </si>
  <si>
    <t>3.78M</t>
  </si>
  <si>
    <t>2.65M</t>
  </si>
  <si>
    <t>3.34M</t>
  </si>
  <si>
    <t>3.24M</t>
  </si>
  <si>
    <t>4.62M</t>
  </si>
  <si>
    <t>3.92M</t>
  </si>
  <si>
    <t>7.00M</t>
  </si>
  <si>
    <t>6.45M</t>
  </si>
  <si>
    <t>4.83M</t>
  </si>
  <si>
    <t>7.86M</t>
  </si>
  <si>
    <t>5.14M</t>
  </si>
  <si>
    <t>5.36M</t>
  </si>
  <si>
    <t>14.28M</t>
  </si>
  <si>
    <t>7.69M</t>
  </si>
  <si>
    <t>5.26M</t>
  </si>
  <si>
    <t>3.69M</t>
  </si>
  <si>
    <t>5.75M</t>
  </si>
  <si>
    <t>8.25M</t>
  </si>
  <si>
    <t>7.12M</t>
  </si>
  <si>
    <t>9.14M</t>
  </si>
  <si>
    <t>11.23M</t>
  </si>
  <si>
    <t>11.00M</t>
  </si>
  <si>
    <t>8.79M</t>
  </si>
  <si>
    <t>4.25M</t>
  </si>
  <si>
    <t>4.70M</t>
  </si>
  <si>
    <t>4.31M</t>
  </si>
  <si>
    <t>3.87M</t>
  </si>
  <si>
    <t>7.55M</t>
  </si>
  <si>
    <t>7.46M</t>
  </si>
  <si>
    <t>5.60M</t>
  </si>
  <si>
    <t>8.88M</t>
  </si>
  <si>
    <t>13.59M</t>
  </si>
  <si>
    <t>9.74M</t>
  </si>
  <si>
    <t>15.08M</t>
  </si>
  <si>
    <t>6.77M</t>
  </si>
  <si>
    <t>7.34M</t>
  </si>
  <si>
    <t>9.07M</t>
  </si>
  <si>
    <t>10.98M</t>
  </si>
  <si>
    <t>10.19M</t>
  </si>
  <si>
    <t>6.55M</t>
  </si>
  <si>
    <t>4.76M</t>
  </si>
  <si>
    <t>10.29M</t>
  </si>
  <si>
    <t>7.14M</t>
  </si>
  <si>
    <t>5.23M</t>
  </si>
  <si>
    <t>17.73M</t>
  </si>
  <si>
    <t>8.36M</t>
  </si>
  <si>
    <t>5.71M</t>
  </si>
  <si>
    <t>4.01M</t>
  </si>
  <si>
    <t>6.17M</t>
  </si>
  <si>
    <t>5.47M</t>
  </si>
  <si>
    <t>5.80M</t>
  </si>
  <si>
    <t>5.13M</t>
  </si>
  <si>
    <t>6.46M</t>
  </si>
  <si>
    <t>6.26M</t>
  </si>
  <si>
    <t>30.52M</t>
  </si>
  <si>
    <t>17.04M</t>
  </si>
  <si>
    <t>10.68M</t>
  </si>
  <si>
    <t>7.77M</t>
  </si>
  <si>
    <t>8.13M</t>
  </si>
  <si>
    <t>8.82M</t>
  </si>
  <si>
    <t>9.25M</t>
  </si>
  <si>
    <t>9.83M</t>
  </si>
  <si>
    <t>7.07M</t>
  </si>
  <si>
    <t>6.22M</t>
  </si>
  <si>
    <t>7.03M</t>
  </si>
  <si>
    <t>6.72M</t>
  </si>
  <si>
    <t>6.52M</t>
  </si>
  <si>
    <t>6.59M</t>
  </si>
  <si>
    <t>16.56M</t>
  </si>
  <si>
    <t>10.49M</t>
  </si>
  <si>
    <t>5.69M</t>
  </si>
  <si>
    <t>9.63M</t>
  </si>
  <si>
    <t>13.04M</t>
  </si>
  <si>
    <t>10.90M</t>
  </si>
  <si>
    <t>16.03M</t>
  </si>
  <si>
    <t>8.74M</t>
  </si>
  <si>
    <t>7.21M</t>
  </si>
  <si>
    <t>9.40M</t>
  </si>
  <si>
    <t>4.36M</t>
  </si>
  <si>
    <t>6.99M</t>
  </si>
  <si>
    <t>6.09M</t>
  </si>
  <si>
    <t>4.65M</t>
  </si>
  <si>
    <t>6.64M</t>
  </si>
  <si>
    <t>9.69M</t>
  </si>
  <si>
    <t>4.60M</t>
  </si>
  <si>
    <t>6.25M</t>
  </si>
  <si>
    <t>6.11M</t>
  </si>
  <si>
    <t>4.51M</t>
  </si>
  <si>
    <t>4.41M</t>
  </si>
  <si>
    <t>5.06M</t>
  </si>
  <si>
    <t>9.17M</t>
  </si>
  <si>
    <t>7.38M</t>
  </si>
  <si>
    <t>5.21M</t>
  </si>
  <si>
    <t>3.32M</t>
  </si>
  <si>
    <t>3.65M</t>
  </si>
  <si>
    <t>4.71M</t>
  </si>
  <si>
    <t>6.16M</t>
  </si>
  <si>
    <t>5.84M</t>
  </si>
  <si>
    <t>3.42M</t>
  </si>
  <si>
    <t>5.08M</t>
  </si>
  <si>
    <t>5.01M</t>
  </si>
  <si>
    <t>7.02M</t>
  </si>
  <si>
    <t>7.27M</t>
  </si>
  <si>
    <t>4.52M</t>
  </si>
  <si>
    <t>7.01M</t>
  </si>
  <si>
    <t>2.98M</t>
  </si>
  <si>
    <t>6.01M</t>
  </si>
  <si>
    <t>7.40M</t>
  </si>
  <si>
    <t>3.76M</t>
  </si>
  <si>
    <t>4.42M</t>
  </si>
  <si>
    <t>3.46M</t>
  </si>
  <si>
    <t>3.56M</t>
  </si>
  <si>
    <t>3.00M</t>
  </si>
  <si>
    <t>4.07M</t>
  </si>
  <si>
    <t>4.64M</t>
  </si>
  <si>
    <t>3.95M</t>
  </si>
  <si>
    <t>2.89M</t>
  </si>
  <si>
    <t>3.08M</t>
  </si>
  <si>
    <t>8.08M</t>
  </si>
  <si>
    <t>6.73M</t>
  </si>
  <si>
    <t>8.14M</t>
  </si>
  <si>
    <t>5.18M</t>
  </si>
  <si>
    <t>3.67M</t>
  </si>
  <si>
    <t>3.43M</t>
  </si>
  <si>
    <t>3.60M</t>
  </si>
  <si>
    <t>5.49M</t>
  </si>
  <si>
    <t>14.33M</t>
  </si>
  <si>
    <t>12.78M</t>
  </si>
  <si>
    <t>20.46M</t>
  </si>
  <si>
    <t>6.60M</t>
  </si>
  <si>
    <t>7.22M</t>
  </si>
  <si>
    <t>7.92M</t>
  </si>
  <si>
    <t>10.43M</t>
  </si>
  <si>
    <t>9.41M</t>
  </si>
  <si>
    <t>6.12M</t>
  </si>
  <si>
    <t>8.12M</t>
  </si>
  <si>
    <t>4.94M</t>
  </si>
  <si>
    <t>6.63M</t>
  </si>
  <si>
    <t>6.18M</t>
  </si>
  <si>
    <t>5.27M</t>
  </si>
  <si>
    <t>12.82M</t>
  </si>
  <si>
    <t>14.99M</t>
  </si>
  <si>
    <t>4.29M</t>
  </si>
  <si>
    <t>3.55M</t>
  </si>
  <si>
    <t>3.59M</t>
  </si>
  <si>
    <t>982.84K</t>
  </si>
  <si>
    <t>3.91M</t>
  </si>
  <si>
    <t>6.76M</t>
  </si>
  <si>
    <t>4.54M</t>
  </si>
  <si>
    <t>2.94M</t>
  </si>
  <si>
    <t>3.17M</t>
  </si>
  <si>
    <t>4.91M</t>
  </si>
  <si>
    <t>4.50M</t>
  </si>
  <si>
    <t>3.13M</t>
  </si>
  <si>
    <t>3.07M</t>
  </si>
  <si>
    <t>3.40M</t>
  </si>
  <si>
    <t>5.28M</t>
  </si>
  <si>
    <t>11.87M</t>
  </si>
  <si>
    <t>4.28M</t>
  </si>
  <si>
    <t>3.82M</t>
  </si>
  <si>
    <t>4.21M</t>
  </si>
  <si>
    <t>8.04M</t>
  </si>
  <si>
    <t>4.98M</t>
  </si>
  <si>
    <t>6.44M</t>
  </si>
  <si>
    <t>6.24M</t>
  </si>
  <si>
    <t>6.30M</t>
  </si>
  <si>
    <t>6.28M</t>
  </si>
  <si>
    <t>4.12M</t>
  </si>
  <si>
    <t>4.86M</t>
  </si>
  <si>
    <t>5.03M</t>
  </si>
  <si>
    <t>3.80M</t>
  </si>
  <si>
    <t>7.06M</t>
  </si>
  <si>
    <t>9.87M</t>
  </si>
  <si>
    <t>11.50M</t>
  </si>
  <si>
    <t>7.16M</t>
  </si>
  <si>
    <t>11.61M</t>
  </si>
  <si>
    <t>6.07M</t>
  </si>
  <si>
    <t>5.92M</t>
  </si>
  <si>
    <t>6.50M</t>
  </si>
  <si>
    <t>5.20M</t>
  </si>
  <si>
    <t>6.96M</t>
  </si>
  <si>
    <t>9.45M</t>
  </si>
  <si>
    <t>6.92M</t>
  </si>
  <si>
    <t>7.04M</t>
  </si>
  <si>
    <t>4.57M</t>
  </si>
  <si>
    <t>4.34M</t>
  </si>
  <si>
    <t>7.98M</t>
  </si>
  <si>
    <t>6.90M</t>
  </si>
  <si>
    <t>4.00M</t>
  </si>
  <si>
    <t>5.04M</t>
  </si>
  <si>
    <t>2.86M</t>
  </si>
  <si>
    <t>2.42M</t>
  </si>
  <si>
    <t>2.72M</t>
  </si>
  <si>
    <t>3.66M</t>
  </si>
  <si>
    <t>2.79M</t>
  </si>
  <si>
    <t>4.92M</t>
  </si>
  <si>
    <t>9.68M</t>
  </si>
  <si>
    <t>4.14M</t>
  </si>
  <si>
    <t>5.10M</t>
  </si>
  <si>
    <t>3.70M</t>
  </si>
  <si>
    <t>8.80M</t>
  </si>
  <si>
    <t>7.56M</t>
  </si>
  <si>
    <t>9.09M</t>
  </si>
  <si>
    <t>8.22M</t>
  </si>
  <si>
    <t>8.54M</t>
  </si>
  <si>
    <t>7.61M</t>
  </si>
  <si>
    <t>4.17M</t>
  </si>
  <si>
    <t>8.81M</t>
  </si>
  <si>
    <t>8.71M</t>
  </si>
  <si>
    <t>7.51M</t>
  </si>
  <si>
    <t>6.95M</t>
  </si>
  <si>
    <t>6.94M</t>
  </si>
  <si>
    <t>5.83M</t>
  </si>
  <si>
    <t>11.27M</t>
  </si>
  <si>
    <t>53.17M</t>
  </si>
  <si>
    <t>12.43M</t>
  </si>
  <si>
    <t>11.31M</t>
  </si>
  <si>
    <t>8.62M</t>
  </si>
  <si>
    <t>8.69M</t>
  </si>
  <si>
    <t>8.31M</t>
  </si>
  <si>
    <t>6.81M</t>
  </si>
  <si>
    <t>8.02M</t>
  </si>
  <si>
    <t>10.12M</t>
  </si>
  <si>
    <t>8.89M</t>
  </si>
  <si>
    <t>5.37M</t>
  </si>
  <si>
    <t>6.89M</t>
  </si>
  <si>
    <t>8.29M</t>
  </si>
  <si>
    <t>10.47M</t>
  </si>
  <si>
    <t>11.09M</t>
  </si>
  <si>
    <t>7.63M</t>
  </si>
  <si>
    <t>5.52M</t>
  </si>
  <si>
    <t>17.80M</t>
  </si>
  <si>
    <t>10.91M</t>
  </si>
  <si>
    <t>5.00M</t>
  </si>
  <si>
    <t>10.01M</t>
  </si>
  <si>
    <t>4.85M</t>
  </si>
  <si>
    <t>4.45M</t>
  </si>
  <si>
    <t>6.68M</t>
  </si>
  <si>
    <t>7.24M</t>
  </si>
  <si>
    <t>7.73M</t>
  </si>
  <si>
    <t>5.96M</t>
  </si>
  <si>
    <t>6.13M</t>
  </si>
  <si>
    <t>8.10M</t>
  </si>
  <si>
    <t>9.98M</t>
  </si>
  <si>
    <t>12.83M</t>
  </si>
  <si>
    <t>11.57M</t>
  </si>
  <si>
    <t>16.74M</t>
  </si>
  <si>
    <t>13.69M</t>
  </si>
  <si>
    <t>45.55M</t>
  </si>
  <si>
    <t>8.86M</t>
  </si>
  <si>
    <t>6.80M</t>
  </si>
  <si>
    <t>9.19M</t>
  </si>
  <si>
    <t>7.90M</t>
  </si>
  <si>
    <t>7.42M</t>
  </si>
  <si>
    <t>3.73M</t>
  </si>
  <si>
    <t>5.78M</t>
  </si>
  <si>
    <t>4.30M</t>
  </si>
  <si>
    <t>7.74M</t>
  </si>
  <si>
    <t>2.56M</t>
  </si>
  <si>
    <t>9.79M</t>
  </si>
  <si>
    <t>3.58M</t>
  </si>
  <si>
    <t>4.61M</t>
  </si>
  <si>
    <t>5.50M</t>
  </si>
  <si>
    <t>6.79M</t>
  </si>
  <si>
    <t>8.66M</t>
  </si>
  <si>
    <t>6.78M</t>
  </si>
  <si>
    <t>5.46M</t>
  </si>
  <si>
    <t>4.22M</t>
  </si>
  <si>
    <t>3.86M</t>
  </si>
  <si>
    <t>5.81M</t>
  </si>
  <si>
    <t>3.57M</t>
  </si>
  <si>
    <t>11.08M</t>
  </si>
  <si>
    <t>17.97M</t>
  </si>
  <si>
    <t>3.93M</t>
  </si>
  <si>
    <t>2.64M</t>
  </si>
  <si>
    <t>6.36M</t>
  </si>
  <si>
    <t>4.63M</t>
  </si>
  <si>
    <t>2.67M</t>
  </si>
  <si>
    <t>3.45M</t>
  </si>
  <si>
    <t>3.09M</t>
  </si>
  <si>
    <t>3.35M</t>
  </si>
  <si>
    <t>2.74M</t>
  </si>
  <si>
    <t>2.27M</t>
  </si>
  <si>
    <t>572.24K</t>
  </si>
  <si>
    <t>8.55M</t>
  </si>
  <si>
    <t>6.67M</t>
  </si>
  <si>
    <t>3.79M</t>
  </si>
  <si>
    <t>3.11M</t>
  </si>
  <si>
    <t>3.19M</t>
  </si>
  <si>
    <t>2.97M</t>
  </si>
  <si>
    <t>3.88M</t>
  </si>
  <si>
    <t>3.49M</t>
  </si>
  <si>
    <t>6.32M</t>
  </si>
  <si>
    <t>6.10M</t>
  </si>
  <si>
    <t>12.49M</t>
  </si>
  <si>
    <t>18.40M</t>
  </si>
  <si>
    <t>6.47M</t>
  </si>
  <si>
    <t>5.32M</t>
  </si>
  <si>
    <t>6.88M</t>
  </si>
  <si>
    <t>5.70M</t>
  </si>
  <si>
    <t>4.39M</t>
  </si>
  <si>
    <t>2.81M</t>
  </si>
  <si>
    <t>8.90M</t>
  </si>
  <si>
    <t>11.30M</t>
  </si>
  <si>
    <t>26.75M</t>
  </si>
  <si>
    <t>13.23M</t>
  </si>
  <si>
    <t>9.21M</t>
  </si>
  <si>
    <t>6.38M</t>
  </si>
  <si>
    <t>1.16M</t>
  </si>
  <si>
    <t>9.00M</t>
  </si>
  <si>
    <t>8.87M</t>
  </si>
  <si>
    <t>5.76M</t>
  </si>
  <si>
    <t>3.63M</t>
  </si>
  <si>
    <t>2.70M</t>
  </si>
  <si>
    <t>3.77M</t>
  </si>
  <si>
    <t>3.71M</t>
  </si>
  <si>
    <t>2.78M</t>
  </si>
  <si>
    <t>5.16M</t>
  </si>
  <si>
    <t>7.81M</t>
  </si>
  <si>
    <t>6.39M</t>
  </si>
  <si>
    <t>292.15K</t>
  </si>
  <si>
    <t>6.35M</t>
  </si>
  <si>
    <t>11.81M</t>
  </si>
  <si>
    <t>4.96M</t>
  </si>
  <si>
    <t>6.87M</t>
  </si>
  <si>
    <t>11.06M</t>
  </si>
  <si>
    <t>14.67M</t>
  </si>
  <si>
    <t>6.86M</t>
  </si>
  <si>
    <t>12.50M</t>
  </si>
  <si>
    <t>6.58M</t>
  </si>
  <si>
    <t>7.28M</t>
  </si>
  <si>
    <t>11.19M</t>
  </si>
  <si>
    <t>6.61M</t>
  </si>
  <si>
    <t>9.42M</t>
  </si>
  <si>
    <t>12.28M</t>
  </si>
  <si>
    <t>8.53M</t>
  </si>
  <si>
    <t>16.17M</t>
  </si>
  <si>
    <t>22.11M</t>
  </si>
  <si>
    <t>20.60M</t>
  </si>
  <si>
    <t>5.86M</t>
  </si>
  <si>
    <t>8.06M</t>
  </si>
  <si>
    <t>10.08M</t>
  </si>
  <si>
    <t>6.08M</t>
  </si>
  <si>
    <t>3.74M</t>
  </si>
  <si>
    <t>7.54M</t>
  </si>
  <si>
    <t>318.28K</t>
  </si>
  <si>
    <t>7.17M</t>
  </si>
  <si>
    <t>8.64M</t>
  </si>
  <si>
    <t>5.82M</t>
  </si>
  <si>
    <t>9.66M</t>
  </si>
  <si>
    <t>37.11M</t>
  </si>
  <si>
    <t>10.59M</t>
  </si>
  <si>
    <t>13.74M</t>
  </si>
  <si>
    <t>9.23M</t>
  </si>
  <si>
    <t>12.66M</t>
  </si>
  <si>
    <t>24.08M</t>
  </si>
  <si>
    <t>9.56M</t>
  </si>
  <si>
    <t>7.31M</t>
  </si>
  <si>
    <t>4.24M</t>
  </si>
  <si>
    <t>7.93M</t>
  </si>
  <si>
    <t>17.30M</t>
  </si>
  <si>
    <t>14.76M</t>
  </si>
  <si>
    <t>8.20M</t>
  </si>
  <si>
    <t>8.01M</t>
  </si>
  <si>
    <t>9.85M</t>
  </si>
  <si>
    <t>17.08M</t>
  </si>
  <si>
    <t>11.25M</t>
  </si>
  <si>
    <t>29.82M</t>
  </si>
  <si>
    <t>8.46M</t>
  </si>
  <si>
    <t>7.11M</t>
  </si>
  <si>
    <t>6.00M</t>
  </si>
  <si>
    <t>11.37M</t>
  </si>
  <si>
    <t>7.48M</t>
  </si>
  <si>
    <t>10.74M</t>
  </si>
  <si>
    <t>4.32M</t>
  </si>
  <si>
    <t>2.59M</t>
  </si>
  <si>
    <t>1.97M</t>
  </si>
  <si>
    <t>6.51M</t>
  </si>
  <si>
    <t>7.23M</t>
  </si>
  <si>
    <t>13.47M</t>
  </si>
  <si>
    <t>5.57M</t>
  </si>
  <si>
    <t>4.08M</t>
  </si>
  <si>
    <t>5.85M</t>
  </si>
  <si>
    <t>5.31M</t>
  </si>
  <si>
    <t>3.84M</t>
  </si>
  <si>
    <t>1.57M</t>
  </si>
  <si>
    <t>15.24M</t>
  </si>
  <si>
    <t>8.95M</t>
  </si>
  <si>
    <t>14.91M</t>
  </si>
  <si>
    <t>4.03M</t>
  </si>
  <si>
    <t>7.50M</t>
  </si>
  <si>
    <t>10.00M</t>
  </si>
  <si>
    <t>5.64M</t>
  </si>
  <si>
    <t>8.16M</t>
  </si>
  <si>
    <t>10.53M</t>
  </si>
  <si>
    <t>4.13M</t>
  </si>
  <si>
    <t>2.91M</t>
  </si>
  <si>
    <t>371.97K</t>
  </si>
  <si>
    <t>3.16M</t>
  </si>
  <si>
    <t>10.42M</t>
  </si>
  <si>
    <t>4.84M</t>
  </si>
  <si>
    <t>5.44M</t>
  </si>
  <si>
    <t>12.76M</t>
  </si>
  <si>
    <t>8.47M</t>
  </si>
  <si>
    <t>2.87M</t>
  </si>
  <si>
    <t>4.72M</t>
  </si>
  <si>
    <t>9.05M</t>
  </si>
  <si>
    <t>3.12M</t>
  </si>
  <si>
    <t>3.06M</t>
  </si>
  <si>
    <t>2.36M</t>
  </si>
  <si>
    <t>3.62M</t>
  </si>
  <si>
    <t>3.61M</t>
  </si>
  <si>
    <t>1.84M</t>
  </si>
  <si>
    <t>7.08M</t>
  </si>
  <si>
    <t>2.99M</t>
  </si>
  <si>
    <t>7.53M</t>
  </si>
  <si>
    <t>16.41M</t>
  </si>
  <si>
    <t>8.37M</t>
  </si>
  <si>
    <t>7.65M</t>
  </si>
  <si>
    <t>1.70M</t>
  </si>
  <si>
    <t>5.63M</t>
  </si>
  <si>
    <t>5.29M</t>
  </si>
  <si>
    <t>2.22M</t>
  </si>
  <si>
    <t>3.38M</t>
  </si>
  <si>
    <t>7.59M</t>
  </si>
  <si>
    <t>12.18M</t>
  </si>
  <si>
    <t>8.18M</t>
  </si>
  <si>
    <t>10.61M</t>
  </si>
  <si>
    <t>12.67M</t>
  </si>
  <si>
    <t>14.87M</t>
  </si>
  <si>
    <t>7.82M</t>
  </si>
  <si>
    <t>7.39M</t>
  </si>
  <si>
    <t>7.19M</t>
  </si>
  <si>
    <t>10.07M</t>
  </si>
  <si>
    <t>9.89M</t>
  </si>
  <si>
    <t>6.65M</t>
  </si>
  <si>
    <t>9.43M</t>
  </si>
  <si>
    <t>12.68M</t>
  </si>
  <si>
    <t>10.46M</t>
  </si>
  <si>
    <t>9.59M</t>
  </si>
  <si>
    <t>21.72M</t>
  </si>
  <si>
    <t>12.81M</t>
  </si>
  <si>
    <t>12.57M</t>
  </si>
  <si>
    <t>10.18M</t>
  </si>
  <si>
    <t>12.02M</t>
  </si>
  <si>
    <t>14.26M</t>
  </si>
  <si>
    <t>15.65M</t>
  </si>
  <si>
    <t>11.14M</t>
  </si>
  <si>
    <t>8.33M</t>
  </si>
  <si>
    <t>7.70M</t>
  </si>
  <si>
    <t>8.73M</t>
  </si>
  <si>
    <t>8.42M</t>
  </si>
  <si>
    <t>12.85M</t>
  </si>
  <si>
    <t>4.87M</t>
  </si>
  <si>
    <t>11.15M</t>
  </si>
  <si>
    <t>7.78M</t>
  </si>
  <si>
    <t>8.61M</t>
  </si>
  <si>
    <t>13.15M</t>
  </si>
  <si>
    <t>3.96M</t>
  </si>
  <si>
    <t>2.90M</t>
  </si>
  <si>
    <t>8.59M</t>
  </si>
  <si>
    <t>10.60M</t>
  </si>
  <si>
    <t>10.48M</t>
  </si>
  <si>
    <t>6.97M</t>
  </si>
  <si>
    <t>5.59M</t>
  </si>
  <si>
    <t>7.62M</t>
  </si>
  <si>
    <t>9.20M</t>
  </si>
  <si>
    <t>7.94M</t>
  </si>
  <si>
    <t>8.91M</t>
  </si>
  <si>
    <t>6.29M</t>
  </si>
  <si>
    <t>8.65M</t>
  </si>
  <si>
    <t>3.29M</t>
  </si>
  <si>
    <t>11.39M</t>
  </si>
  <si>
    <t>3.68M</t>
  </si>
  <si>
    <t>14.17M</t>
  </si>
  <si>
    <t>10.85M</t>
  </si>
  <si>
    <t>5.72M</t>
  </si>
  <si>
    <t>8.70M</t>
  </si>
  <si>
    <t>10.21M</t>
  </si>
  <si>
    <t>10.57M</t>
  </si>
  <si>
    <t>10.05M</t>
  </si>
  <si>
    <t>9.90M</t>
  </si>
  <si>
    <t>12.90M</t>
  </si>
  <si>
    <t>7.25M</t>
  </si>
  <si>
    <t>10.41M</t>
  </si>
  <si>
    <t>6.57M</t>
  </si>
  <si>
    <t>5.54M</t>
  </si>
  <si>
    <t>10.69M</t>
  </si>
  <si>
    <t>15.99M</t>
  </si>
  <si>
    <t>8.17M</t>
  </si>
  <si>
    <t>5.22M</t>
  </si>
  <si>
    <t>3.81M</t>
  </si>
  <si>
    <t>13.07M</t>
  </si>
  <si>
    <t>8.00M</t>
  </si>
  <si>
    <t>12.86M</t>
  </si>
  <si>
    <t>8.92M</t>
  </si>
  <si>
    <t>9.33M</t>
  </si>
  <si>
    <t>12.99M</t>
  </si>
  <si>
    <t>15.66M</t>
  </si>
  <si>
    <t>9.49M</t>
  </si>
  <si>
    <t>8.60M</t>
  </si>
  <si>
    <t>10.51M</t>
  </si>
  <si>
    <t>16.96M</t>
  </si>
  <si>
    <t>20.36M</t>
  </si>
  <si>
    <t>8.21M</t>
  </si>
  <si>
    <t>8.77M</t>
  </si>
  <si>
    <t>14.64M</t>
  </si>
  <si>
    <t>7.91M</t>
  </si>
  <si>
    <t>19.27M</t>
  </si>
  <si>
    <t>8.11M</t>
  </si>
  <si>
    <t>7.58M</t>
  </si>
  <si>
    <t>6.34M</t>
  </si>
  <si>
    <t>12.61M</t>
  </si>
  <si>
    <t>10.34M</t>
  </si>
  <si>
    <t>23.10M</t>
  </si>
  <si>
    <t>2.01M</t>
  </si>
  <si>
    <t>6.54M</t>
  </si>
  <si>
    <t>2.52M</t>
  </si>
  <si>
    <t>4.47M</t>
  </si>
  <si>
    <t>6.82M</t>
  </si>
  <si>
    <t>19.34M</t>
  </si>
  <si>
    <t>6.41M</t>
  </si>
  <si>
    <t>10.67M</t>
  </si>
  <si>
    <t>4.75M</t>
  </si>
  <si>
    <t>28.83M</t>
  </si>
  <si>
    <t>10.63M</t>
  </si>
  <si>
    <t>13.90M</t>
  </si>
  <si>
    <t>26.05M</t>
  </si>
  <si>
    <t>45.79M</t>
  </si>
  <si>
    <t>14.62M</t>
  </si>
  <si>
    <t>25.35M</t>
  </si>
  <si>
    <t>20.24M</t>
  </si>
  <si>
    <t>14.57M</t>
  </si>
  <si>
    <t>12.63M</t>
  </si>
  <si>
    <t>12.89M</t>
  </si>
  <si>
    <t>27.84M</t>
  </si>
  <si>
    <t>16.67M</t>
  </si>
  <si>
    <t>11.49M</t>
  </si>
  <si>
    <t>23.14M</t>
  </si>
  <si>
    <t>9.70M</t>
  </si>
  <si>
    <t>15.15M</t>
  </si>
  <si>
    <t>10.36M</t>
  </si>
  <si>
    <t>8.72M</t>
  </si>
  <si>
    <t>9.60M</t>
  </si>
  <si>
    <t>7.87M</t>
  </si>
  <si>
    <t>12.31M</t>
  </si>
  <si>
    <t>11.22M</t>
  </si>
  <si>
    <t>12.37M</t>
  </si>
  <si>
    <t>9.16M</t>
  </si>
  <si>
    <t>27.30M</t>
  </si>
  <si>
    <t>12.42M</t>
  </si>
  <si>
    <t>13.61M</t>
  </si>
  <si>
    <t>10.82M</t>
  </si>
  <si>
    <t>13.09M</t>
  </si>
  <si>
    <t>14.11M</t>
  </si>
  <si>
    <t>Vol.</t>
  </si>
  <si>
    <t>Price</t>
  </si>
  <si>
    <t>Date</t>
  </si>
  <si>
    <t>Price to Earning Ratio</t>
  </si>
  <si>
    <t>EV/ Sales</t>
  </si>
  <si>
    <t>EV/ EBITDA</t>
  </si>
  <si>
    <t>Price to Book Value</t>
  </si>
  <si>
    <t>Return on Equity (%)</t>
  </si>
  <si>
    <t>Return on Capital Employed (%)</t>
  </si>
  <si>
    <t>Top 10 Shareholders</t>
  </si>
  <si>
    <t>Shares (in Crs.)</t>
  </si>
  <si>
    <t>Holding (%)</t>
  </si>
  <si>
    <t>Value (Crs.)</t>
  </si>
  <si>
    <t>Debt</t>
  </si>
  <si>
    <t>cash</t>
  </si>
  <si>
    <t>EV/Ebitda</t>
  </si>
  <si>
    <t>EV/Sales</t>
  </si>
  <si>
    <t xml:space="preserve">Book value </t>
  </si>
  <si>
    <t>P/B</t>
  </si>
  <si>
    <t>Key Financial Ratios</t>
  </si>
  <si>
    <t>SCREENER.IN</t>
  </si>
  <si>
    <t>Narration</t>
  </si>
  <si>
    <t>Trailing</t>
  </si>
  <si>
    <t>Best Case</t>
  </si>
  <si>
    <t>Worst Case</t>
  </si>
  <si>
    <t>Price to earning</t>
  </si>
  <si>
    <t>RATIOS:</t>
  </si>
  <si>
    <t>Dividend Payout</t>
  </si>
  <si>
    <t>OPM</t>
  </si>
  <si>
    <t>TRENDS:</t>
  </si>
  <si>
    <t>10 YEARS</t>
  </si>
  <si>
    <t>7 YEARS</t>
  </si>
  <si>
    <t>5 YEARS</t>
  </si>
  <si>
    <t>3 YEARS</t>
  </si>
  <si>
    <t>RECENT</t>
  </si>
  <si>
    <t>BEST</t>
  </si>
  <si>
    <t>WORST</t>
  </si>
  <si>
    <t>Price to Earning</t>
  </si>
  <si>
    <t>Volume - 5 Years</t>
  </si>
  <si>
    <t>volume</t>
  </si>
  <si>
    <t>Shareholder's name</t>
  </si>
  <si>
    <t>Total Shares Held</t>
  </si>
  <si>
    <t>Shareholding (%)</t>
  </si>
  <si>
    <t>LIFE INSURANCE CORPORATION OF INDIA - ULIF00220091</t>
  </si>
  <si>
    <t>SBI MUTUAL FUND</t>
  </si>
  <si>
    <t>ICICI PRUDENTIAL MUTUAL FUND</t>
  </si>
  <si>
    <t>National Pension System Trust</t>
  </si>
  <si>
    <t>SUDHA GOPALAKRISHNAN</t>
  </si>
  <si>
    <t>HDFC MUTUAL FUND</t>
  </si>
  <si>
    <t>UTI MUTUAL FUND</t>
  </si>
  <si>
    <t>NIPPON LIFE INDIA TRUSTEE</t>
  </si>
  <si>
    <t>ROHAN MURTY</t>
  </si>
  <si>
    <t>VANGUARD TOTAL INTERNATIONAL STOCK INDEX FUND</t>
  </si>
  <si>
    <t>Market Value</t>
  </si>
  <si>
    <t>Shareholding Pattern</t>
  </si>
  <si>
    <t>Promotors</t>
  </si>
  <si>
    <t>FII</t>
  </si>
  <si>
    <t>DII</t>
  </si>
  <si>
    <t>Government, Public &amp; Others</t>
  </si>
  <si>
    <t>Managerial Remuneration</t>
  </si>
  <si>
    <t>Salil Parikh</t>
  </si>
  <si>
    <t>CEO &amp; MD</t>
  </si>
  <si>
    <t>Karmesh Gul Vashwani</t>
  </si>
  <si>
    <t>Inderpreet Sawhaney</t>
  </si>
  <si>
    <t>Martha king</t>
  </si>
  <si>
    <t>Jasmeet singh</t>
  </si>
  <si>
    <t>Since</t>
  </si>
  <si>
    <t xml:space="preserve">CLO </t>
  </si>
  <si>
    <t>CCO</t>
  </si>
  <si>
    <t>Share Price as on 03/04/2026</t>
  </si>
  <si>
    <t>No. of Share</t>
  </si>
  <si>
    <t>Market Capitalisation</t>
  </si>
  <si>
    <t>Salary (Crs.)</t>
  </si>
  <si>
    <t>Designations</t>
  </si>
  <si>
    <t>less: Cash &amp; Cash equivalents</t>
  </si>
  <si>
    <t>Add: Total Debt</t>
  </si>
  <si>
    <t>Add: Minority Interest</t>
  </si>
  <si>
    <t>Recent Updates</t>
  </si>
  <si>
    <t>Segment Head - CPG, Logistic &amp; Retail</t>
  </si>
  <si>
    <t>Segment Head - Manufacturing</t>
  </si>
  <si>
    <t>In March 2026, Infosys announced the acquisition of Optimum Healthcare IT ($465 million) and Stratus ($95 million) to expand its US presence in AI-driven healthcare and insurance consulting.</t>
  </si>
  <si>
    <t>The company expects a ₹1,745 crore tax refund following assessment orders, expected to positively impact future cash positions.</t>
  </si>
  <si>
    <t>The board announced an interim dividend of ₹23 per share in Q2 FY26 and maintained a share buyback program, highlighting a robust capital allocation policy.</t>
  </si>
  <si>
    <t>Announced a collaboration with Citizens Bank to launch an AI-first Innovation Hub in Bengaluru and a strategic tie-up with Anthropic to build AI agents for the telecommunications sector.</t>
  </si>
  <si>
    <t>Notes: All information and the data presented in this summary have been sourced from publicly available data - Screener.in, equity Master.com, invetsing.com and published Annual reports  of Infosys.</t>
  </si>
  <si>
    <t>Returns</t>
  </si>
  <si>
    <t>Sorted Returns</t>
  </si>
  <si>
    <t>Standard deviation</t>
  </si>
  <si>
    <t>Max.</t>
  </si>
  <si>
    <t>Min.</t>
  </si>
  <si>
    <t>Percentile</t>
  </si>
  <si>
    <t>CMP</t>
  </si>
  <si>
    <t>Var %</t>
  </si>
  <si>
    <t>Stock Price</t>
  </si>
  <si>
    <t>Var Price</t>
  </si>
  <si>
    <t>Confidence</t>
  </si>
  <si>
    <t>Replication</t>
  </si>
  <si>
    <t>Simulated Returns</t>
  </si>
  <si>
    <t>Monte Carlo Simulation</t>
  </si>
  <si>
    <t>Historical Approach (3Y)</t>
  </si>
  <si>
    <t>5. Levered Beta = Unlevered Beta*(1+(1-Tax rate)*Debt/Equity)</t>
  </si>
  <si>
    <t>Dupont Analysis - Return on Equity &amp; Return on Assets</t>
  </si>
  <si>
    <t>Dupont Analysis -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</si>
</sst>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3" formatCode="_(* #,##0.00_);_(* \(#,##0.00\);_(* &quot;-&quot;??_);_(@_)"/>
    <numFmt numFmtId="164" formatCode="_ * #,##0.00_ ;_ * \-#,##0.00_ ;_ * &quot;-&quot;??_ ;_ @_ "/>
    <numFmt numFmtId="165" formatCode="[$-409]mmm\-yy;@"/>
    <numFmt numFmtId="166" formatCode="[$₹-4009]\ #,##0;[$₹-4009]\ \-#,##0"/>
    <numFmt numFmtId="167" formatCode="0.00_);\(0.00\)"/>
    <numFmt numFmtId="168" formatCode="[$₹-4009]\ #,##0.00;[$₹-4009]\ \-#,##0.00"/>
    <numFmt numFmtId="169" formatCode="_ * #,##0_ ;_ * \-#,##0_ ;_ * &quot;-&quot;??_ ;_ @_ "/>
    <numFmt numFmtId="170" formatCode="0.00&quot;x&quot;"/>
    <numFmt numFmtId="171" formatCode="0&quot;A&quot;"/>
    <numFmt numFmtId="172" formatCode="0&quot;E&quot;"/>
    <numFmt numFmtId="173" formatCode="#,##0.0"/>
    <numFmt numFmtId="174" formatCode="0.0"/>
    <numFmt numFmtId="175" formatCode="0.00\ &quot;Days&quot;"/>
    <numFmt numFmtId="176" formatCode="mmm/yy&quot;A&quot;"/>
    <numFmt numFmtId="177" formatCode="mmm/yy&quot;E&quot;"/>
    <numFmt numFmtId="178" formatCode="[$₹-4009]\ #,##0;\ \(\₹#,##0\)"/>
    <numFmt numFmtId="179" formatCode="[$₹-4009]\ #,##0.0;[$₹-4009]\ \-#,##0.0"/>
    <numFmt numFmtId="180" formatCode="[$₹-4009]\ #,##0.0;\ \(\₹#,##0.0\)"/>
    <numFmt numFmtId="181" formatCode="0.000000%"/>
    <numFmt numFmtId="182" formatCode="0_);\(0\)"/>
    <numFmt numFmtId="183" formatCode="0.00\x"/>
    <numFmt numFmtId="184" formatCode="[$-409]mmm/yy;@"/>
    <numFmt numFmtId="185" formatCode="[$₹-4009]\ #,##0.00"/>
    <numFmt numFmtId="186" formatCode="[$₹-4009]\ #,##0.0"/>
    <numFmt numFmtId="187" formatCode="[$₹-4009]\ #,##0"/>
    <numFmt numFmtId="188" formatCode="0.0%"/>
    <numFmt numFmtId="189" formatCode="&quot;$&quot;#,##0.00"/>
    <numFmt numFmtId="190" formatCode="0.0_);\(0.0\)"/>
    <numFmt numFmtId="191" formatCode="0.000000"/>
  </numFmts>
  <fonts count="37"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i/>
      <sz val="11"/>
      <color theme="3" tint="0.39997558519241921"/>
      <name val="Calibri"/>
      <family val="2"/>
      <scheme val="minor"/>
    </font>
    <font>
      <b/>
      <i/>
      <sz val="11"/>
      <color theme="0" tint="-0.499984740745262"/>
      <name val="Calibri"/>
      <family val="2"/>
      <scheme val="minor"/>
    </font>
    <font>
      <i/>
      <sz val="11"/>
      <color theme="1"/>
      <name val="Calibri"/>
      <family val="2"/>
      <scheme val="minor"/>
    </font>
    <font>
      <vertAlign val="superscript"/>
      <sz val="11"/>
      <color theme="1"/>
      <name val="Calibri"/>
      <family val="2"/>
      <scheme val="minor"/>
    </font>
    <font>
      <b/>
      <vertAlign val="superscript"/>
      <sz val="11"/>
      <color theme="1"/>
      <name val="Calibri"/>
      <family val="2"/>
      <scheme val="minor"/>
    </font>
    <font>
      <i/>
      <sz val="10"/>
      <color theme="1"/>
      <name val="Calibri"/>
      <family val="2"/>
      <scheme val="minor"/>
    </font>
    <font>
      <sz val="11"/>
      <color rgb="FF3333FF"/>
      <name val="Calibri"/>
      <family val="2"/>
      <scheme val="minor"/>
    </font>
    <font>
      <sz val="11"/>
      <color rgb="FF0275D8"/>
      <name val="Calibri"/>
      <family val="2"/>
      <scheme val="minor"/>
    </font>
    <font>
      <b/>
      <sz val="11"/>
      <color rgb="FF3333FF"/>
      <name val="Calibri"/>
      <family val="2"/>
      <scheme val="minor"/>
    </font>
    <font>
      <b/>
      <sz val="10"/>
      <color theme="1"/>
      <name val="Calibri"/>
      <family val="2"/>
      <scheme val="minor"/>
    </font>
    <font>
      <b/>
      <sz val="18"/>
      <color rgb="FF2596BE"/>
      <name val="Calibri"/>
      <family val="2"/>
      <scheme val="minor"/>
    </font>
    <font>
      <sz val="10"/>
      <color theme="1"/>
      <name val="Arial"/>
      <family val="2"/>
    </font>
    <font>
      <sz val="16"/>
      <color theme="1"/>
      <name val="Calibri"/>
      <family val="2"/>
      <scheme val="minor"/>
    </font>
    <font>
      <b/>
      <sz val="16"/>
      <color rgb="FF002060"/>
      <name val="Calibri"/>
      <family val="2"/>
      <scheme val="minor"/>
    </font>
    <font>
      <b/>
      <sz val="18"/>
      <color rgb="FF002060"/>
      <name val="Calibri"/>
      <family val="2"/>
      <scheme val="minor"/>
    </font>
    <font>
      <b/>
      <sz val="20"/>
      <color theme="0"/>
      <name val="Calibri"/>
      <family val="2"/>
      <scheme val="minor"/>
    </font>
    <font>
      <b/>
      <sz val="14"/>
      <color theme="1"/>
      <name val="Calibri"/>
      <family val="2"/>
      <scheme val="minor"/>
    </font>
    <font>
      <sz val="8"/>
      <name val="Calibri"/>
      <family val="2"/>
      <scheme val="minor"/>
    </font>
    <font>
      <sz val="9"/>
      <color theme="1"/>
      <name val="Calibri"/>
      <family val="2"/>
      <scheme val="minor"/>
    </font>
    <font>
      <i/>
      <sz val="10"/>
      <color rgb="FF000000"/>
      <name val="Calibri"/>
      <family val="2"/>
      <scheme val="minor"/>
    </font>
    <font>
      <b/>
      <sz val="14"/>
      <color theme="7" tint="-0.249977111117893"/>
      <name val="Calibri"/>
      <family val="2"/>
      <scheme val="minor"/>
    </font>
    <font>
      <sz val="36"/>
      <color theme="1"/>
      <name val="Cambria"/>
      <family val="1"/>
      <scheme val="major"/>
    </font>
    <font>
      <b/>
      <sz val="36"/>
      <color theme="7"/>
      <name val="Cambria"/>
      <family val="1"/>
      <scheme val="major"/>
    </font>
    <font>
      <b/>
      <sz val="26"/>
      <color theme="7"/>
      <name val="Cambria"/>
      <family val="1"/>
      <scheme val="major"/>
    </font>
    <font>
      <i/>
      <sz val="14"/>
      <color theme="1"/>
      <name val="Calibri"/>
      <family val="2"/>
      <scheme val="minor"/>
    </font>
    <font>
      <b/>
      <i/>
      <sz val="11"/>
      <color theme="5"/>
      <name val="Calibri"/>
      <family val="2"/>
      <scheme val="minor"/>
    </font>
    <font>
      <b/>
      <i/>
      <sz val="11"/>
      <color rgb="FF00B050"/>
      <name val="Calibri"/>
      <family val="2"/>
      <scheme val="minor"/>
    </font>
    <font>
      <b/>
      <sz val="12"/>
      <color rgb="FF2596BE"/>
      <name val="Calibri"/>
      <family val="2"/>
      <scheme val="minor"/>
    </font>
    <font>
      <b/>
      <i/>
      <sz val="11"/>
      <color theme="1"/>
      <name val="Calibri"/>
      <family val="2"/>
      <scheme val="minor"/>
    </font>
    <font>
      <b/>
      <sz val="11"/>
      <color rgb="FFFF0000"/>
      <name val="Calibri"/>
      <family val="2"/>
      <scheme val="minor"/>
    </font>
  </fonts>
  <fills count="12">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7"/>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0"/>
        <bgColor theme="0"/>
      </patternFill>
    </fill>
    <fill>
      <patternFill patternType="solid">
        <fgColor theme="4" tint="0.39997558519241921"/>
        <bgColor indexed="65"/>
      </patternFill>
    </fill>
    <fill>
      <patternFill patternType="solid">
        <fgColor theme="6" tint="0.39997558519241921"/>
        <bgColor indexed="65"/>
      </patternFill>
    </fill>
  </fills>
  <borders count="28">
    <border>
      <left/>
      <right/>
      <top/>
      <bottom/>
      <diagonal/>
    </border>
    <border>
      <left/>
      <right/>
      <top style="medium">
        <color auto="1"/>
      </top>
      <bottom/>
      <diagonal/>
    </border>
    <border>
      <left/>
      <right/>
      <top style="dashed">
        <color auto="1"/>
      </top>
      <bottom/>
      <diagonal/>
    </border>
    <border>
      <left/>
      <right/>
      <top/>
      <bottom style="dashed">
        <color auto="1"/>
      </bottom>
      <diagonal/>
    </border>
    <border>
      <left/>
      <right/>
      <top/>
      <bottom style="medium">
        <color auto="1"/>
      </bottom>
      <diagonal/>
    </border>
    <border>
      <left/>
      <right/>
      <top/>
      <bottom style="thin">
        <color auto="1"/>
      </bottom>
      <diagonal/>
    </border>
    <border>
      <left/>
      <right/>
      <top style="thin">
        <color auto="1"/>
      </top>
      <bottom/>
      <diagonal/>
    </border>
    <border>
      <left/>
      <right/>
      <top style="medium">
        <color auto="1"/>
      </top>
      <bottom style="thick">
        <color auto="1"/>
      </bottom>
      <diagonal/>
    </border>
    <border>
      <left/>
      <right/>
      <top style="medium">
        <color auto="1"/>
      </top>
      <bottom style="medium">
        <color auto="1"/>
      </bottom>
      <diagonal/>
    </border>
    <border>
      <left/>
      <right/>
      <top/>
      <bottom style="medium">
        <color theme="0"/>
      </bottom>
      <diagonal/>
    </border>
    <border>
      <left/>
      <right/>
      <top style="thin">
        <color theme="7"/>
      </top>
      <bottom style="thin">
        <color theme="7"/>
      </bottom>
      <diagonal/>
    </border>
    <border>
      <left style="medium">
        <color auto="1"/>
      </left>
      <right/>
      <top style="medium">
        <color auto="1"/>
      </top>
      <bottom/>
      <diagonal/>
    </border>
    <border>
      <left/>
      <right/>
      <top style="medium">
        <color theme="7"/>
      </top>
      <bottom style="thick">
        <color theme="7"/>
      </bottom>
      <diagonal/>
    </border>
    <border>
      <left style="thin">
        <color auto="1"/>
      </left>
      <right style="thin">
        <color auto="1"/>
      </right>
      <top style="thin">
        <color auto="1"/>
      </top>
      <bottom style="thin">
        <color auto="1"/>
      </bottom>
      <diagonal/>
    </border>
    <border>
      <left/>
      <right/>
      <top/>
      <bottom style="medium">
        <color rgb="FF2596BE"/>
      </bottom>
      <diagonal/>
    </border>
    <border>
      <left/>
      <right/>
      <top/>
      <bottom style="medium">
        <color theme="7"/>
      </bottom>
      <diagonal/>
    </border>
    <border>
      <left/>
      <right/>
      <top style="dotted">
        <color auto="1"/>
      </top>
      <bottom style="dotted">
        <color auto="1"/>
      </bottom>
      <diagonal/>
    </border>
    <border>
      <left style="medium">
        <color auto="1"/>
      </left>
      <right/>
      <top style="medium">
        <color auto="1"/>
      </top>
      <bottom style="dotted">
        <color auto="1"/>
      </bottom>
      <diagonal/>
    </border>
    <border>
      <left/>
      <right/>
      <top style="medium">
        <color auto="1"/>
      </top>
      <bottom style="dotted">
        <color auto="1"/>
      </bottom>
      <diagonal/>
    </border>
    <border>
      <left style="medium">
        <color auto="1"/>
      </left>
      <right/>
      <top style="dotted">
        <color auto="1"/>
      </top>
      <bottom style="dotted">
        <color auto="1"/>
      </bottom>
      <diagonal/>
    </border>
    <border>
      <left/>
      <right/>
      <top style="dotted">
        <color theme="1"/>
      </top>
      <bottom style="dotted">
        <color theme="1"/>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medium">
        <color rgb="FF2596BE"/>
      </top>
      <bottom/>
      <diagonal/>
    </border>
    <border>
      <left/>
      <right/>
      <top/>
      <bottom style="dotted">
        <color auto="1"/>
      </bottom>
      <diagonal/>
    </border>
    <border>
      <left/>
      <right/>
      <top/>
      <bottom style="dotted">
        <color theme="1"/>
      </bottom>
      <diagonal/>
    </border>
    <border>
      <left/>
      <right/>
      <top style="dotted">
        <color auto="1"/>
      </top>
      <bottom style="medium">
        <color auto="1"/>
      </bottom>
      <diagonal/>
    </border>
  </borders>
  <cellStyleXfs count="7">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xf numFmtId="0" fontId="3" fillId="10" borderId="0" applyNumberFormat="0" applyBorder="0" applyAlignment="0" applyProtection="0"/>
    <xf numFmtId="0" fontId="3" fillId="11" borderId="0" applyNumberFormat="0" applyBorder="0" applyAlignment="0" applyProtection="0"/>
  </cellStyleXfs>
  <cellXfs count="312">
    <xf numFmtId="0" fontId="0" fillId="0" borderId="0" xfId="0"/>
    <xf numFmtId="164" fontId="1" fillId="0" borderId="0" xfId="1" applyFont="1" applyBorder="1"/>
    <xf numFmtId="0" fontId="1" fillId="0" borderId="0" xfId="0" applyFont="1"/>
    <xf numFmtId="164" fontId="0" fillId="0" borderId="0" xfId="1" applyFont="1" applyBorder="1"/>
    <xf numFmtId="164" fontId="3" fillId="0" borderId="0" xfId="1" applyFont="1" applyBorder="1"/>
    <xf numFmtId="165" fontId="2" fillId="3" borderId="0" xfId="0" applyNumberFormat="1" applyFont="1" applyFill="1" applyAlignment="1">
      <alignment horizontal="center"/>
    </xf>
    <xf numFmtId="165" fontId="2" fillId="3" borderId="0" xfId="1" applyNumberFormat="1" applyFont="1" applyFill="1" applyBorder="1"/>
    <xf numFmtId="165" fontId="6" fillId="0" borderId="0" xfId="1" applyNumberFormat="1" applyFont="1" applyFill="1" applyBorder="1"/>
    <xf numFmtId="0" fontId="0" fillId="0" borderId="0" xfId="0" applyAlignment="1">
      <alignment horizontal="left"/>
    </xf>
    <xf numFmtId="43" fontId="0" fillId="0" borderId="0" xfId="1" applyNumberFormat="1" applyFont="1" applyBorder="1"/>
    <xf numFmtId="0" fontId="2" fillId="4" borderId="0" xfId="0" applyFont="1" applyFill="1" applyAlignment="1">
      <alignment horizontal="left"/>
    </xf>
    <xf numFmtId="165" fontId="2" fillId="4" borderId="0" xfId="0" applyNumberFormat="1" applyFont="1" applyFill="1" applyAlignment="1">
      <alignment horizontal="right"/>
    </xf>
    <xf numFmtId="165" fontId="0" fillId="0" borderId="0" xfId="0" applyNumberFormat="1"/>
    <xf numFmtId="0" fontId="0" fillId="5" borderId="0" xfId="0" applyFill="1"/>
    <xf numFmtId="0" fontId="2" fillId="5" borderId="0" xfId="0" applyFont="1" applyFill="1" applyAlignment="1">
      <alignment horizontal="left"/>
    </xf>
    <xf numFmtId="165" fontId="2" fillId="5" borderId="0" xfId="0" applyNumberFormat="1" applyFont="1" applyFill="1" applyAlignment="1">
      <alignment horizontal="right"/>
    </xf>
    <xf numFmtId="165" fontId="0" fillId="5" borderId="0" xfId="0" applyNumberFormat="1" applyFill="1"/>
    <xf numFmtId="0" fontId="1" fillId="6" borderId="0" xfId="0" applyFont="1" applyFill="1" applyAlignment="1">
      <alignment horizontal="left"/>
    </xf>
    <xf numFmtId="0" fontId="0" fillId="6" borderId="0" xfId="0" applyFill="1" applyAlignment="1">
      <alignment horizontal="right"/>
    </xf>
    <xf numFmtId="165" fontId="0" fillId="6" borderId="0" xfId="0" applyNumberFormat="1" applyFill="1" applyAlignment="1">
      <alignment horizontal="right"/>
    </xf>
    <xf numFmtId="0" fontId="1" fillId="0" borderId="0" xfId="0" applyFont="1" applyAlignment="1">
      <alignment horizontal="left"/>
    </xf>
    <xf numFmtId="0" fontId="7" fillId="0" borderId="0" xfId="0" applyFont="1" applyAlignment="1">
      <alignment horizontal="left"/>
    </xf>
    <xf numFmtId="0" fontId="7" fillId="0" borderId="0" xfId="0" applyFont="1" applyAlignment="1">
      <alignment horizontal="right"/>
    </xf>
    <xf numFmtId="10" fontId="7" fillId="0" borderId="0" xfId="4" applyNumberFormat="1" applyFont="1" applyAlignment="1">
      <alignment horizontal="right"/>
    </xf>
    <xf numFmtId="0" fontId="0" fillId="0" borderId="0" xfId="0" applyAlignment="1">
      <alignment horizontal="right"/>
    </xf>
    <xf numFmtId="167" fontId="7" fillId="0" borderId="0" xfId="0" applyNumberFormat="1" applyFont="1" applyAlignment="1">
      <alignment horizontal="left"/>
    </xf>
    <xf numFmtId="168" fontId="0" fillId="0" borderId="0" xfId="0" applyNumberFormat="1" applyAlignment="1">
      <alignment horizontal="right"/>
    </xf>
    <xf numFmtId="166" fontId="0" fillId="0" borderId="0" xfId="0" applyNumberFormat="1"/>
    <xf numFmtId="10" fontId="0" fillId="0" borderId="0" xfId="4" applyNumberFormat="1" applyFont="1" applyAlignment="1">
      <alignment horizontal="right"/>
    </xf>
    <xf numFmtId="17" fontId="0" fillId="0" borderId="0" xfId="0" applyNumberFormat="1"/>
    <xf numFmtId="3" fontId="0" fillId="0" borderId="0" xfId="0" applyNumberFormat="1"/>
    <xf numFmtId="0" fontId="1" fillId="0" borderId="0" xfId="0" applyFont="1" applyAlignment="1">
      <alignment horizontal="right"/>
    </xf>
    <xf numFmtId="165" fontId="2" fillId="5" borderId="0" xfId="0" applyNumberFormat="1" applyFont="1" applyFill="1" applyAlignment="1">
      <alignment horizontal="center"/>
    </xf>
    <xf numFmtId="0" fontId="2" fillId="5" borderId="0" xfId="0" applyFont="1" applyFill="1"/>
    <xf numFmtId="9" fontId="0" fillId="0" borderId="0" xfId="4" applyFont="1"/>
    <xf numFmtId="10" fontId="0" fillId="0" borderId="0" xfId="4" applyNumberFormat="1" applyFont="1"/>
    <xf numFmtId="169" fontId="3" fillId="0" borderId="0" xfId="1" applyNumberFormat="1" applyFont="1" applyBorder="1"/>
    <xf numFmtId="10" fontId="1" fillId="0" borderId="0" xfId="4" applyNumberFormat="1" applyFont="1" applyAlignment="1">
      <alignment horizontal="right"/>
    </xf>
    <xf numFmtId="169" fontId="0" fillId="0" borderId="0" xfId="1" applyNumberFormat="1" applyFont="1" applyBorder="1"/>
    <xf numFmtId="0" fontId="1" fillId="0" borderId="1" xfId="0" applyFont="1" applyBorder="1"/>
    <xf numFmtId="165" fontId="2" fillId="4" borderId="0" xfId="0" applyNumberFormat="1" applyFont="1" applyFill="1" applyAlignment="1">
      <alignment horizontal="center"/>
    </xf>
    <xf numFmtId="10" fontId="0" fillId="0" borderId="0" xfId="0" applyNumberFormat="1" applyAlignment="1">
      <alignment horizontal="right"/>
    </xf>
    <xf numFmtId="10" fontId="0" fillId="0" borderId="0" xfId="4" applyNumberFormat="1" applyFont="1" applyBorder="1" applyAlignment="1">
      <alignment horizontal="right"/>
    </xf>
    <xf numFmtId="0" fontId="0" fillId="0" borderId="2" xfId="0" applyBorder="1"/>
    <xf numFmtId="0" fontId="0" fillId="0" borderId="2" xfId="0" applyBorder="1" applyAlignment="1">
      <alignment horizontal="right"/>
    </xf>
    <xf numFmtId="10" fontId="0" fillId="0" borderId="2" xfId="0" applyNumberFormat="1" applyBorder="1" applyAlignment="1">
      <alignment horizontal="right"/>
    </xf>
    <xf numFmtId="10" fontId="0" fillId="0" borderId="2" xfId="4" applyNumberFormat="1" applyFont="1" applyBorder="1" applyAlignment="1">
      <alignment horizontal="right"/>
    </xf>
    <xf numFmtId="0" fontId="0" fillId="0" borderId="3" xfId="0" applyBorder="1"/>
    <xf numFmtId="0" fontId="0" fillId="0" borderId="3" xfId="0" applyBorder="1" applyAlignment="1">
      <alignment horizontal="right"/>
    </xf>
    <xf numFmtId="10" fontId="0" fillId="0" borderId="3" xfId="0" applyNumberFormat="1" applyBorder="1" applyAlignment="1">
      <alignment horizontal="right"/>
    </xf>
    <xf numFmtId="10" fontId="0" fillId="0" borderId="3" xfId="4" applyNumberFormat="1" applyFont="1" applyBorder="1" applyAlignment="1">
      <alignment horizontal="right"/>
    </xf>
    <xf numFmtId="170" fontId="0" fillId="0" borderId="3" xfId="0" applyNumberFormat="1" applyBorder="1" applyAlignment="1">
      <alignment horizontal="right"/>
    </xf>
    <xf numFmtId="170" fontId="0" fillId="0" borderId="2" xfId="0" applyNumberFormat="1" applyBorder="1" applyAlignment="1">
      <alignment horizontal="right"/>
    </xf>
    <xf numFmtId="170" fontId="0" fillId="0" borderId="0" xfId="0" applyNumberFormat="1" applyAlignment="1">
      <alignment horizontal="right"/>
    </xf>
    <xf numFmtId="2" fontId="0" fillId="0" borderId="0" xfId="0" applyNumberFormat="1"/>
    <xf numFmtId="0" fontId="5" fillId="5" borderId="0" xfId="0" applyFont="1" applyFill="1"/>
    <xf numFmtId="0" fontId="2" fillId="4" borderId="0" xfId="0" applyFont="1" applyFill="1"/>
    <xf numFmtId="0" fontId="2" fillId="4" borderId="0" xfId="0" applyFont="1" applyFill="1" applyAlignment="1">
      <alignment horizontal="right"/>
    </xf>
    <xf numFmtId="10" fontId="0" fillId="0" borderId="0" xfId="0" applyNumberFormat="1"/>
    <xf numFmtId="171" fontId="0" fillId="0" borderId="0" xfId="0" applyNumberFormat="1" applyAlignment="1">
      <alignment horizontal="right"/>
    </xf>
    <xf numFmtId="173" fontId="0" fillId="0" borderId="0" xfId="0" applyNumberFormat="1"/>
    <xf numFmtId="0" fontId="0" fillId="7" borderId="0" xfId="0" applyFill="1" applyAlignment="1">
      <alignment horizontal="left"/>
    </xf>
    <xf numFmtId="172" fontId="0" fillId="7" borderId="0" xfId="0" applyNumberFormat="1" applyFill="1" applyAlignment="1">
      <alignment horizontal="right"/>
    </xf>
    <xf numFmtId="10" fontId="0" fillId="7" borderId="0" xfId="0" applyNumberFormat="1" applyFill="1"/>
    <xf numFmtId="0" fontId="8" fillId="0" borderId="0" xfId="0" applyFont="1"/>
    <xf numFmtId="0" fontId="1" fillId="0" borderId="1" xfId="0" applyFont="1" applyBorder="1" applyAlignment="1">
      <alignment horizontal="left"/>
    </xf>
    <xf numFmtId="174" fontId="0" fillId="0" borderId="0" xfId="0" applyNumberFormat="1"/>
    <xf numFmtId="4" fontId="0" fillId="0" borderId="0" xfId="0" applyNumberFormat="1"/>
    <xf numFmtId="0" fontId="9" fillId="0" borderId="0" xfId="0" applyFont="1"/>
    <xf numFmtId="0" fontId="1" fillId="0" borderId="4" xfId="0" applyFont="1" applyBorder="1" applyAlignment="1">
      <alignment horizontal="right"/>
    </xf>
    <xf numFmtId="0" fontId="1" fillId="7" borderId="1" xfId="0" applyFont="1" applyFill="1" applyBorder="1"/>
    <xf numFmtId="0" fontId="1" fillId="7" borderId="4" xfId="0" applyFont="1" applyFill="1" applyBorder="1"/>
    <xf numFmtId="0" fontId="1" fillId="0" borderId="1" xfId="0" applyFont="1" applyBorder="1" applyAlignment="1">
      <alignment horizontal="right"/>
    </xf>
    <xf numFmtId="0" fontId="1" fillId="0" borderId="5" xfId="0" applyFont="1" applyBorder="1" applyAlignment="1">
      <alignment horizontal="right"/>
    </xf>
    <xf numFmtId="0" fontId="1" fillId="0" borderId="5" xfId="0" applyFont="1" applyBorder="1" applyAlignment="1">
      <alignment vertical="center"/>
    </xf>
    <xf numFmtId="0" fontId="1" fillId="0" borderId="1" xfId="0" applyFont="1" applyBorder="1" applyAlignment="1">
      <alignment horizontal="right" vertical="center"/>
    </xf>
    <xf numFmtId="0" fontId="1" fillId="0" borderId="5" xfId="0" applyFont="1" applyBorder="1" applyAlignment="1">
      <alignment horizontal="right" vertical="center"/>
    </xf>
    <xf numFmtId="0" fontId="12" fillId="0" borderId="0" xfId="0" applyFont="1"/>
    <xf numFmtId="0" fontId="1" fillId="0" borderId="2" xfId="0" applyFont="1" applyBorder="1"/>
    <xf numFmtId="0" fontId="1" fillId="0" borderId="3" xfId="0" applyFont="1" applyBorder="1"/>
    <xf numFmtId="175" fontId="0" fillId="0" borderId="2" xfId="4" applyNumberFormat="1" applyFont="1" applyBorder="1" applyAlignment="1">
      <alignment horizontal="right"/>
    </xf>
    <xf numFmtId="175" fontId="0" fillId="0" borderId="0" xfId="4" applyNumberFormat="1" applyFont="1" applyBorder="1" applyAlignment="1">
      <alignment horizontal="right"/>
    </xf>
    <xf numFmtId="175" fontId="0" fillId="0" borderId="3" xfId="4" applyNumberFormat="1" applyFont="1" applyBorder="1" applyAlignment="1">
      <alignment horizontal="right"/>
    </xf>
    <xf numFmtId="175" fontId="0" fillId="0" borderId="2" xfId="0" applyNumberFormat="1" applyBorder="1"/>
    <xf numFmtId="175" fontId="0" fillId="0" borderId="0" xfId="0" applyNumberFormat="1"/>
    <xf numFmtId="175" fontId="0" fillId="0" borderId="0" xfId="0" applyNumberFormat="1" applyAlignment="1">
      <alignment horizontal="right"/>
    </xf>
    <xf numFmtId="175" fontId="0" fillId="0" borderId="3" xfId="0" applyNumberFormat="1" applyBorder="1"/>
    <xf numFmtId="2" fontId="0" fillId="7" borderId="1" xfId="0" applyNumberFormat="1" applyFill="1" applyBorder="1" applyAlignment="1">
      <alignment horizontal="right"/>
    </xf>
    <xf numFmtId="2" fontId="0" fillId="7" borderId="4" xfId="0" applyNumberFormat="1" applyFill="1" applyBorder="1" applyAlignment="1">
      <alignment horizontal="right"/>
    </xf>
    <xf numFmtId="2" fontId="0" fillId="7" borderId="0" xfId="0" applyNumberFormat="1" applyFill="1"/>
    <xf numFmtId="0" fontId="13" fillId="0" borderId="0" xfId="0" applyFont="1"/>
    <xf numFmtId="0" fontId="13" fillId="0" borderId="0" xfId="0" applyFont="1" applyAlignment="1">
      <alignment horizontal="right"/>
    </xf>
    <xf numFmtId="0" fontId="1" fillId="0" borderId="4" xfId="0" applyFont="1" applyBorder="1"/>
    <xf numFmtId="10" fontId="1" fillId="0" borderId="4" xfId="4" applyNumberFormat="1" applyFont="1" applyBorder="1"/>
    <xf numFmtId="0" fontId="1" fillId="0" borderId="4" xfId="0" applyFont="1" applyBorder="1" applyAlignment="1">
      <alignment horizontal="left"/>
    </xf>
    <xf numFmtId="10" fontId="1" fillId="0" borderId="4" xfId="4" applyNumberFormat="1" applyFont="1" applyBorder="1" applyAlignment="1">
      <alignment horizontal="right"/>
    </xf>
    <xf numFmtId="10" fontId="0" fillId="0" borderId="0" xfId="4" applyNumberFormat="1" applyFont="1" applyBorder="1"/>
    <xf numFmtId="17" fontId="0" fillId="0" borderId="5" xfId="0" applyNumberFormat="1" applyBorder="1"/>
    <xf numFmtId="0" fontId="0" fillId="0" borderId="6" xfId="0" applyBorder="1"/>
    <xf numFmtId="3" fontId="0" fillId="0" borderId="6" xfId="0" applyNumberFormat="1" applyBorder="1"/>
    <xf numFmtId="17" fontId="2" fillId="4" borderId="0" xfId="0" applyNumberFormat="1" applyFont="1" applyFill="1"/>
    <xf numFmtId="0" fontId="1" fillId="0" borderId="7" xfId="0" applyFont="1" applyBorder="1"/>
    <xf numFmtId="0" fontId="0" fillId="0" borderId="7" xfId="0" applyBorder="1"/>
    <xf numFmtId="167" fontId="1" fillId="0" borderId="7" xfId="0" applyNumberFormat="1" applyFont="1" applyBorder="1" applyAlignment="1">
      <alignment horizontal="left"/>
    </xf>
    <xf numFmtId="10" fontId="1" fillId="0" borderId="7" xfId="4" applyNumberFormat="1" applyFont="1" applyBorder="1"/>
    <xf numFmtId="168" fontId="0" fillId="0" borderId="0" xfId="0" applyNumberFormat="1"/>
    <xf numFmtId="0" fontId="1" fillId="7" borderId="1" xfId="0" applyFont="1" applyFill="1" applyBorder="1" applyAlignment="1">
      <alignment horizontal="right"/>
    </xf>
    <xf numFmtId="10" fontId="1" fillId="7" borderId="1" xfId="0" applyNumberFormat="1" applyFont="1" applyFill="1" applyBorder="1"/>
    <xf numFmtId="0" fontId="1" fillId="7" borderId="4" xfId="0" applyFont="1" applyFill="1" applyBorder="1" applyAlignment="1">
      <alignment horizontal="right"/>
    </xf>
    <xf numFmtId="10" fontId="1" fillId="7" borderId="4" xfId="0" applyNumberFormat="1" applyFont="1" applyFill="1" applyBorder="1"/>
    <xf numFmtId="10" fontId="13" fillId="0" borderId="0" xfId="0" applyNumberFormat="1" applyFont="1"/>
    <xf numFmtId="10" fontId="0" fillId="0" borderId="7" xfId="0" applyNumberFormat="1" applyBorder="1"/>
    <xf numFmtId="10" fontId="14" fillId="0" borderId="0" xfId="0" applyNumberFormat="1" applyFont="1"/>
    <xf numFmtId="10" fontId="0" fillId="7" borderId="1" xfId="4" applyNumberFormat="1" applyFont="1" applyFill="1" applyBorder="1" applyAlignment="1">
      <alignment horizontal="right"/>
    </xf>
    <xf numFmtId="10" fontId="0" fillId="7" borderId="4" xfId="4" applyNumberFormat="1" applyFont="1" applyFill="1" applyBorder="1" applyAlignment="1">
      <alignment horizontal="right"/>
    </xf>
    <xf numFmtId="0" fontId="15" fillId="0" borderId="0" xfId="0" applyFont="1"/>
    <xf numFmtId="0" fontId="15" fillId="0" borderId="0" xfId="0" applyFont="1" applyAlignment="1">
      <alignment horizontal="right"/>
    </xf>
    <xf numFmtId="2" fontId="1" fillId="7" borderId="0" xfId="0" applyNumberFormat="1" applyFont="1" applyFill="1"/>
    <xf numFmtId="2" fontId="13" fillId="5" borderId="0" xfId="0" applyNumberFormat="1" applyFont="1" applyFill="1"/>
    <xf numFmtId="2" fontId="15" fillId="5" borderId="0" xfId="0" applyNumberFormat="1" applyFont="1" applyFill="1"/>
    <xf numFmtId="0" fontId="14" fillId="0" borderId="0" xfId="0" applyFont="1"/>
    <xf numFmtId="0" fontId="0" fillId="4" borderId="0" xfId="0" applyFill="1"/>
    <xf numFmtId="10" fontId="1" fillId="7" borderId="1" xfId="4" applyNumberFormat="1" applyFont="1" applyFill="1" applyBorder="1"/>
    <xf numFmtId="10" fontId="1" fillId="0" borderId="7" xfId="0" applyNumberFormat="1" applyFont="1" applyBorder="1"/>
    <xf numFmtId="10" fontId="3" fillId="0" borderId="0" xfId="4" applyNumberFormat="1" applyFont="1"/>
    <xf numFmtId="176" fontId="2" fillId="4" borderId="0" xfId="0" applyNumberFormat="1" applyFont="1" applyFill="1"/>
    <xf numFmtId="177" fontId="2" fillId="4" borderId="0" xfId="0" applyNumberFormat="1" applyFont="1" applyFill="1"/>
    <xf numFmtId="0" fontId="0" fillId="7" borderId="1" xfId="0" applyFill="1" applyBorder="1"/>
    <xf numFmtId="10" fontId="0" fillId="7" borderId="1" xfId="0" applyNumberFormat="1" applyFill="1" applyBorder="1"/>
    <xf numFmtId="0" fontId="0" fillId="7" borderId="0" xfId="0" applyFill="1"/>
    <xf numFmtId="0" fontId="0" fillId="7" borderId="4" xfId="0" applyFill="1" applyBorder="1"/>
    <xf numFmtId="10" fontId="0" fillId="7" borderId="4" xfId="0" applyNumberFormat="1" applyFill="1" applyBorder="1"/>
    <xf numFmtId="2" fontId="0" fillId="0" borderId="7" xfId="0" applyNumberFormat="1" applyBorder="1"/>
    <xf numFmtId="0" fontId="0" fillId="0" borderId="1" xfId="0" applyBorder="1"/>
    <xf numFmtId="0" fontId="1" fillId="5" borderId="1" xfId="0" applyFont="1" applyFill="1" applyBorder="1"/>
    <xf numFmtId="10" fontId="1" fillId="5" borderId="1" xfId="0" applyNumberFormat="1" applyFont="1" applyFill="1" applyBorder="1"/>
    <xf numFmtId="9" fontId="1" fillId="5" borderId="1" xfId="4" applyFont="1" applyFill="1" applyBorder="1"/>
    <xf numFmtId="2" fontId="1" fillId="0" borderId="7" xfId="0" applyNumberFormat="1" applyFont="1" applyBorder="1"/>
    <xf numFmtId="2" fontId="1" fillId="0" borderId="1" xfId="0" applyNumberFormat="1" applyFont="1" applyBorder="1"/>
    <xf numFmtId="2" fontId="5" fillId="0" borderId="0" xfId="0" applyNumberFormat="1" applyFont="1"/>
    <xf numFmtId="9" fontId="1" fillId="0" borderId="0" xfId="0" applyNumberFormat="1" applyFont="1"/>
    <xf numFmtId="10" fontId="1" fillId="0" borderId="0" xfId="0" applyNumberFormat="1" applyFont="1"/>
    <xf numFmtId="10" fontId="0" fillId="7" borderId="8" xfId="0" applyNumberFormat="1" applyFill="1" applyBorder="1"/>
    <xf numFmtId="166" fontId="1" fillId="0" borderId="0" xfId="0" applyNumberFormat="1" applyFont="1" applyAlignment="1">
      <alignment horizontal="right"/>
    </xf>
    <xf numFmtId="178" fontId="1" fillId="0" borderId="1" xfId="0" applyNumberFormat="1" applyFont="1" applyBorder="1" applyAlignment="1">
      <alignment horizontal="right"/>
    </xf>
    <xf numFmtId="178" fontId="0" fillId="0" borderId="0" xfId="0" applyNumberFormat="1" applyAlignment="1">
      <alignment horizontal="right"/>
    </xf>
    <xf numFmtId="178" fontId="0" fillId="0" borderId="0" xfId="0" applyNumberFormat="1"/>
    <xf numFmtId="178" fontId="1" fillId="0" borderId="7" xfId="0" applyNumberFormat="1" applyFont="1" applyBorder="1" applyAlignment="1">
      <alignment horizontal="right"/>
    </xf>
    <xf numFmtId="178" fontId="1" fillId="0" borderId="0" xfId="0" applyNumberFormat="1" applyFont="1" applyAlignment="1">
      <alignment horizontal="right"/>
    </xf>
    <xf numFmtId="179" fontId="0" fillId="0" borderId="0" xfId="0" applyNumberFormat="1"/>
    <xf numFmtId="179" fontId="0" fillId="7" borderId="0" xfId="0" applyNumberFormat="1" applyFill="1"/>
    <xf numFmtId="178" fontId="1" fillId="0" borderId="1" xfId="0" applyNumberFormat="1" applyFont="1" applyBorder="1"/>
    <xf numFmtId="178" fontId="1" fillId="0" borderId="0" xfId="0" applyNumberFormat="1" applyFont="1"/>
    <xf numFmtId="178" fontId="1" fillId="0" borderId="7" xfId="0" applyNumberFormat="1" applyFont="1" applyBorder="1"/>
    <xf numFmtId="0" fontId="2" fillId="4" borderId="0" xfId="0" applyFont="1" applyFill="1" applyAlignment="1">
      <alignment horizontal="right" wrapText="1"/>
    </xf>
    <xf numFmtId="3" fontId="0" fillId="8" borderId="0" xfId="0" applyNumberFormat="1" applyFill="1"/>
    <xf numFmtId="0" fontId="0" fillId="8" borderId="0" xfId="0" applyFill="1"/>
    <xf numFmtId="180" fontId="0" fillId="0" borderId="0" xfId="0" applyNumberFormat="1"/>
    <xf numFmtId="180" fontId="0" fillId="7" borderId="0" xfId="0" applyNumberFormat="1" applyFill="1"/>
    <xf numFmtId="178" fontId="0" fillId="0" borderId="1" xfId="0" applyNumberFormat="1" applyBorder="1"/>
    <xf numFmtId="2" fontId="1" fillId="5" borderId="1" xfId="4" applyNumberFormat="1" applyFont="1" applyFill="1" applyBorder="1"/>
    <xf numFmtId="2" fontId="0" fillId="0" borderId="0" xfId="4" applyNumberFormat="1" applyFont="1"/>
    <xf numFmtId="181" fontId="0" fillId="0" borderId="0" xfId="0" applyNumberFormat="1"/>
    <xf numFmtId="0" fontId="1" fillId="7" borderId="10" xfId="0" applyFont="1" applyFill="1" applyBorder="1"/>
    <xf numFmtId="1" fontId="1" fillId="7" borderId="10" xfId="0" applyNumberFormat="1" applyFont="1" applyFill="1" applyBorder="1"/>
    <xf numFmtId="2" fontId="1" fillId="7" borderId="10" xfId="0" applyNumberFormat="1" applyFont="1" applyFill="1" applyBorder="1"/>
    <xf numFmtId="1" fontId="2" fillId="7" borderId="10" xfId="0" applyNumberFormat="1" applyFont="1" applyFill="1" applyBorder="1" applyAlignment="1">
      <alignment horizontal="right"/>
    </xf>
    <xf numFmtId="170" fontId="1" fillId="7" borderId="10" xfId="0" applyNumberFormat="1" applyFont="1" applyFill="1" applyBorder="1" applyAlignment="1">
      <alignment horizontal="right"/>
    </xf>
    <xf numFmtId="0" fontId="0" fillId="0" borderId="10" xfId="0" applyBorder="1"/>
    <xf numFmtId="1" fontId="0" fillId="0" borderId="10" xfId="0" applyNumberFormat="1" applyBorder="1"/>
    <xf numFmtId="2" fontId="0" fillId="0" borderId="10" xfId="0" applyNumberFormat="1" applyBorder="1"/>
    <xf numFmtId="170" fontId="0" fillId="5" borderId="10" xfId="0" applyNumberFormat="1" applyFill="1" applyBorder="1" applyAlignment="1">
      <alignment horizontal="right"/>
    </xf>
    <xf numFmtId="170" fontId="0" fillId="0" borderId="10" xfId="0" applyNumberFormat="1" applyBorder="1"/>
    <xf numFmtId="1" fontId="0" fillId="0" borderId="0" xfId="0" applyNumberFormat="1"/>
    <xf numFmtId="182" fontId="1" fillId="7" borderId="10" xfId="0" applyNumberFormat="1" applyFont="1" applyFill="1" applyBorder="1"/>
    <xf numFmtId="182" fontId="0" fillId="0" borderId="10" xfId="0" applyNumberFormat="1" applyBorder="1"/>
    <xf numFmtId="182" fontId="0" fillId="0" borderId="0" xfId="0" applyNumberFormat="1"/>
    <xf numFmtId="0" fontId="1" fillId="7" borderId="12" xfId="0" applyFont="1" applyFill="1" applyBorder="1"/>
    <xf numFmtId="2" fontId="1" fillId="7" borderId="12" xfId="0" applyNumberFormat="1" applyFont="1" applyFill="1" applyBorder="1"/>
    <xf numFmtId="183" fontId="0" fillId="0" borderId="0" xfId="0" applyNumberFormat="1"/>
    <xf numFmtId="0" fontId="16" fillId="7" borderId="13" xfId="0" applyFont="1" applyFill="1" applyBorder="1" applyAlignment="1">
      <alignment horizontal="right"/>
    </xf>
    <xf numFmtId="0" fontId="17" fillId="0" borderId="0" xfId="0" applyFont="1"/>
    <xf numFmtId="0" fontId="0" fillId="0" borderId="14" xfId="0" applyBorder="1"/>
    <xf numFmtId="184" fontId="1" fillId="0" borderId="0" xfId="0" applyNumberFormat="1" applyFont="1"/>
    <xf numFmtId="0" fontId="1" fillId="4" borderId="0" xfId="0" applyFont="1" applyFill="1"/>
    <xf numFmtId="0" fontId="0" fillId="4" borderId="0" xfId="0" applyFill="1" applyAlignment="1">
      <alignment horizontal="right"/>
    </xf>
    <xf numFmtId="0" fontId="1" fillId="4" borderId="0" xfId="0" applyFont="1" applyFill="1" applyAlignment="1">
      <alignment horizontal="left"/>
    </xf>
    <xf numFmtId="10" fontId="1" fillId="4" borderId="0" xfId="4" applyNumberFormat="1" applyFont="1" applyFill="1" applyAlignment="1">
      <alignment horizontal="right"/>
    </xf>
    <xf numFmtId="0" fontId="19" fillId="0" borderId="0" xfId="0" applyFont="1"/>
    <xf numFmtId="0" fontId="0" fillId="0" borderId="15" xfId="0" applyBorder="1"/>
    <xf numFmtId="0" fontId="1" fillId="0" borderId="15" xfId="0" applyFont="1" applyBorder="1"/>
    <xf numFmtId="0" fontId="0" fillId="0" borderId="15" xfId="0" applyBorder="1" applyAlignment="1">
      <alignment horizontal="right"/>
    </xf>
    <xf numFmtId="0" fontId="20" fillId="0" borderId="0" xfId="0" applyFont="1" applyAlignment="1">
      <alignment horizontal="left"/>
    </xf>
    <xf numFmtId="0" fontId="20" fillId="0" borderId="0" xfId="0" applyFont="1"/>
    <xf numFmtId="0" fontId="20" fillId="0" borderId="0" xfId="0" applyFont="1" applyAlignment="1">
      <alignment horizontal="left" vertical="center"/>
    </xf>
    <xf numFmtId="0" fontId="0" fillId="0" borderId="0" xfId="0" applyAlignment="1">
      <alignment wrapText="1"/>
    </xf>
    <xf numFmtId="0" fontId="0" fillId="0" borderId="16" xfId="0" applyBorder="1" applyAlignment="1">
      <alignment horizontal="right"/>
    </xf>
    <xf numFmtId="168" fontId="0" fillId="0" borderId="16" xfId="0" applyNumberFormat="1" applyBorder="1" applyAlignment="1">
      <alignment horizontal="right"/>
    </xf>
    <xf numFmtId="10" fontId="7" fillId="0" borderId="16" xfId="4" applyNumberFormat="1" applyFont="1" applyBorder="1" applyAlignment="1">
      <alignment horizontal="right"/>
    </xf>
    <xf numFmtId="10" fontId="1" fillId="0" borderId="16" xfId="4" applyNumberFormat="1" applyFont="1" applyBorder="1" applyAlignment="1">
      <alignment horizontal="right"/>
    </xf>
    <xf numFmtId="0" fontId="0" fillId="0" borderId="16" xfId="0" applyBorder="1"/>
    <xf numFmtId="0" fontId="7" fillId="0" borderId="16" xfId="0" applyFont="1" applyBorder="1" applyAlignment="1">
      <alignment horizontal="left"/>
    </xf>
    <xf numFmtId="0" fontId="0" fillId="0" borderId="16" xfId="0" applyBorder="1" applyAlignment="1">
      <alignment horizontal="left"/>
    </xf>
    <xf numFmtId="0" fontId="1" fillId="0" borderId="16" xfId="0" applyFont="1" applyBorder="1" applyAlignment="1">
      <alignment horizontal="left"/>
    </xf>
    <xf numFmtId="0" fontId="0" fillId="7" borderId="16" xfId="0" applyFill="1" applyBorder="1"/>
    <xf numFmtId="170" fontId="0" fillId="7" borderId="16" xfId="0" applyNumberFormat="1" applyFill="1" applyBorder="1"/>
    <xf numFmtId="2" fontId="0" fillId="7" borderId="16" xfId="0" applyNumberFormat="1" applyFill="1" applyBorder="1"/>
    <xf numFmtId="0" fontId="1" fillId="7" borderId="16" xfId="0" applyFont="1" applyFill="1" applyBorder="1"/>
    <xf numFmtId="170" fontId="1" fillId="7" borderId="16" xfId="0" applyNumberFormat="1" applyFont="1" applyFill="1" applyBorder="1"/>
    <xf numFmtId="183" fontId="1" fillId="7" borderId="1" xfId="4" applyNumberFormat="1" applyFont="1" applyFill="1" applyBorder="1"/>
    <xf numFmtId="2" fontId="0" fillId="0" borderId="17" xfId="0" applyNumberFormat="1" applyBorder="1"/>
    <xf numFmtId="2" fontId="0" fillId="0" borderId="18" xfId="0" applyNumberFormat="1" applyBorder="1"/>
    <xf numFmtId="2" fontId="0" fillId="0" borderId="19" xfId="0" applyNumberFormat="1" applyBorder="1"/>
    <xf numFmtId="2" fontId="0" fillId="0" borderId="16" xfId="0" applyNumberFormat="1" applyBorder="1"/>
    <xf numFmtId="174" fontId="1" fillId="0" borderId="1" xfId="0" applyNumberFormat="1" applyFont="1" applyBorder="1"/>
    <xf numFmtId="0" fontId="25" fillId="4" borderId="0" xfId="0" applyFont="1" applyFill="1"/>
    <xf numFmtId="0" fontId="26" fillId="0" borderId="0" xfId="0" applyFont="1"/>
    <xf numFmtId="0" fontId="0" fillId="9" borderId="0" xfId="0" applyFill="1"/>
    <xf numFmtId="0" fontId="27" fillId="9" borderId="20" xfId="0" applyFont="1" applyFill="1" applyBorder="1" applyAlignment="1">
      <alignment horizontal="left" vertical="center"/>
    </xf>
    <xf numFmtId="0" fontId="0" fillId="9" borderId="20" xfId="0" applyFill="1" applyBorder="1"/>
    <xf numFmtId="0" fontId="28" fillId="0" borderId="0" xfId="0" applyFont="1"/>
    <xf numFmtId="0" fontId="30" fillId="0" borderId="0" xfId="0" applyFont="1" applyAlignment="1">
      <alignment horizontal="center"/>
    </xf>
    <xf numFmtId="0" fontId="31" fillId="0" borderId="0" xfId="0" applyFont="1" applyAlignment="1">
      <alignment horizontal="left"/>
    </xf>
    <xf numFmtId="0" fontId="31" fillId="0" borderId="0" xfId="0" applyFont="1"/>
    <xf numFmtId="0" fontId="31" fillId="0" borderId="0" xfId="0" applyFont="1" applyAlignment="1">
      <alignment horizontal="right"/>
    </xf>
    <xf numFmtId="173" fontId="0" fillId="0" borderId="0" xfId="0" applyNumberFormat="1" applyAlignment="1">
      <alignment horizontal="right"/>
    </xf>
    <xf numFmtId="2" fontId="1" fillId="7" borderId="1" xfId="4" applyNumberFormat="1" applyFont="1" applyFill="1" applyBorder="1"/>
    <xf numFmtId="0" fontId="33" fillId="0" borderId="0" xfId="0" applyFont="1" applyAlignment="1">
      <alignment horizontal="right"/>
    </xf>
    <xf numFmtId="185" fontId="34" fillId="0" borderId="0" xfId="0" applyNumberFormat="1" applyFont="1" applyAlignment="1">
      <alignment horizontal="left"/>
    </xf>
    <xf numFmtId="0" fontId="35" fillId="0" borderId="0" xfId="0" applyFont="1"/>
    <xf numFmtId="184" fontId="2" fillId="4" borderId="0" xfId="0" applyNumberFormat="1" applyFont="1" applyFill="1"/>
    <xf numFmtId="0" fontId="9" fillId="0" borderId="16" xfId="0" applyFont="1" applyBorder="1"/>
    <xf numFmtId="10" fontId="9" fillId="0" borderId="16" xfId="0" applyNumberFormat="1" applyFont="1" applyBorder="1"/>
    <xf numFmtId="10" fontId="0" fillId="0" borderId="16" xfId="0" applyNumberFormat="1" applyBorder="1"/>
    <xf numFmtId="186" fontId="0" fillId="0" borderId="16" xfId="0" applyNumberFormat="1" applyBorder="1"/>
    <xf numFmtId="0" fontId="0" fillId="0" borderId="25" xfId="0" applyBorder="1"/>
    <xf numFmtId="187" fontId="0" fillId="0" borderId="25" xfId="0" applyNumberFormat="1" applyBorder="1"/>
    <xf numFmtId="0" fontId="27" fillId="9" borderId="26" xfId="0" applyFont="1" applyFill="1" applyBorder="1" applyAlignment="1">
      <alignment horizontal="left" vertical="center"/>
    </xf>
    <xf numFmtId="0" fontId="0" fillId="9" borderId="26" xfId="0" applyFill="1" applyBorder="1"/>
    <xf numFmtId="14" fontId="0" fillId="0" borderId="0" xfId="0" applyNumberFormat="1"/>
    <xf numFmtId="188" fontId="0" fillId="0" borderId="0" xfId="4" applyNumberFormat="1" applyFont="1"/>
    <xf numFmtId="0" fontId="0" fillId="5" borderId="0" xfId="0" quotePrefix="1" applyFill="1"/>
    <xf numFmtId="10" fontId="7" fillId="0" borderId="0" xfId="4" applyNumberFormat="1" applyFont="1" applyFill="1" applyBorder="1" applyAlignment="1">
      <alignment horizontal="right"/>
    </xf>
    <xf numFmtId="0" fontId="36" fillId="0" borderId="0" xfId="0" applyFont="1"/>
    <xf numFmtId="0" fontId="2" fillId="3" borderId="0" xfId="0" applyFont="1" applyFill="1"/>
    <xf numFmtId="0" fontId="2" fillId="3" borderId="0" xfId="0" applyFont="1" applyFill="1" applyAlignment="1">
      <alignment horizontal="center"/>
    </xf>
    <xf numFmtId="9" fontId="3" fillId="0" borderId="0" xfId="1" applyNumberFormat="1" applyFont="1" applyBorder="1"/>
    <xf numFmtId="164" fontId="2" fillId="10" borderId="0" xfId="5" applyNumberFormat="1" applyFont="1" applyBorder="1"/>
    <xf numFmtId="164" fontId="2" fillId="11" borderId="0" xfId="6" applyNumberFormat="1" applyFont="1" applyBorder="1"/>
    <xf numFmtId="183" fontId="0" fillId="0" borderId="25" xfId="0" applyNumberFormat="1" applyBorder="1"/>
    <xf numFmtId="183" fontId="0" fillId="0" borderId="16" xfId="0" applyNumberFormat="1" applyBorder="1"/>
    <xf numFmtId="4" fontId="0" fillId="0" borderId="0" xfId="0" applyNumberFormat="1" applyAlignment="1">
      <alignment horizontal="right"/>
    </xf>
    <xf numFmtId="2" fontId="0" fillId="0" borderId="0" xfId="0" applyNumberFormat="1" applyAlignment="1">
      <alignment horizontal="right"/>
    </xf>
    <xf numFmtId="189" fontId="0" fillId="0" borderId="0" xfId="0" applyNumberFormat="1" applyAlignment="1">
      <alignment horizontal="right"/>
    </xf>
    <xf numFmtId="3" fontId="0" fillId="0" borderId="25" xfId="0" applyNumberFormat="1" applyBorder="1"/>
    <xf numFmtId="173" fontId="0" fillId="0" borderId="25" xfId="0" applyNumberFormat="1" applyBorder="1"/>
    <xf numFmtId="10" fontId="0" fillId="0" borderId="25" xfId="4" applyNumberFormat="1" applyFont="1" applyBorder="1"/>
    <xf numFmtId="3" fontId="0" fillId="0" borderId="16" xfId="0" applyNumberFormat="1" applyBorder="1"/>
    <xf numFmtId="173" fontId="0" fillId="0" borderId="16" xfId="0" applyNumberFormat="1" applyBorder="1"/>
    <xf numFmtId="10" fontId="0" fillId="0" borderId="16" xfId="4" applyNumberFormat="1" applyFont="1" applyBorder="1"/>
    <xf numFmtId="174" fontId="1" fillId="0" borderId="7" xfId="0" applyNumberFormat="1" applyFont="1" applyBorder="1"/>
    <xf numFmtId="0" fontId="0" fillId="0" borderId="25" xfId="0" applyBorder="1" applyAlignment="1">
      <alignment horizontal="right"/>
    </xf>
    <xf numFmtId="174" fontId="0" fillId="0" borderId="25" xfId="0" applyNumberFormat="1" applyBorder="1"/>
    <xf numFmtId="0" fontId="0" fillId="0" borderId="16" xfId="0" applyBorder="1" applyAlignment="1">
      <alignment vertical="top"/>
    </xf>
    <xf numFmtId="174" fontId="0" fillId="0" borderId="16" xfId="0" applyNumberFormat="1" applyBorder="1" applyAlignment="1">
      <alignment vertical="top"/>
    </xf>
    <xf numFmtId="174" fontId="0" fillId="0" borderId="16" xfId="0" applyNumberFormat="1" applyBorder="1"/>
    <xf numFmtId="190" fontId="0" fillId="0" borderId="16" xfId="0" applyNumberFormat="1" applyBorder="1"/>
    <xf numFmtId="0" fontId="0" fillId="0" borderId="27" xfId="0" applyBorder="1"/>
    <xf numFmtId="174" fontId="0" fillId="0" borderId="27" xfId="0" applyNumberFormat="1" applyBorder="1"/>
    <xf numFmtId="14" fontId="0" fillId="0" borderId="0" xfId="0" applyNumberFormat="1" applyAlignment="1">
      <alignment horizontal="left"/>
    </xf>
    <xf numFmtId="191" fontId="0" fillId="0" borderId="0" xfId="0" applyNumberFormat="1" applyAlignment="1">
      <alignment horizontal="right"/>
    </xf>
    <xf numFmtId="174" fontId="0" fillId="0" borderId="16" xfId="4" applyNumberFormat="1" applyFont="1" applyBorder="1"/>
    <xf numFmtId="188" fontId="0" fillId="0" borderId="16" xfId="0" applyNumberFormat="1" applyBorder="1" applyAlignment="1">
      <alignment horizontal="left"/>
    </xf>
    <xf numFmtId="188" fontId="0" fillId="0" borderId="16" xfId="0" applyNumberFormat="1" applyBorder="1"/>
    <xf numFmtId="9" fontId="0" fillId="0" borderId="16" xfId="0" applyNumberFormat="1" applyBorder="1" applyAlignment="1">
      <alignment horizontal="left"/>
    </xf>
    <xf numFmtId="188" fontId="0" fillId="0" borderId="25" xfId="0" applyNumberFormat="1" applyBorder="1" applyAlignment="1">
      <alignment horizontal="left"/>
    </xf>
    <xf numFmtId="188" fontId="0" fillId="0" borderId="25" xfId="0" applyNumberFormat="1" applyBorder="1"/>
    <xf numFmtId="174" fontId="0" fillId="0" borderId="0" xfId="4" applyNumberFormat="1" applyFont="1" applyBorder="1"/>
    <xf numFmtId="0" fontId="1" fillId="0" borderId="8" xfId="0" applyFont="1" applyBorder="1" applyAlignment="1">
      <alignment horizontal="left"/>
    </xf>
    <xf numFmtId="0" fontId="1" fillId="0" borderId="8" xfId="0" applyFont="1" applyBorder="1" applyAlignment="1">
      <alignment horizontal="right"/>
    </xf>
    <xf numFmtId="0" fontId="23" fillId="0" borderId="0" xfId="0" applyFont="1" applyAlignment="1">
      <alignment horizontal="center" vertical="center"/>
    </xf>
    <xf numFmtId="0" fontId="2" fillId="4" borderId="0" xfId="0" applyFont="1" applyFill="1" applyAlignment="1">
      <alignment horizontal="center"/>
    </xf>
    <xf numFmtId="0" fontId="12" fillId="0" borderId="0" xfId="0" applyFont="1" applyAlignment="1">
      <alignment horizontal="left"/>
    </xf>
    <xf numFmtId="0" fontId="32" fillId="0" borderId="0" xfId="0" applyFont="1" applyAlignment="1">
      <alignment vertical="center" wrapText="1"/>
    </xf>
    <xf numFmtId="0" fontId="29" fillId="0" borderId="0" xfId="0" applyFont="1" applyAlignment="1">
      <alignment horizontal="center"/>
    </xf>
    <xf numFmtId="0" fontId="30" fillId="0" borderId="0" xfId="0" applyFont="1" applyAlignment="1">
      <alignment horizontal="center"/>
    </xf>
    <xf numFmtId="0" fontId="22" fillId="4" borderId="1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4" borderId="21" xfId="0" applyFont="1" applyFill="1" applyBorder="1" applyAlignment="1">
      <alignment horizontal="center" vertical="center" wrapText="1"/>
    </xf>
    <xf numFmtId="0" fontId="22" fillId="4" borderId="22" xfId="0" applyFont="1" applyFill="1" applyBorder="1" applyAlignment="1">
      <alignment horizontal="center" vertical="center" wrapText="1"/>
    </xf>
    <xf numFmtId="0" fontId="22" fillId="4" borderId="4" xfId="0" applyFont="1" applyFill="1" applyBorder="1" applyAlignment="1">
      <alignment horizontal="center" vertical="center" wrapText="1"/>
    </xf>
    <xf numFmtId="0" fontId="22" fillId="4" borderId="23" xfId="0" applyFont="1" applyFill="1" applyBorder="1" applyAlignment="1">
      <alignment horizontal="center" vertical="center" wrapText="1"/>
    </xf>
    <xf numFmtId="0" fontId="2" fillId="4" borderId="0" xfId="0" applyFont="1" applyFill="1" applyAlignment="1">
      <alignment horizontal="left"/>
    </xf>
    <xf numFmtId="0" fontId="0" fillId="0" borderId="0" xfId="0" applyAlignment="1">
      <alignment horizontal="left" vertical="center" wrapText="1"/>
    </xf>
    <xf numFmtId="0" fontId="0" fillId="0" borderId="0" xfId="0" applyAlignment="1">
      <alignment horizontal="left"/>
    </xf>
    <xf numFmtId="0" fontId="0" fillId="0" borderId="27" xfId="0" applyBorder="1"/>
    <xf numFmtId="0" fontId="1" fillId="0" borderId="1" xfId="0" applyFont="1" applyBorder="1" applyAlignment="1">
      <alignment horizontal="left"/>
    </xf>
    <xf numFmtId="0" fontId="0" fillId="0" borderId="16" xfId="0" applyBorder="1" applyAlignment="1">
      <alignment horizontal="left"/>
    </xf>
    <xf numFmtId="0" fontId="0" fillId="0" borderId="16" xfId="0" applyBorder="1" applyAlignment="1">
      <alignment horizontal="center"/>
    </xf>
    <xf numFmtId="0" fontId="0" fillId="0" borderId="16" xfId="0" applyBorder="1" applyAlignment="1">
      <alignment horizontal="right"/>
    </xf>
    <xf numFmtId="0" fontId="0" fillId="0" borderId="0" xfId="0"/>
    <xf numFmtId="0" fontId="0" fillId="0" borderId="27" xfId="0" applyBorder="1" applyAlignment="1">
      <alignment horizontal="left"/>
    </xf>
    <xf numFmtId="0" fontId="1" fillId="0" borderId="7" xfId="0" applyFont="1" applyBorder="1" applyAlignment="1">
      <alignment horizontal="left"/>
    </xf>
    <xf numFmtId="0" fontId="9" fillId="0" borderId="0" xfId="0" applyFont="1" applyAlignment="1">
      <alignment horizontal="left"/>
    </xf>
    <xf numFmtId="0" fontId="2" fillId="4" borderId="9" xfId="0" applyFont="1" applyFill="1" applyBorder="1" applyAlignment="1">
      <alignment horizontal="center"/>
    </xf>
    <xf numFmtId="0" fontId="1" fillId="0" borderId="8" xfId="0" applyFont="1" applyBorder="1" applyAlignment="1">
      <alignment horizontal="center"/>
    </xf>
    <xf numFmtId="0" fontId="21" fillId="0" borderId="0" xfId="0" applyFont="1" applyAlignment="1">
      <alignment horizontal="center"/>
    </xf>
    <xf numFmtId="0" fontId="18" fillId="0" borderId="0" xfId="0" applyFont="1" applyAlignment="1">
      <alignment horizontal="left" vertical="center" wrapText="1"/>
    </xf>
    <xf numFmtId="0" fontId="20" fillId="0" borderId="24" xfId="0" applyFont="1" applyBorder="1" applyAlignment="1">
      <alignment horizontal="center"/>
    </xf>
    <xf numFmtId="0" fontId="20" fillId="0" borderId="0" xfId="0" applyFont="1" applyAlignment="1">
      <alignment horizontal="left"/>
    </xf>
    <xf numFmtId="164" fontId="4" fillId="0" borderId="0" xfId="2" applyNumberFormat="1" applyBorder="1" applyAlignment="1" applyProtection="1">
      <alignment horizontal="center"/>
    </xf>
    <xf numFmtId="164" fontId="2" fillId="2" borderId="0" xfId="3" applyNumberFormat="1" applyFont="1" applyBorder="1" applyAlignment="1">
      <alignment horizontal="center"/>
    </xf>
  </cellXfs>
  <cellStyles count="7">
    <cellStyle name="60% - Accent1" xfId="5" builtinId="32"/>
    <cellStyle name="60% - Accent3" xfId="6" builtinId="40"/>
    <cellStyle name="Accent6" xfId="3" builtinId="49"/>
    <cellStyle name="Comma" xfId="1" builtinId="3"/>
    <cellStyle name="Hyperlink" xfId="2" builtinId="8"/>
    <cellStyle name="Normal" xfId="0" builtinId="0"/>
    <cellStyle name="Percent" xfId="4" builtinId="5"/>
  </cellStyles>
  <dxfs count="19">
    <dxf>
      <font>
        <b/>
        <i val="0"/>
        <color theme="0"/>
      </font>
      <fill>
        <patternFill>
          <bgColor theme="5"/>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C5EAF1"/>
      <color rgb="FF2596BE"/>
      <color rgb="FFE4E4E4"/>
      <color rgb="FF9EDBF4"/>
      <color rgb="FF0275D8"/>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cat>
            <c:numRef>
              <c:f>'share Price'!$B$3:$B$1241</c:f>
              <c:numCache>
                <c:formatCode>m/d/yyyy</c:formatCode>
                <c:ptCount val="1239"/>
                <c:pt idx="0">
                  <c:v>46111</c:v>
                </c:pt>
                <c:pt idx="1">
                  <c:v>46108</c:v>
                </c:pt>
                <c:pt idx="2">
                  <c:v>46106</c:v>
                </c:pt>
                <c:pt idx="3">
                  <c:v>46105</c:v>
                </c:pt>
                <c:pt idx="4">
                  <c:v>46104</c:v>
                </c:pt>
                <c:pt idx="5">
                  <c:v>46101</c:v>
                </c:pt>
                <c:pt idx="6">
                  <c:v>46100</c:v>
                </c:pt>
                <c:pt idx="7">
                  <c:v>46099</c:v>
                </c:pt>
                <c:pt idx="8">
                  <c:v>46098</c:v>
                </c:pt>
                <c:pt idx="9">
                  <c:v>46097</c:v>
                </c:pt>
                <c:pt idx="10">
                  <c:v>46094</c:v>
                </c:pt>
                <c:pt idx="11">
                  <c:v>46093</c:v>
                </c:pt>
                <c:pt idx="12">
                  <c:v>46092</c:v>
                </c:pt>
                <c:pt idx="13">
                  <c:v>46091</c:v>
                </c:pt>
                <c:pt idx="14">
                  <c:v>46090</c:v>
                </c:pt>
                <c:pt idx="15">
                  <c:v>46087</c:v>
                </c:pt>
                <c:pt idx="16">
                  <c:v>46086</c:v>
                </c:pt>
                <c:pt idx="17">
                  <c:v>46085</c:v>
                </c:pt>
                <c:pt idx="18">
                  <c:v>46083</c:v>
                </c:pt>
                <c:pt idx="19">
                  <c:v>46080</c:v>
                </c:pt>
                <c:pt idx="20">
                  <c:v>46079</c:v>
                </c:pt>
                <c:pt idx="21">
                  <c:v>46078</c:v>
                </c:pt>
                <c:pt idx="22">
                  <c:v>46077</c:v>
                </c:pt>
                <c:pt idx="23">
                  <c:v>46076</c:v>
                </c:pt>
                <c:pt idx="24">
                  <c:v>46073</c:v>
                </c:pt>
                <c:pt idx="25">
                  <c:v>46072</c:v>
                </c:pt>
                <c:pt idx="26">
                  <c:v>46071</c:v>
                </c:pt>
                <c:pt idx="27">
                  <c:v>46070</c:v>
                </c:pt>
                <c:pt idx="28">
                  <c:v>46069</c:v>
                </c:pt>
                <c:pt idx="29">
                  <c:v>46066</c:v>
                </c:pt>
                <c:pt idx="30">
                  <c:v>46065</c:v>
                </c:pt>
                <c:pt idx="31">
                  <c:v>46064</c:v>
                </c:pt>
                <c:pt idx="32">
                  <c:v>46063</c:v>
                </c:pt>
                <c:pt idx="33">
                  <c:v>46062</c:v>
                </c:pt>
                <c:pt idx="34">
                  <c:v>46059</c:v>
                </c:pt>
                <c:pt idx="35">
                  <c:v>46058</c:v>
                </c:pt>
                <c:pt idx="36">
                  <c:v>46057</c:v>
                </c:pt>
                <c:pt idx="37">
                  <c:v>46056</c:v>
                </c:pt>
                <c:pt idx="38">
                  <c:v>46055</c:v>
                </c:pt>
                <c:pt idx="39">
                  <c:v>46054</c:v>
                </c:pt>
                <c:pt idx="40">
                  <c:v>46052</c:v>
                </c:pt>
                <c:pt idx="41">
                  <c:v>46051</c:v>
                </c:pt>
                <c:pt idx="42">
                  <c:v>46050</c:v>
                </c:pt>
                <c:pt idx="43">
                  <c:v>46049</c:v>
                </c:pt>
                <c:pt idx="44">
                  <c:v>46045</c:v>
                </c:pt>
                <c:pt idx="45">
                  <c:v>46044</c:v>
                </c:pt>
                <c:pt idx="46">
                  <c:v>46043</c:v>
                </c:pt>
                <c:pt idx="47">
                  <c:v>46042</c:v>
                </c:pt>
                <c:pt idx="48">
                  <c:v>46041</c:v>
                </c:pt>
                <c:pt idx="49">
                  <c:v>46038</c:v>
                </c:pt>
                <c:pt idx="50">
                  <c:v>46036</c:v>
                </c:pt>
                <c:pt idx="51">
                  <c:v>46035</c:v>
                </c:pt>
                <c:pt idx="52">
                  <c:v>46034</c:v>
                </c:pt>
                <c:pt idx="53">
                  <c:v>46031</c:v>
                </c:pt>
                <c:pt idx="54">
                  <c:v>46030</c:v>
                </c:pt>
                <c:pt idx="55">
                  <c:v>46029</c:v>
                </c:pt>
                <c:pt idx="56">
                  <c:v>46028</c:v>
                </c:pt>
                <c:pt idx="57">
                  <c:v>46027</c:v>
                </c:pt>
                <c:pt idx="58">
                  <c:v>46024</c:v>
                </c:pt>
                <c:pt idx="59">
                  <c:v>46023</c:v>
                </c:pt>
                <c:pt idx="60">
                  <c:v>46022</c:v>
                </c:pt>
                <c:pt idx="61">
                  <c:v>46021</c:v>
                </c:pt>
                <c:pt idx="62">
                  <c:v>46020</c:v>
                </c:pt>
                <c:pt idx="63">
                  <c:v>46017</c:v>
                </c:pt>
                <c:pt idx="64">
                  <c:v>46015</c:v>
                </c:pt>
                <c:pt idx="65">
                  <c:v>46014</c:v>
                </c:pt>
                <c:pt idx="66">
                  <c:v>46013</c:v>
                </c:pt>
                <c:pt idx="67">
                  <c:v>46010</c:v>
                </c:pt>
                <c:pt idx="68">
                  <c:v>46009</c:v>
                </c:pt>
                <c:pt idx="69">
                  <c:v>46008</c:v>
                </c:pt>
                <c:pt idx="70">
                  <c:v>46007</c:v>
                </c:pt>
                <c:pt idx="71">
                  <c:v>46006</c:v>
                </c:pt>
                <c:pt idx="72">
                  <c:v>46003</c:v>
                </c:pt>
                <c:pt idx="73">
                  <c:v>46002</c:v>
                </c:pt>
                <c:pt idx="74">
                  <c:v>46001</c:v>
                </c:pt>
                <c:pt idx="75">
                  <c:v>46000</c:v>
                </c:pt>
                <c:pt idx="76">
                  <c:v>45999</c:v>
                </c:pt>
                <c:pt idx="77">
                  <c:v>45996</c:v>
                </c:pt>
                <c:pt idx="78">
                  <c:v>45995</c:v>
                </c:pt>
                <c:pt idx="79">
                  <c:v>45994</c:v>
                </c:pt>
                <c:pt idx="80">
                  <c:v>45993</c:v>
                </c:pt>
                <c:pt idx="81">
                  <c:v>45992</c:v>
                </c:pt>
                <c:pt idx="82">
                  <c:v>45989</c:v>
                </c:pt>
                <c:pt idx="83">
                  <c:v>45988</c:v>
                </c:pt>
                <c:pt idx="84">
                  <c:v>45987</c:v>
                </c:pt>
                <c:pt idx="85">
                  <c:v>45986</c:v>
                </c:pt>
                <c:pt idx="86">
                  <c:v>45985</c:v>
                </c:pt>
                <c:pt idx="87">
                  <c:v>45982</c:v>
                </c:pt>
                <c:pt idx="88">
                  <c:v>45981</c:v>
                </c:pt>
                <c:pt idx="89">
                  <c:v>45980</c:v>
                </c:pt>
                <c:pt idx="90">
                  <c:v>45979</c:v>
                </c:pt>
                <c:pt idx="91">
                  <c:v>45978</c:v>
                </c:pt>
                <c:pt idx="92">
                  <c:v>45975</c:v>
                </c:pt>
                <c:pt idx="93">
                  <c:v>45974</c:v>
                </c:pt>
                <c:pt idx="94">
                  <c:v>45973</c:v>
                </c:pt>
                <c:pt idx="95">
                  <c:v>45972</c:v>
                </c:pt>
                <c:pt idx="96">
                  <c:v>45971</c:v>
                </c:pt>
                <c:pt idx="97">
                  <c:v>45968</c:v>
                </c:pt>
                <c:pt idx="98">
                  <c:v>45967</c:v>
                </c:pt>
                <c:pt idx="99">
                  <c:v>45965</c:v>
                </c:pt>
                <c:pt idx="100">
                  <c:v>45964</c:v>
                </c:pt>
                <c:pt idx="101">
                  <c:v>45961</c:v>
                </c:pt>
                <c:pt idx="102">
                  <c:v>45960</c:v>
                </c:pt>
                <c:pt idx="103">
                  <c:v>45959</c:v>
                </c:pt>
                <c:pt idx="104">
                  <c:v>45958</c:v>
                </c:pt>
                <c:pt idx="105">
                  <c:v>45957</c:v>
                </c:pt>
                <c:pt idx="106">
                  <c:v>45954</c:v>
                </c:pt>
                <c:pt idx="107">
                  <c:v>45953</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45931</c:v>
                </c:pt>
                <c:pt idx="122">
                  <c:v>45930</c:v>
                </c:pt>
                <c:pt idx="123">
                  <c:v>45929</c:v>
                </c:pt>
                <c:pt idx="124">
                  <c:v>45926</c:v>
                </c:pt>
                <c:pt idx="125">
                  <c:v>45925</c:v>
                </c:pt>
                <c:pt idx="126">
                  <c:v>45924</c:v>
                </c:pt>
                <c:pt idx="127">
                  <c:v>45923</c:v>
                </c:pt>
                <c:pt idx="128">
                  <c:v>45922</c:v>
                </c:pt>
                <c:pt idx="129">
                  <c:v>45919</c:v>
                </c:pt>
                <c:pt idx="130">
                  <c:v>45918</c:v>
                </c:pt>
                <c:pt idx="131">
                  <c:v>45917</c:v>
                </c:pt>
                <c:pt idx="132">
                  <c:v>45916</c:v>
                </c:pt>
                <c:pt idx="133">
                  <c:v>45915</c:v>
                </c:pt>
                <c:pt idx="134">
                  <c:v>45912</c:v>
                </c:pt>
                <c:pt idx="135">
                  <c:v>45911</c:v>
                </c:pt>
                <c:pt idx="136">
                  <c:v>45910</c:v>
                </c:pt>
                <c:pt idx="137">
                  <c:v>45909</c:v>
                </c:pt>
                <c:pt idx="138">
                  <c:v>45908</c:v>
                </c:pt>
                <c:pt idx="139">
                  <c:v>45905</c:v>
                </c:pt>
                <c:pt idx="140">
                  <c:v>45904</c:v>
                </c:pt>
                <c:pt idx="141">
                  <c:v>45903</c:v>
                </c:pt>
                <c:pt idx="142">
                  <c:v>45902</c:v>
                </c:pt>
                <c:pt idx="143">
                  <c:v>45901</c:v>
                </c:pt>
                <c:pt idx="144">
                  <c:v>45898</c:v>
                </c:pt>
                <c:pt idx="145">
                  <c:v>45897</c:v>
                </c:pt>
                <c:pt idx="146">
                  <c:v>45895</c:v>
                </c:pt>
                <c:pt idx="147">
                  <c:v>45894</c:v>
                </c:pt>
                <c:pt idx="148">
                  <c:v>45891</c:v>
                </c:pt>
                <c:pt idx="149">
                  <c:v>45890</c:v>
                </c:pt>
                <c:pt idx="150">
                  <c:v>45889</c:v>
                </c:pt>
                <c:pt idx="151">
                  <c:v>45888</c:v>
                </c:pt>
                <c:pt idx="152">
                  <c:v>45887</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45777</c:v>
                </c:pt>
                <c:pt idx="229">
                  <c:v>45776</c:v>
                </c:pt>
                <c:pt idx="230">
                  <c:v>45775</c:v>
                </c:pt>
                <c:pt idx="231">
                  <c:v>45772</c:v>
                </c:pt>
                <c:pt idx="232">
                  <c:v>45771</c:v>
                </c:pt>
                <c:pt idx="233">
                  <c:v>45770</c:v>
                </c:pt>
                <c:pt idx="234">
                  <c:v>45769</c:v>
                </c:pt>
                <c:pt idx="235">
                  <c:v>45768</c:v>
                </c:pt>
                <c:pt idx="236">
                  <c:v>45764</c:v>
                </c:pt>
                <c:pt idx="237">
                  <c:v>45763</c:v>
                </c:pt>
                <c:pt idx="238">
                  <c:v>45762</c:v>
                </c:pt>
                <c:pt idx="239">
                  <c:v>45758</c:v>
                </c:pt>
                <c:pt idx="240">
                  <c:v>45756</c:v>
                </c:pt>
                <c:pt idx="241">
                  <c:v>45755</c:v>
                </c:pt>
                <c:pt idx="242">
                  <c:v>45754</c:v>
                </c:pt>
                <c:pt idx="243">
                  <c:v>45751</c:v>
                </c:pt>
                <c:pt idx="244">
                  <c:v>45750</c:v>
                </c:pt>
                <c:pt idx="245">
                  <c:v>45749</c:v>
                </c:pt>
                <c:pt idx="246">
                  <c:v>45748</c:v>
                </c:pt>
                <c:pt idx="247">
                  <c:v>45744</c:v>
                </c:pt>
                <c:pt idx="248">
                  <c:v>45743</c:v>
                </c:pt>
                <c:pt idx="249">
                  <c:v>45742</c:v>
                </c:pt>
                <c:pt idx="250">
                  <c:v>45741</c:v>
                </c:pt>
                <c:pt idx="251">
                  <c:v>45740</c:v>
                </c:pt>
                <c:pt idx="252">
                  <c:v>45737</c:v>
                </c:pt>
                <c:pt idx="253">
                  <c:v>45736</c:v>
                </c:pt>
                <c:pt idx="254">
                  <c:v>45735</c:v>
                </c:pt>
                <c:pt idx="255">
                  <c:v>45734</c:v>
                </c:pt>
                <c:pt idx="256">
                  <c:v>45733</c:v>
                </c:pt>
                <c:pt idx="257">
                  <c:v>45729</c:v>
                </c:pt>
                <c:pt idx="258">
                  <c:v>45728</c:v>
                </c:pt>
                <c:pt idx="259">
                  <c:v>45727</c:v>
                </c:pt>
                <c:pt idx="260">
                  <c:v>45726</c:v>
                </c:pt>
                <c:pt idx="261">
                  <c:v>45723</c:v>
                </c:pt>
                <c:pt idx="262">
                  <c:v>45722</c:v>
                </c:pt>
                <c:pt idx="263">
                  <c:v>45721</c:v>
                </c:pt>
                <c:pt idx="264">
                  <c:v>45720</c:v>
                </c:pt>
                <c:pt idx="265">
                  <c:v>45719</c:v>
                </c:pt>
                <c:pt idx="266">
                  <c:v>45716</c:v>
                </c:pt>
                <c:pt idx="267">
                  <c:v>45715</c:v>
                </c:pt>
                <c:pt idx="268">
                  <c:v>45713</c:v>
                </c:pt>
                <c:pt idx="269">
                  <c:v>45712</c:v>
                </c:pt>
                <c:pt idx="270">
                  <c:v>45709</c:v>
                </c:pt>
                <c:pt idx="271">
                  <c:v>45708</c:v>
                </c:pt>
                <c:pt idx="272">
                  <c:v>45707</c:v>
                </c:pt>
                <c:pt idx="273">
                  <c:v>45706</c:v>
                </c:pt>
                <c:pt idx="274">
                  <c:v>45705</c:v>
                </c:pt>
                <c:pt idx="275">
                  <c:v>45702</c:v>
                </c:pt>
                <c:pt idx="276">
                  <c:v>45701</c:v>
                </c:pt>
                <c:pt idx="277">
                  <c:v>45700</c:v>
                </c:pt>
                <c:pt idx="278">
                  <c:v>45699</c:v>
                </c:pt>
                <c:pt idx="279">
                  <c:v>45698</c:v>
                </c:pt>
                <c:pt idx="280">
                  <c:v>45695</c:v>
                </c:pt>
                <c:pt idx="281">
                  <c:v>45694</c:v>
                </c:pt>
                <c:pt idx="282">
                  <c:v>45693</c:v>
                </c:pt>
                <c:pt idx="283">
                  <c:v>45692</c:v>
                </c:pt>
                <c:pt idx="284">
                  <c:v>45691</c:v>
                </c:pt>
                <c:pt idx="285">
                  <c:v>45689</c:v>
                </c:pt>
                <c:pt idx="286">
                  <c:v>45688</c:v>
                </c:pt>
                <c:pt idx="287">
                  <c:v>45687</c:v>
                </c:pt>
                <c:pt idx="288">
                  <c:v>45686</c:v>
                </c:pt>
                <c:pt idx="289">
                  <c:v>45685</c:v>
                </c:pt>
                <c:pt idx="290">
                  <c:v>45684</c:v>
                </c:pt>
                <c:pt idx="291">
                  <c:v>45681</c:v>
                </c:pt>
                <c:pt idx="292">
                  <c:v>45680</c:v>
                </c:pt>
                <c:pt idx="293">
                  <c:v>45679</c:v>
                </c:pt>
                <c:pt idx="294">
                  <c:v>45678</c:v>
                </c:pt>
                <c:pt idx="295">
                  <c:v>45677</c:v>
                </c:pt>
                <c:pt idx="296">
                  <c:v>45674</c:v>
                </c:pt>
                <c:pt idx="297">
                  <c:v>45673</c:v>
                </c:pt>
                <c:pt idx="298">
                  <c:v>45672</c:v>
                </c:pt>
                <c:pt idx="299">
                  <c:v>45671</c:v>
                </c:pt>
                <c:pt idx="300">
                  <c:v>45670</c:v>
                </c:pt>
                <c:pt idx="301">
                  <c:v>45667</c:v>
                </c:pt>
                <c:pt idx="302">
                  <c:v>45666</c:v>
                </c:pt>
                <c:pt idx="303">
                  <c:v>45665</c:v>
                </c:pt>
                <c:pt idx="304">
                  <c:v>45664</c:v>
                </c:pt>
                <c:pt idx="305">
                  <c:v>45663</c:v>
                </c:pt>
                <c:pt idx="306">
                  <c:v>45660</c:v>
                </c:pt>
                <c:pt idx="307">
                  <c:v>45659</c:v>
                </c:pt>
                <c:pt idx="308">
                  <c:v>45658</c:v>
                </c:pt>
                <c:pt idx="309">
                  <c:v>45657</c:v>
                </c:pt>
                <c:pt idx="310">
                  <c:v>45656</c:v>
                </c:pt>
                <c:pt idx="311">
                  <c:v>45653</c:v>
                </c:pt>
                <c:pt idx="312">
                  <c:v>45652</c:v>
                </c:pt>
                <c:pt idx="313">
                  <c:v>45650</c:v>
                </c:pt>
                <c:pt idx="314">
                  <c:v>45649</c:v>
                </c:pt>
                <c:pt idx="315">
                  <c:v>45646</c:v>
                </c:pt>
                <c:pt idx="316">
                  <c:v>45645</c:v>
                </c:pt>
                <c:pt idx="317">
                  <c:v>45644</c:v>
                </c:pt>
                <c:pt idx="318">
                  <c:v>45643</c:v>
                </c:pt>
                <c:pt idx="319">
                  <c:v>45642</c:v>
                </c:pt>
                <c:pt idx="320">
                  <c:v>45639</c:v>
                </c:pt>
                <c:pt idx="321">
                  <c:v>45638</c:v>
                </c:pt>
                <c:pt idx="322">
                  <c:v>45637</c:v>
                </c:pt>
                <c:pt idx="323">
                  <c:v>45636</c:v>
                </c:pt>
                <c:pt idx="324">
                  <c:v>45635</c:v>
                </c:pt>
                <c:pt idx="325">
                  <c:v>45632</c:v>
                </c:pt>
                <c:pt idx="326">
                  <c:v>45631</c:v>
                </c:pt>
                <c:pt idx="327">
                  <c:v>45630</c:v>
                </c:pt>
                <c:pt idx="328">
                  <c:v>45629</c:v>
                </c:pt>
                <c:pt idx="329">
                  <c:v>45628</c:v>
                </c:pt>
                <c:pt idx="330">
                  <c:v>45625</c:v>
                </c:pt>
                <c:pt idx="331">
                  <c:v>45624</c:v>
                </c:pt>
                <c:pt idx="332">
                  <c:v>45623</c:v>
                </c:pt>
                <c:pt idx="333">
                  <c:v>45622</c:v>
                </c:pt>
                <c:pt idx="334">
                  <c:v>45621</c:v>
                </c:pt>
                <c:pt idx="335">
                  <c:v>45618</c:v>
                </c:pt>
                <c:pt idx="336">
                  <c:v>45617</c:v>
                </c:pt>
                <c:pt idx="337">
                  <c:v>45615</c:v>
                </c:pt>
                <c:pt idx="338">
                  <c:v>45614</c:v>
                </c:pt>
                <c:pt idx="339">
                  <c:v>45610</c:v>
                </c:pt>
                <c:pt idx="340">
                  <c:v>45609</c:v>
                </c:pt>
                <c:pt idx="341">
                  <c:v>45608</c:v>
                </c:pt>
                <c:pt idx="342">
                  <c:v>45607</c:v>
                </c:pt>
                <c:pt idx="343">
                  <c:v>45604</c:v>
                </c:pt>
                <c:pt idx="344">
                  <c:v>45603</c:v>
                </c:pt>
                <c:pt idx="345">
                  <c:v>45602</c:v>
                </c:pt>
                <c:pt idx="346">
                  <c:v>45601</c:v>
                </c:pt>
                <c:pt idx="347">
                  <c:v>45600</c:v>
                </c:pt>
                <c:pt idx="348">
                  <c:v>45597</c:v>
                </c:pt>
                <c:pt idx="349">
                  <c:v>45596</c:v>
                </c:pt>
                <c:pt idx="350">
                  <c:v>45595</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45531</c:v>
                </c:pt>
                <c:pt idx="396">
                  <c:v>45530</c:v>
                </c:pt>
                <c:pt idx="397">
                  <c:v>45527</c:v>
                </c:pt>
                <c:pt idx="398">
                  <c:v>45526</c:v>
                </c:pt>
                <c:pt idx="399">
                  <c:v>45525</c:v>
                </c:pt>
                <c:pt idx="400">
                  <c:v>45524</c:v>
                </c:pt>
                <c:pt idx="401">
                  <c:v>45523</c:v>
                </c:pt>
                <c:pt idx="402">
                  <c:v>45520</c:v>
                </c:pt>
                <c:pt idx="403">
                  <c:v>45518</c:v>
                </c:pt>
                <c:pt idx="404">
                  <c:v>45517</c:v>
                </c:pt>
                <c:pt idx="405">
                  <c:v>45516</c:v>
                </c:pt>
                <c:pt idx="406">
                  <c:v>45513</c:v>
                </c:pt>
                <c:pt idx="407">
                  <c:v>45512</c:v>
                </c:pt>
                <c:pt idx="408">
                  <c:v>45511</c:v>
                </c:pt>
                <c:pt idx="409">
                  <c:v>45510</c:v>
                </c:pt>
                <c:pt idx="410">
                  <c:v>45509</c:v>
                </c:pt>
                <c:pt idx="411">
                  <c:v>45506</c:v>
                </c:pt>
                <c:pt idx="412">
                  <c:v>45505</c:v>
                </c:pt>
                <c:pt idx="413">
                  <c:v>45504</c:v>
                </c:pt>
                <c:pt idx="414">
                  <c:v>45503</c:v>
                </c:pt>
                <c:pt idx="415">
                  <c:v>45502</c:v>
                </c:pt>
                <c:pt idx="416">
                  <c:v>45499</c:v>
                </c:pt>
                <c:pt idx="417">
                  <c:v>45498</c:v>
                </c:pt>
                <c:pt idx="418">
                  <c:v>45497</c:v>
                </c:pt>
                <c:pt idx="419">
                  <c:v>45496</c:v>
                </c:pt>
                <c:pt idx="420">
                  <c:v>45495</c:v>
                </c:pt>
                <c:pt idx="421">
                  <c:v>45492</c:v>
                </c:pt>
                <c:pt idx="422">
                  <c:v>45491</c:v>
                </c:pt>
                <c:pt idx="423">
                  <c:v>45489</c:v>
                </c:pt>
                <c:pt idx="424">
                  <c:v>45488</c:v>
                </c:pt>
                <c:pt idx="425">
                  <c:v>45485</c:v>
                </c:pt>
                <c:pt idx="426">
                  <c:v>45484</c:v>
                </c:pt>
                <c:pt idx="427">
                  <c:v>45483</c:v>
                </c:pt>
                <c:pt idx="428">
                  <c:v>45482</c:v>
                </c:pt>
                <c:pt idx="429">
                  <c:v>45481</c:v>
                </c:pt>
                <c:pt idx="430">
                  <c:v>45478</c:v>
                </c:pt>
                <c:pt idx="431">
                  <c:v>45477</c:v>
                </c:pt>
                <c:pt idx="432">
                  <c:v>45476</c:v>
                </c:pt>
                <c:pt idx="433">
                  <c:v>45475</c:v>
                </c:pt>
                <c:pt idx="434">
                  <c:v>45474</c:v>
                </c:pt>
                <c:pt idx="435">
                  <c:v>45471</c:v>
                </c:pt>
                <c:pt idx="436">
                  <c:v>45470</c:v>
                </c:pt>
                <c:pt idx="437">
                  <c:v>45469</c:v>
                </c:pt>
                <c:pt idx="438">
                  <c:v>45468</c:v>
                </c:pt>
                <c:pt idx="439">
                  <c:v>45467</c:v>
                </c:pt>
                <c:pt idx="440">
                  <c:v>45464</c:v>
                </c:pt>
                <c:pt idx="441">
                  <c:v>45463</c:v>
                </c:pt>
                <c:pt idx="442">
                  <c:v>45462</c:v>
                </c:pt>
                <c:pt idx="443">
                  <c:v>45461</c:v>
                </c:pt>
                <c:pt idx="444">
                  <c:v>45457</c:v>
                </c:pt>
                <c:pt idx="445">
                  <c:v>45456</c:v>
                </c:pt>
                <c:pt idx="446">
                  <c:v>45455</c:v>
                </c:pt>
                <c:pt idx="447">
                  <c:v>45454</c:v>
                </c:pt>
                <c:pt idx="448">
                  <c:v>45453</c:v>
                </c:pt>
                <c:pt idx="449">
                  <c:v>45450</c:v>
                </c:pt>
                <c:pt idx="450">
                  <c:v>45449</c:v>
                </c:pt>
                <c:pt idx="451">
                  <c:v>45448</c:v>
                </c:pt>
                <c:pt idx="452">
                  <c:v>45447</c:v>
                </c:pt>
                <c:pt idx="453">
                  <c:v>45446</c:v>
                </c:pt>
                <c:pt idx="454">
                  <c:v>45443</c:v>
                </c:pt>
                <c:pt idx="455">
                  <c:v>45442</c:v>
                </c:pt>
                <c:pt idx="456">
                  <c:v>45441</c:v>
                </c:pt>
                <c:pt idx="457">
                  <c:v>45440</c:v>
                </c:pt>
                <c:pt idx="458">
                  <c:v>45439</c:v>
                </c:pt>
                <c:pt idx="459">
                  <c:v>45436</c:v>
                </c:pt>
                <c:pt idx="460">
                  <c:v>45435</c:v>
                </c:pt>
                <c:pt idx="461">
                  <c:v>45434</c:v>
                </c:pt>
                <c:pt idx="462">
                  <c:v>45433</c:v>
                </c:pt>
                <c:pt idx="463">
                  <c:v>45430</c:v>
                </c:pt>
                <c:pt idx="464">
                  <c:v>45429</c:v>
                </c:pt>
                <c:pt idx="465">
                  <c:v>45428</c:v>
                </c:pt>
                <c:pt idx="466">
                  <c:v>45427</c:v>
                </c:pt>
                <c:pt idx="467">
                  <c:v>45426</c:v>
                </c:pt>
                <c:pt idx="468">
                  <c:v>45425</c:v>
                </c:pt>
                <c:pt idx="469">
                  <c:v>45422</c:v>
                </c:pt>
                <c:pt idx="470">
                  <c:v>45421</c:v>
                </c:pt>
                <c:pt idx="471">
                  <c:v>45420</c:v>
                </c:pt>
                <c:pt idx="472">
                  <c:v>45419</c:v>
                </c:pt>
                <c:pt idx="473">
                  <c:v>45418</c:v>
                </c:pt>
                <c:pt idx="474">
                  <c:v>45415</c:v>
                </c:pt>
                <c:pt idx="475">
                  <c:v>45414</c:v>
                </c:pt>
                <c:pt idx="476">
                  <c:v>45412</c:v>
                </c:pt>
                <c:pt idx="477">
                  <c:v>45411</c:v>
                </c:pt>
                <c:pt idx="478">
                  <c:v>45408</c:v>
                </c:pt>
                <c:pt idx="479">
                  <c:v>45407</c:v>
                </c:pt>
                <c:pt idx="480">
                  <c:v>45406</c:v>
                </c:pt>
                <c:pt idx="481">
                  <c:v>45405</c:v>
                </c:pt>
                <c:pt idx="482">
                  <c:v>45404</c:v>
                </c:pt>
                <c:pt idx="483">
                  <c:v>45401</c:v>
                </c:pt>
                <c:pt idx="484">
                  <c:v>45400</c:v>
                </c:pt>
                <c:pt idx="485">
                  <c:v>45398</c:v>
                </c:pt>
                <c:pt idx="486">
                  <c:v>45397</c:v>
                </c:pt>
                <c:pt idx="487">
                  <c:v>45394</c:v>
                </c:pt>
                <c:pt idx="488">
                  <c:v>45392</c:v>
                </c:pt>
                <c:pt idx="489">
                  <c:v>45391</c:v>
                </c:pt>
                <c:pt idx="490">
                  <c:v>45390</c:v>
                </c:pt>
                <c:pt idx="491">
                  <c:v>45387</c:v>
                </c:pt>
                <c:pt idx="492">
                  <c:v>45386</c:v>
                </c:pt>
                <c:pt idx="493">
                  <c:v>45385</c:v>
                </c:pt>
                <c:pt idx="494">
                  <c:v>45384</c:v>
                </c:pt>
                <c:pt idx="495">
                  <c:v>45383</c:v>
                </c:pt>
                <c:pt idx="496">
                  <c:v>45379</c:v>
                </c:pt>
                <c:pt idx="497">
                  <c:v>45378</c:v>
                </c:pt>
                <c:pt idx="498">
                  <c:v>45377</c:v>
                </c:pt>
                <c:pt idx="499">
                  <c:v>45373</c:v>
                </c:pt>
                <c:pt idx="500">
                  <c:v>45372</c:v>
                </c:pt>
                <c:pt idx="501">
                  <c:v>45371</c:v>
                </c:pt>
                <c:pt idx="502">
                  <c:v>45370</c:v>
                </c:pt>
                <c:pt idx="503">
                  <c:v>45369</c:v>
                </c:pt>
                <c:pt idx="504">
                  <c:v>45366</c:v>
                </c:pt>
                <c:pt idx="505">
                  <c:v>45365</c:v>
                </c:pt>
                <c:pt idx="506">
                  <c:v>45364</c:v>
                </c:pt>
                <c:pt idx="507">
                  <c:v>45363</c:v>
                </c:pt>
                <c:pt idx="508">
                  <c:v>45362</c:v>
                </c:pt>
                <c:pt idx="509">
                  <c:v>45358</c:v>
                </c:pt>
                <c:pt idx="510">
                  <c:v>45357</c:v>
                </c:pt>
                <c:pt idx="511">
                  <c:v>45356</c:v>
                </c:pt>
                <c:pt idx="512">
                  <c:v>45355</c:v>
                </c:pt>
                <c:pt idx="513">
                  <c:v>45353</c:v>
                </c:pt>
                <c:pt idx="514">
                  <c:v>45352</c:v>
                </c:pt>
                <c:pt idx="515">
                  <c:v>45351</c:v>
                </c:pt>
                <c:pt idx="516">
                  <c:v>45350</c:v>
                </c:pt>
                <c:pt idx="517">
                  <c:v>45349</c:v>
                </c:pt>
                <c:pt idx="518">
                  <c:v>45348</c:v>
                </c:pt>
                <c:pt idx="519">
                  <c:v>45345</c:v>
                </c:pt>
                <c:pt idx="520">
                  <c:v>45344</c:v>
                </c:pt>
                <c:pt idx="521">
                  <c:v>45343</c:v>
                </c:pt>
                <c:pt idx="522">
                  <c:v>45342</c:v>
                </c:pt>
                <c:pt idx="523">
                  <c:v>45341</c:v>
                </c:pt>
                <c:pt idx="524">
                  <c:v>45338</c:v>
                </c:pt>
                <c:pt idx="525">
                  <c:v>45337</c:v>
                </c:pt>
                <c:pt idx="526">
                  <c:v>45336</c:v>
                </c:pt>
                <c:pt idx="527">
                  <c:v>45335</c:v>
                </c:pt>
                <c:pt idx="528">
                  <c:v>45334</c:v>
                </c:pt>
                <c:pt idx="529">
                  <c:v>45331</c:v>
                </c:pt>
                <c:pt idx="530">
                  <c:v>45330</c:v>
                </c:pt>
                <c:pt idx="531">
                  <c:v>45329</c:v>
                </c:pt>
                <c:pt idx="532">
                  <c:v>45328</c:v>
                </c:pt>
                <c:pt idx="533">
                  <c:v>45327</c:v>
                </c:pt>
                <c:pt idx="534">
                  <c:v>45324</c:v>
                </c:pt>
                <c:pt idx="535">
                  <c:v>45323</c:v>
                </c:pt>
                <c:pt idx="536">
                  <c:v>45322</c:v>
                </c:pt>
                <c:pt idx="537">
                  <c:v>45321</c:v>
                </c:pt>
                <c:pt idx="538">
                  <c:v>45320</c:v>
                </c:pt>
                <c:pt idx="539">
                  <c:v>45316</c:v>
                </c:pt>
                <c:pt idx="540">
                  <c:v>45315</c:v>
                </c:pt>
                <c:pt idx="541">
                  <c:v>45314</c:v>
                </c:pt>
                <c:pt idx="542">
                  <c:v>45311</c:v>
                </c:pt>
                <c:pt idx="543">
                  <c:v>45310</c:v>
                </c:pt>
                <c:pt idx="544">
                  <c:v>45309</c:v>
                </c:pt>
                <c:pt idx="545">
                  <c:v>45308</c:v>
                </c:pt>
                <c:pt idx="546">
                  <c:v>45307</c:v>
                </c:pt>
                <c:pt idx="547">
                  <c:v>45306</c:v>
                </c:pt>
                <c:pt idx="548">
                  <c:v>45303</c:v>
                </c:pt>
                <c:pt idx="549">
                  <c:v>45302</c:v>
                </c:pt>
                <c:pt idx="550">
                  <c:v>45301</c:v>
                </c:pt>
                <c:pt idx="551">
                  <c:v>45300</c:v>
                </c:pt>
                <c:pt idx="552">
                  <c:v>45299</c:v>
                </c:pt>
                <c:pt idx="553">
                  <c:v>45296</c:v>
                </c:pt>
                <c:pt idx="554">
                  <c:v>45295</c:v>
                </c:pt>
                <c:pt idx="555">
                  <c:v>45294</c:v>
                </c:pt>
                <c:pt idx="556">
                  <c:v>45293</c:v>
                </c:pt>
                <c:pt idx="557">
                  <c:v>45292</c:v>
                </c:pt>
                <c:pt idx="558">
                  <c:v>45289</c:v>
                </c:pt>
                <c:pt idx="559">
                  <c:v>45288</c:v>
                </c:pt>
                <c:pt idx="560">
                  <c:v>45287</c:v>
                </c:pt>
                <c:pt idx="561">
                  <c:v>45286</c:v>
                </c:pt>
                <c:pt idx="562">
                  <c:v>45282</c:v>
                </c:pt>
                <c:pt idx="563">
                  <c:v>45281</c:v>
                </c:pt>
                <c:pt idx="564">
                  <c:v>45280</c:v>
                </c:pt>
                <c:pt idx="565">
                  <c:v>45279</c:v>
                </c:pt>
                <c:pt idx="566">
                  <c:v>45278</c:v>
                </c:pt>
                <c:pt idx="567">
                  <c:v>45275</c:v>
                </c:pt>
                <c:pt idx="568">
                  <c:v>45274</c:v>
                </c:pt>
                <c:pt idx="569">
                  <c:v>45273</c:v>
                </c:pt>
                <c:pt idx="570">
                  <c:v>45272</c:v>
                </c:pt>
                <c:pt idx="571">
                  <c:v>45271</c:v>
                </c:pt>
                <c:pt idx="572">
                  <c:v>45268</c:v>
                </c:pt>
                <c:pt idx="573">
                  <c:v>45267</c:v>
                </c:pt>
                <c:pt idx="574">
                  <c:v>45266</c:v>
                </c:pt>
                <c:pt idx="575">
                  <c:v>45265</c:v>
                </c:pt>
                <c:pt idx="576">
                  <c:v>45264</c:v>
                </c:pt>
                <c:pt idx="577">
                  <c:v>45261</c:v>
                </c:pt>
                <c:pt idx="578">
                  <c:v>45260</c:v>
                </c:pt>
                <c:pt idx="579">
                  <c:v>45259</c:v>
                </c:pt>
                <c:pt idx="580">
                  <c:v>45258</c:v>
                </c:pt>
                <c:pt idx="581">
                  <c:v>45254</c:v>
                </c:pt>
                <c:pt idx="582">
                  <c:v>45253</c:v>
                </c:pt>
                <c:pt idx="583">
                  <c:v>45252</c:v>
                </c:pt>
                <c:pt idx="584">
                  <c:v>45251</c:v>
                </c:pt>
                <c:pt idx="585">
                  <c:v>45250</c:v>
                </c:pt>
                <c:pt idx="586">
                  <c:v>45247</c:v>
                </c:pt>
                <c:pt idx="587">
                  <c:v>45246</c:v>
                </c:pt>
                <c:pt idx="588">
                  <c:v>45245</c:v>
                </c:pt>
                <c:pt idx="589">
                  <c:v>45243</c:v>
                </c:pt>
                <c:pt idx="590">
                  <c:v>45242</c:v>
                </c:pt>
                <c:pt idx="591">
                  <c:v>45240</c:v>
                </c:pt>
                <c:pt idx="592">
                  <c:v>45239</c:v>
                </c:pt>
                <c:pt idx="593">
                  <c:v>45238</c:v>
                </c:pt>
                <c:pt idx="594">
                  <c:v>45237</c:v>
                </c:pt>
                <c:pt idx="595">
                  <c:v>45236</c:v>
                </c:pt>
                <c:pt idx="596">
                  <c:v>45233</c:v>
                </c:pt>
                <c:pt idx="597">
                  <c:v>45232</c:v>
                </c:pt>
                <c:pt idx="598">
                  <c:v>45231</c:v>
                </c:pt>
                <c:pt idx="599">
                  <c:v>45230</c:v>
                </c:pt>
                <c:pt idx="600">
                  <c:v>45229</c:v>
                </c:pt>
                <c:pt idx="601">
                  <c:v>45226</c:v>
                </c:pt>
                <c:pt idx="602">
                  <c:v>45225</c:v>
                </c:pt>
                <c:pt idx="603">
                  <c:v>45224</c:v>
                </c:pt>
                <c:pt idx="604">
                  <c:v>45222</c:v>
                </c:pt>
                <c:pt idx="605">
                  <c:v>45219</c:v>
                </c:pt>
                <c:pt idx="606">
                  <c:v>45218</c:v>
                </c:pt>
                <c:pt idx="607">
                  <c:v>45217</c:v>
                </c:pt>
                <c:pt idx="608">
                  <c:v>45216</c:v>
                </c:pt>
                <c:pt idx="609">
                  <c:v>45215</c:v>
                </c:pt>
                <c:pt idx="610">
                  <c:v>45212</c:v>
                </c:pt>
                <c:pt idx="611">
                  <c:v>45211</c:v>
                </c:pt>
                <c:pt idx="612">
                  <c:v>45210</c:v>
                </c:pt>
                <c:pt idx="613">
                  <c:v>45209</c:v>
                </c:pt>
                <c:pt idx="614">
                  <c:v>45208</c:v>
                </c:pt>
                <c:pt idx="615">
                  <c:v>45205</c:v>
                </c:pt>
                <c:pt idx="616">
                  <c:v>45204</c:v>
                </c:pt>
                <c:pt idx="617">
                  <c:v>45203</c:v>
                </c:pt>
                <c:pt idx="618">
                  <c:v>45202</c:v>
                </c:pt>
                <c:pt idx="619">
                  <c:v>45198</c:v>
                </c:pt>
                <c:pt idx="620">
                  <c:v>45197</c:v>
                </c:pt>
                <c:pt idx="621">
                  <c:v>45196</c:v>
                </c:pt>
                <c:pt idx="622">
                  <c:v>45195</c:v>
                </c:pt>
                <c:pt idx="623">
                  <c:v>45194</c:v>
                </c:pt>
                <c:pt idx="624">
                  <c:v>45191</c:v>
                </c:pt>
                <c:pt idx="625">
                  <c:v>45190</c:v>
                </c:pt>
                <c:pt idx="626">
                  <c:v>45189</c:v>
                </c:pt>
                <c:pt idx="627">
                  <c:v>45187</c:v>
                </c:pt>
                <c:pt idx="628">
                  <c:v>45184</c:v>
                </c:pt>
                <c:pt idx="629">
                  <c:v>45183</c:v>
                </c:pt>
                <c:pt idx="630">
                  <c:v>45182</c:v>
                </c:pt>
                <c:pt idx="631">
                  <c:v>45181</c:v>
                </c:pt>
                <c:pt idx="632">
                  <c:v>45180</c:v>
                </c:pt>
                <c:pt idx="633">
                  <c:v>45177</c:v>
                </c:pt>
                <c:pt idx="634">
                  <c:v>45176</c:v>
                </c:pt>
                <c:pt idx="635">
                  <c:v>45175</c:v>
                </c:pt>
                <c:pt idx="636">
                  <c:v>45174</c:v>
                </c:pt>
                <c:pt idx="637">
                  <c:v>45173</c:v>
                </c:pt>
                <c:pt idx="638">
                  <c:v>45170</c:v>
                </c:pt>
                <c:pt idx="639">
                  <c:v>45169</c:v>
                </c:pt>
                <c:pt idx="640">
                  <c:v>45168</c:v>
                </c:pt>
                <c:pt idx="641">
                  <c:v>45167</c:v>
                </c:pt>
                <c:pt idx="642">
                  <c:v>45166</c:v>
                </c:pt>
                <c:pt idx="643">
                  <c:v>45163</c:v>
                </c:pt>
                <c:pt idx="644">
                  <c:v>45162</c:v>
                </c:pt>
                <c:pt idx="645">
                  <c:v>45161</c:v>
                </c:pt>
                <c:pt idx="646">
                  <c:v>45160</c:v>
                </c:pt>
                <c:pt idx="647">
                  <c:v>45159</c:v>
                </c:pt>
                <c:pt idx="648">
                  <c:v>45156</c:v>
                </c:pt>
                <c:pt idx="649">
                  <c:v>45155</c:v>
                </c:pt>
                <c:pt idx="650">
                  <c:v>45154</c:v>
                </c:pt>
                <c:pt idx="651">
                  <c:v>45152</c:v>
                </c:pt>
                <c:pt idx="652">
                  <c:v>45149</c:v>
                </c:pt>
                <c:pt idx="653">
                  <c:v>45148</c:v>
                </c:pt>
                <c:pt idx="654">
                  <c:v>45147</c:v>
                </c:pt>
                <c:pt idx="655">
                  <c:v>45146</c:v>
                </c:pt>
                <c:pt idx="656">
                  <c:v>45145</c:v>
                </c:pt>
                <c:pt idx="657">
                  <c:v>45142</c:v>
                </c:pt>
                <c:pt idx="658">
                  <c:v>45141</c:v>
                </c:pt>
                <c:pt idx="659">
                  <c:v>45140</c:v>
                </c:pt>
                <c:pt idx="660">
                  <c:v>45139</c:v>
                </c:pt>
                <c:pt idx="661">
                  <c:v>45138</c:v>
                </c:pt>
                <c:pt idx="662">
                  <c:v>45135</c:v>
                </c:pt>
                <c:pt idx="663">
                  <c:v>45134</c:v>
                </c:pt>
                <c:pt idx="664">
                  <c:v>45133</c:v>
                </c:pt>
                <c:pt idx="665">
                  <c:v>45132</c:v>
                </c:pt>
                <c:pt idx="666">
                  <c:v>45131</c:v>
                </c:pt>
                <c:pt idx="667">
                  <c:v>45128</c:v>
                </c:pt>
                <c:pt idx="668">
                  <c:v>45127</c:v>
                </c:pt>
                <c:pt idx="669">
                  <c:v>45126</c:v>
                </c:pt>
                <c:pt idx="670">
                  <c:v>45125</c:v>
                </c:pt>
                <c:pt idx="671">
                  <c:v>45124</c:v>
                </c:pt>
                <c:pt idx="672">
                  <c:v>45121</c:v>
                </c:pt>
                <c:pt idx="673">
                  <c:v>45120</c:v>
                </c:pt>
                <c:pt idx="674">
                  <c:v>45119</c:v>
                </c:pt>
                <c:pt idx="675">
                  <c:v>45118</c:v>
                </c:pt>
                <c:pt idx="676">
                  <c:v>45117</c:v>
                </c:pt>
                <c:pt idx="677">
                  <c:v>45114</c:v>
                </c:pt>
                <c:pt idx="678">
                  <c:v>45113</c:v>
                </c:pt>
                <c:pt idx="679">
                  <c:v>45112</c:v>
                </c:pt>
                <c:pt idx="680">
                  <c:v>45111</c:v>
                </c:pt>
                <c:pt idx="681">
                  <c:v>45110</c:v>
                </c:pt>
                <c:pt idx="682">
                  <c:v>45107</c:v>
                </c:pt>
                <c:pt idx="683">
                  <c:v>45105</c:v>
                </c:pt>
                <c:pt idx="684">
                  <c:v>45104</c:v>
                </c:pt>
                <c:pt idx="685">
                  <c:v>45103</c:v>
                </c:pt>
                <c:pt idx="686">
                  <c:v>45100</c:v>
                </c:pt>
                <c:pt idx="687">
                  <c:v>45099</c:v>
                </c:pt>
                <c:pt idx="688">
                  <c:v>45098</c:v>
                </c:pt>
                <c:pt idx="689">
                  <c:v>45097</c:v>
                </c:pt>
                <c:pt idx="690">
                  <c:v>45096</c:v>
                </c:pt>
                <c:pt idx="691">
                  <c:v>45093</c:v>
                </c:pt>
                <c:pt idx="692">
                  <c:v>45092</c:v>
                </c:pt>
                <c:pt idx="693">
                  <c:v>45091</c:v>
                </c:pt>
                <c:pt idx="694">
                  <c:v>45090</c:v>
                </c:pt>
                <c:pt idx="695">
                  <c:v>45089</c:v>
                </c:pt>
                <c:pt idx="696">
                  <c:v>45086</c:v>
                </c:pt>
                <c:pt idx="697">
                  <c:v>45085</c:v>
                </c:pt>
                <c:pt idx="698">
                  <c:v>45084</c:v>
                </c:pt>
                <c:pt idx="699">
                  <c:v>45083</c:v>
                </c:pt>
                <c:pt idx="700">
                  <c:v>45082</c:v>
                </c:pt>
                <c:pt idx="701">
                  <c:v>45079</c:v>
                </c:pt>
                <c:pt idx="702">
                  <c:v>45078</c:v>
                </c:pt>
                <c:pt idx="703">
                  <c:v>45077</c:v>
                </c:pt>
                <c:pt idx="704">
                  <c:v>45076</c:v>
                </c:pt>
                <c:pt idx="705">
                  <c:v>45075</c:v>
                </c:pt>
                <c:pt idx="706">
                  <c:v>45072</c:v>
                </c:pt>
                <c:pt idx="707">
                  <c:v>45071</c:v>
                </c:pt>
                <c:pt idx="708">
                  <c:v>45070</c:v>
                </c:pt>
                <c:pt idx="709">
                  <c:v>45069</c:v>
                </c:pt>
                <c:pt idx="710">
                  <c:v>45068</c:v>
                </c:pt>
                <c:pt idx="711">
                  <c:v>45065</c:v>
                </c:pt>
                <c:pt idx="712">
                  <c:v>45064</c:v>
                </c:pt>
                <c:pt idx="713">
                  <c:v>45063</c:v>
                </c:pt>
                <c:pt idx="714">
                  <c:v>45062</c:v>
                </c:pt>
                <c:pt idx="715">
                  <c:v>45061</c:v>
                </c:pt>
                <c:pt idx="716">
                  <c:v>45058</c:v>
                </c:pt>
                <c:pt idx="717">
                  <c:v>45057</c:v>
                </c:pt>
                <c:pt idx="718">
                  <c:v>45056</c:v>
                </c:pt>
                <c:pt idx="719">
                  <c:v>45055</c:v>
                </c:pt>
                <c:pt idx="720">
                  <c:v>45054</c:v>
                </c:pt>
                <c:pt idx="721">
                  <c:v>45051</c:v>
                </c:pt>
                <c:pt idx="722">
                  <c:v>45050</c:v>
                </c:pt>
                <c:pt idx="723">
                  <c:v>45049</c:v>
                </c:pt>
                <c:pt idx="724">
                  <c:v>45048</c:v>
                </c:pt>
                <c:pt idx="725">
                  <c:v>45044</c:v>
                </c:pt>
                <c:pt idx="726">
                  <c:v>45043</c:v>
                </c:pt>
                <c:pt idx="727">
                  <c:v>45042</c:v>
                </c:pt>
                <c:pt idx="728">
                  <c:v>45041</c:v>
                </c:pt>
                <c:pt idx="729">
                  <c:v>45040</c:v>
                </c:pt>
                <c:pt idx="730">
                  <c:v>45037</c:v>
                </c:pt>
                <c:pt idx="731">
                  <c:v>45036</c:v>
                </c:pt>
                <c:pt idx="732">
                  <c:v>45035</c:v>
                </c:pt>
                <c:pt idx="733">
                  <c:v>45034</c:v>
                </c:pt>
                <c:pt idx="734">
                  <c:v>45033</c:v>
                </c:pt>
                <c:pt idx="735">
                  <c:v>45029</c:v>
                </c:pt>
                <c:pt idx="736">
                  <c:v>45028</c:v>
                </c:pt>
                <c:pt idx="737">
                  <c:v>45027</c:v>
                </c:pt>
                <c:pt idx="738">
                  <c:v>45026</c:v>
                </c:pt>
                <c:pt idx="739">
                  <c:v>45022</c:v>
                </c:pt>
                <c:pt idx="740">
                  <c:v>45021</c:v>
                </c:pt>
                <c:pt idx="741">
                  <c:v>45019</c:v>
                </c:pt>
                <c:pt idx="742">
                  <c:v>45016</c:v>
                </c:pt>
                <c:pt idx="743">
                  <c:v>45014</c:v>
                </c:pt>
                <c:pt idx="744">
                  <c:v>45013</c:v>
                </c:pt>
                <c:pt idx="745">
                  <c:v>45012</c:v>
                </c:pt>
                <c:pt idx="746">
                  <c:v>45009</c:v>
                </c:pt>
                <c:pt idx="747">
                  <c:v>45008</c:v>
                </c:pt>
                <c:pt idx="748">
                  <c:v>45007</c:v>
                </c:pt>
                <c:pt idx="749">
                  <c:v>45006</c:v>
                </c:pt>
                <c:pt idx="750">
                  <c:v>45005</c:v>
                </c:pt>
                <c:pt idx="751">
                  <c:v>45002</c:v>
                </c:pt>
                <c:pt idx="752">
                  <c:v>45001</c:v>
                </c:pt>
                <c:pt idx="753">
                  <c:v>45000</c:v>
                </c:pt>
                <c:pt idx="754">
                  <c:v>44999</c:v>
                </c:pt>
                <c:pt idx="755">
                  <c:v>44998</c:v>
                </c:pt>
                <c:pt idx="756">
                  <c:v>44995</c:v>
                </c:pt>
                <c:pt idx="757">
                  <c:v>44994</c:v>
                </c:pt>
                <c:pt idx="758">
                  <c:v>44993</c:v>
                </c:pt>
                <c:pt idx="759">
                  <c:v>44991</c:v>
                </c:pt>
                <c:pt idx="760">
                  <c:v>44988</c:v>
                </c:pt>
                <c:pt idx="761">
                  <c:v>44987</c:v>
                </c:pt>
                <c:pt idx="762">
                  <c:v>44986</c:v>
                </c:pt>
                <c:pt idx="763">
                  <c:v>44985</c:v>
                </c:pt>
                <c:pt idx="764">
                  <c:v>44984</c:v>
                </c:pt>
                <c:pt idx="765">
                  <c:v>44981</c:v>
                </c:pt>
                <c:pt idx="766">
                  <c:v>44980</c:v>
                </c:pt>
                <c:pt idx="767">
                  <c:v>44979</c:v>
                </c:pt>
                <c:pt idx="768">
                  <c:v>44978</c:v>
                </c:pt>
                <c:pt idx="769">
                  <c:v>44977</c:v>
                </c:pt>
                <c:pt idx="770">
                  <c:v>44974</c:v>
                </c:pt>
                <c:pt idx="771">
                  <c:v>44973</c:v>
                </c:pt>
                <c:pt idx="772">
                  <c:v>44972</c:v>
                </c:pt>
                <c:pt idx="773">
                  <c:v>44971</c:v>
                </c:pt>
                <c:pt idx="774">
                  <c:v>44970</c:v>
                </c:pt>
                <c:pt idx="775">
                  <c:v>44967</c:v>
                </c:pt>
                <c:pt idx="776">
                  <c:v>44966</c:v>
                </c:pt>
                <c:pt idx="777">
                  <c:v>44965</c:v>
                </c:pt>
                <c:pt idx="778">
                  <c:v>44964</c:v>
                </c:pt>
                <c:pt idx="779">
                  <c:v>44963</c:v>
                </c:pt>
                <c:pt idx="780">
                  <c:v>44960</c:v>
                </c:pt>
                <c:pt idx="781">
                  <c:v>44959</c:v>
                </c:pt>
                <c:pt idx="782">
                  <c:v>44958</c:v>
                </c:pt>
                <c:pt idx="783">
                  <c:v>44957</c:v>
                </c:pt>
                <c:pt idx="784">
                  <c:v>44956</c:v>
                </c:pt>
                <c:pt idx="785">
                  <c:v>44953</c:v>
                </c:pt>
                <c:pt idx="786">
                  <c:v>44951</c:v>
                </c:pt>
                <c:pt idx="787">
                  <c:v>44950</c:v>
                </c:pt>
                <c:pt idx="788">
                  <c:v>44949</c:v>
                </c:pt>
                <c:pt idx="789">
                  <c:v>44946</c:v>
                </c:pt>
                <c:pt idx="790">
                  <c:v>44945</c:v>
                </c:pt>
                <c:pt idx="791">
                  <c:v>44944</c:v>
                </c:pt>
                <c:pt idx="792">
                  <c:v>44943</c:v>
                </c:pt>
                <c:pt idx="793">
                  <c:v>44942</c:v>
                </c:pt>
                <c:pt idx="794">
                  <c:v>44939</c:v>
                </c:pt>
                <c:pt idx="795">
                  <c:v>44938</c:v>
                </c:pt>
                <c:pt idx="796">
                  <c:v>44937</c:v>
                </c:pt>
                <c:pt idx="797">
                  <c:v>44936</c:v>
                </c:pt>
                <c:pt idx="798">
                  <c:v>44935</c:v>
                </c:pt>
                <c:pt idx="799">
                  <c:v>44932</c:v>
                </c:pt>
                <c:pt idx="800">
                  <c:v>44931</c:v>
                </c:pt>
                <c:pt idx="801">
                  <c:v>44930</c:v>
                </c:pt>
                <c:pt idx="802">
                  <c:v>44929</c:v>
                </c:pt>
                <c:pt idx="803">
                  <c:v>44928</c:v>
                </c:pt>
                <c:pt idx="804">
                  <c:v>44925</c:v>
                </c:pt>
                <c:pt idx="805">
                  <c:v>44924</c:v>
                </c:pt>
                <c:pt idx="806">
                  <c:v>44923</c:v>
                </c:pt>
                <c:pt idx="807">
                  <c:v>44922</c:v>
                </c:pt>
                <c:pt idx="808">
                  <c:v>44921</c:v>
                </c:pt>
                <c:pt idx="809">
                  <c:v>44918</c:v>
                </c:pt>
                <c:pt idx="810">
                  <c:v>44917</c:v>
                </c:pt>
                <c:pt idx="811">
                  <c:v>44916</c:v>
                </c:pt>
                <c:pt idx="812">
                  <c:v>44915</c:v>
                </c:pt>
                <c:pt idx="813">
                  <c:v>44914</c:v>
                </c:pt>
                <c:pt idx="814">
                  <c:v>44911</c:v>
                </c:pt>
                <c:pt idx="815">
                  <c:v>44910</c:v>
                </c:pt>
                <c:pt idx="816">
                  <c:v>44909</c:v>
                </c:pt>
                <c:pt idx="817">
                  <c:v>44908</c:v>
                </c:pt>
                <c:pt idx="818">
                  <c:v>44907</c:v>
                </c:pt>
                <c:pt idx="819">
                  <c:v>44904</c:v>
                </c:pt>
                <c:pt idx="820">
                  <c:v>44903</c:v>
                </c:pt>
                <c:pt idx="821">
                  <c:v>44902</c:v>
                </c:pt>
                <c:pt idx="822">
                  <c:v>44901</c:v>
                </c:pt>
                <c:pt idx="823">
                  <c:v>44900</c:v>
                </c:pt>
                <c:pt idx="824">
                  <c:v>44897</c:v>
                </c:pt>
                <c:pt idx="825">
                  <c:v>44896</c:v>
                </c:pt>
                <c:pt idx="826">
                  <c:v>44895</c:v>
                </c:pt>
                <c:pt idx="827">
                  <c:v>44894</c:v>
                </c:pt>
                <c:pt idx="828">
                  <c:v>44893</c:v>
                </c:pt>
                <c:pt idx="829">
                  <c:v>44890</c:v>
                </c:pt>
                <c:pt idx="830">
                  <c:v>44889</c:v>
                </c:pt>
                <c:pt idx="831">
                  <c:v>44888</c:v>
                </c:pt>
                <c:pt idx="832">
                  <c:v>44887</c:v>
                </c:pt>
                <c:pt idx="833">
                  <c:v>44886</c:v>
                </c:pt>
                <c:pt idx="834">
                  <c:v>44883</c:v>
                </c:pt>
                <c:pt idx="835">
                  <c:v>44882</c:v>
                </c:pt>
                <c:pt idx="836">
                  <c:v>44881</c:v>
                </c:pt>
                <c:pt idx="837">
                  <c:v>44880</c:v>
                </c:pt>
                <c:pt idx="838">
                  <c:v>44879</c:v>
                </c:pt>
                <c:pt idx="839">
                  <c:v>44876</c:v>
                </c:pt>
                <c:pt idx="840">
                  <c:v>44875</c:v>
                </c:pt>
                <c:pt idx="841">
                  <c:v>44874</c:v>
                </c:pt>
                <c:pt idx="842">
                  <c:v>44872</c:v>
                </c:pt>
                <c:pt idx="843">
                  <c:v>44869</c:v>
                </c:pt>
                <c:pt idx="844">
                  <c:v>44868</c:v>
                </c:pt>
                <c:pt idx="845">
                  <c:v>44867</c:v>
                </c:pt>
                <c:pt idx="846">
                  <c:v>44866</c:v>
                </c:pt>
                <c:pt idx="847">
                  <c:v>44865</c:v>
                </c:pt>
                <c:pt idx="848">
                  <c:v>44862</c:v>
                </c:pt>
                <c:pt idx="849">
                  <c:v>44861</c:v>
                </c:pt>
                <c:pt idx="850">
                  <c:v>44859</c:v>
                </c:pt>
                <c:pt idx="851">
                  <c:v>44858</c:v>
                </c:pt>
                <c:pt idx="852">
                  <c:v>44855</c:v>
                </c:pt>
                <c:pt idx="853">
                  <c:v>44854</c:v>
                </c:pt>
                <c:pt idx="854">
                  <c:v>44853</c:v>
                </c:pt>
                <c:pt idx="855">
                  <c:v>44852</c:v>
                </c:pt>
                <c:pt idx="856">
                  <c:v>44851</c:v>
                </c:pt>
                <c:pt idx="857">
                  <c:v>44848</c:v>
                </c:pt>
                <c:pt idx="858">
                  <c:v>44847</c:v>
                </c:pt>
                <c:pt idx="859">
                  <c:v>44846</c:v>
                </c:pt>
                <c:pt idx="860">
                  <c:v>44845</c:v>
                </c:pt>
                <c:pt idx="861">
                  <c:v>44844</c:v>
                </c:pt>
                <c:pt idx="862">
                  <c:v>44841</c:v>
                </c:pt>
                <c:pt idx="863">
                  <c:v>44840</c:v>
                </c:pt>
                <c:pt idx="864">
                  <c:v>44838</c:v>
                </c:pt>
                <c:pt idx="865">
                  <c:v>44837</c:v>
                </c:pt>
                <c:pt idx="866">
                  <c:v>44834</c:v>
                </c:pt>
                <c:pt idx="867">
                  <c:v>44833</c:v>
                </c:pt>
                <c:pt idx="868">
                  <c:v>44832</c:v>
                </c:pt>
                <c:pt idx="869">
                  <c:v>44831</c:v>
                </c:pt>
                <c:pt idx="870">
                  <c:v>44830</c:v>
                </c:pt>
                <c:pt idx="871">
                  <c:v>44827</c:v>
                </c:pt>
                <c:pt idx="872">
                  <c:v>44826</c:v>
                </c:pt>
                <c:pt idx="873">
                  <c:v>44825</c:v>
                </c:pt>
                <c:pt idx="874">
                  <c:v>44824</c:v>
                </c:pt>
                <c:pt idx="875">
                  <c:v>44823</c:v>
                </c:pt>
                <c:pt idx="876">
                  <c:v>44820</c:v>
                </c:pt>
                <c:pt idx="877">
                  <c:v>44819</c:v>
                </c:pt>
                <c:pt idx="878">
                  <c:v>44818</c:v>
                </c:pt>
                <c:pt idx="879">
                  <c:v>44817</c:v>
                </c:pt>
                <c:pt idx="880">
                  <c:v>44816</c:v>
                </c:pt>
                <c:pt idx="881">
                  <c:v>44813</c:v>
                </c:pt>
                <c:pt idx="882">
                  <c:v>44812</c:v>
                </c:pt>
                <c:pt idx="883">
                  <c:v>44811</c:v>
                </c:pt>
                <c:pt idx="884">
                  <c:v>44810</c:v>
                </c:pt>
                <c:pt idx="885">
                  <c:v>44809</c:v>
                </c:pt>
                <c:pt idx="886">
                  <c:v>44806</c:v>
                </c:pt>
                <c:pt idx="887">
                  <c:v>44805</c:v>
                </c:pt>
                <c:pt idx="888">
                  <c:v>44803</c:v>
                </c:pt>
                <c:pt idx="889">
                  <c:v>44802</c:v>
                </c:pt>
                <c:pt idx="890">
                  <c:v>44799</c:v>
                </c:pt>
                <c:pt idx="891">
                  <c:v>44798</c:v>
                </c:pt>
                <c:pt idx="892">
                  <c:v>44797</c:v>
                </c:pt>
                <c:pt idx="893">
                  <c:v>44796</c:v>
                </c:pt>
                <c:pt idx="894">
                  <c:v>44795</c:v>
                </c:pt>
                <c:pt idx="895">
                  <c:v>44792</c:v>
                </c:pt>
                <c:pt idx="896">
                  <c:v>44791</c:v>
                </c:pt>
                <c:pt idx="897">
                  <c:v>44790</c:v>
                </c:pt>
                <c:pt idx="898">
                  <c:v>44789</c:v>
                </c:pt>
                <c:pt idx="899">
                  <c:v>44785</c:v>
                </c:pt>
                <c:pt idx="900">
                  <c:v>44784</c:v>
                </c:pt>
                <c:pt idx="901">
                  <c:v>44783</c:v>
                </c:pt>
                <c:pt idx="902">
                  <c:v>44781</c:v>
                </c:pt>
                <c:pt idx="903">
                  <c:v>44778</c:v>
                </c:pt>
                <c:pt idx="904">
                  <c:v>44777</c:v>
                </c:pt>
                <c:pt idx="905">
                  <c:v>44776</c:v>
                </c:pt>
                <c:pt idx="906">
                  <c:v>44775</c:v>
                </c:pt>
                <c:pt idx="907">
                  <c:v>44774</c:v>
                </c:pt>
                <c:pt idx="908">
                  <c:v>44771</c:v>
                </c:pt>
                <c:pt idx="909">
                  <c:v>44770</c:v>
                </c:pt>
                <c:pt idx="910">
                  <c:v>44769</c:v>
                </c:pt>
                <c:pt idx="911">
                  <c:v>44768</c:v>
                </c:pt>
                <c:pt idx="912">
                  <c:v>44767</c:v>
                </c:pt>
                <c:pt idx="913">
                  <c:v>44764</c:v>
                </c:pt>
                <c:pt idx="914">
                  <c:v>44763</c:v>
                </c:pt>
                <c:pt idx="915">
                  <c:v>44762</c:v>
                </c:pt>
                <c:pt idx="916">
                  <c:v>44761</c:v>
                </c:pt>
                <c:pt idx="917">
                  <c:v>44760</c:v>
                </c:pt>
                <c:pt idx="918">
                  <c:v>44757</c:v>
                </c:pt>
                <c:pt idx="919">
                  <c:v>44756</c:v>
                </c:pt>
                <c:pt idx="920">
                  <c:v>44755</c:v>
                </c:pt>
                <c:pt idx="921">
                  <c:v>44754</c:v>
                </c:pt>
                <c:pt idx="922">
                  <c:v>44753</c:v>
                </c:pt>
                <c:pt idx="923">
                  <c:v>44750</c:v>
                </c:pt>
                <c:pt idx="924">
                  <c:v>44749</c:v>
                </c:pt>
                <c:pt idx="925">
                  <c:v>44748</c:v>
                </c:pt>
                <c:pt idx="926">
                  <c:v>44747</c:v>
                </c:pt>
                <c:pt idx="927">
                  <c:v>44746</c:v>
                </c:pt>
                <c:pt idx="928">
                  <c:v>44743</c:v>
                </c:pt>
                <c:pt idx="929">
                  <c:v>44742</c:v>
                </c:pt>
                <c:pt idx="930">
                  <c:v>44741</c:v>
                </c:pt>
                <c:pt idx="931">
                  <c:v>44740</c:v>
                </c:pt>
                <c:pt idx="932">
                  <c:v>44739</c:v>
                </c:pt>
                <c:pt idx="933">
                  <c:v>44736</c:v>
                </c:pt>
                <c:pt idx="934">
                  <c:v>44735</c:v>
                </c:pt>
                <c:pt idx="935">
                  <c:v>44734</c:v>
                </c:pt>
                <c:pt idx="936">
                  <c:v>44733</c:v>
                </c:pt>
                <c:pt idx="937">
                  <c:v>44732</c:v>
                </c:pt>
                <c:pt idx="938">
                  <c:v>44729</c:v>
                </c:pt>
                <c:pt idx="939">
                  <c:v>44728</c:v>
                </c:pt>
                <c:pt idx="940">
                  <c:v>44727</c:v>
                </c:pt>
                <c:pt idx="941">
                  <c:v>44726</c:v>
                </c:pt>
                <c:pt idx="942">
                  <c:v>44725</c:v>
                </c:pt>
                <c:pt idx="943">
                  <c:v>44722</c:v>
                </c:pt>
                <c:pt idx="944">
                  <c:v>44721</c:v>
                </c:pt>
                <c:pt idx="945">
                  <c:v>44720</c:v>
                </c:pt>
                <c:pt idx="946">
                  <c:v>44719</c:v>
                </c:pt>
                <c:pt idx="947">
                  <c:v>44718</c:v>
                </c:pt>
                <c:pt idx="948">
                  <c:v>44715</c:v>
                </c:pt>
                <c:pt idx="949">
                  <c:v>44714</c:v>
                </c:pt>
                <c:pt idx="950">
                  <c:v>44713</c:v>
                </c:pt>
                <c:pt idx="951">
                  <c:v>44712</c:v>
                </c:pt>
                <c:pt idx="952">
                  <c:v>44711</c:v>
                </c:pt>
                <c:pt idx="953">
                  <c:v>44708</c:v>
                </c:pt>
                <c:pt idx="954">
                  <c:v>44707</c:v>
                </c:pt>
                <c:pt idx="955">
                  <c:v>44706</c:v>
                </c:pt>
                <c:pt idx="956">
                  <c:v>44705</c:v>
                </c:pt>
                <c:pt idx="957">
                  <c:v>44704</c:v>
                </c:pt>
                <c:pt idx="958">
                  <c:v>44701</c:v>
                </c:pt>
                <c:pt idx="959">
                  <c:v>44700</c:v>
                </c:pt>
                <c:pt idx="960">
                  <c:v>44699</c:v>
                </c:pt>
                <c:pt idx="961">
                  <c:v>44698</c:v>
                </c:pt>
                <c:pt idx="962">
                  <c:v>44697</c:v>
                </c:pt>
                <c:pt idx="963">
                  <c:v>44694</c:v>
                </c:pt>
                <c:pt idx="964">
                  <c:v>44693</c:v>
                </c:pt>
                <c:pt idx="965">
                  <c:v>44692</c:v>
                </c:pt>
                <c:pt idx="966">
                  <c:v>44691</c:v>
                </c:pt>
                <c:pt idx="967">
                  <c:v>44690</c:v>
                </c:pt>
                <c:pt idx="968">
                  <c:v>44687</c:v>
                </c:pt>
                <c:pt idx="969">
                  <c:v>44686</c:v>
                </c:pt>
                <c:pt idx="970">
                  <c:v>44685</c:v>
                </c:pt>
                <c:pt idx="971">
                  <c:v>44683</c:v>
                </c:pt>
                <c:pt idx="972">
                  <c:v>44680</c:v>
                </c:pt>
                <c:pt idx="973">
                  <c:v>44679</c:v>
                </c:pt>
                <c:pt idx="974">
                  <c:v>44678</c:v>
                </c:pt>
                <c:pt idx="975">
                  <c:v>44677</c:v>
                </c:pt>
                <c:pt idx="976">
                  <c:v>44676</c:v>
                </c:pt>
                <c:pt idx="977">
                  <c:v>44673</c:v>
                </c:pt>
                <c:pt idx="978">
                  <c:v>44672</c:v>
                </c:pt>
                <c:pt idx="979">
                  <c:v>44671</c:v>
                </c:pt>
                <c:pt idx="980">
                  <c:v>44670</c:v>
                </c:pt>
                <c:pt idx="981">
                  <c:v>44669</c:v>
                </c:pt>
                <c:pt idx="982">
                  <c:v>44664</c:v>
                </c:pt>
                <c:pt idx="983">
                  <c:v>44663</c:v>
                </c:pt>
                <c:pt idx="984">
                  <c:v>44662</c:v>
                </c:pt>
                <c:pt idx="985">
                  <c:v>44659</c:v>
                </c:pt>
                <c:pt idx="986">
                  <c:v>44658</c:v>
                </c:pt>
                <c:pt idx="987">
                  <c:v>44657</c:v>
                </c:pt>
                <c:pt idx="988">
                  <c:v>44656</c:v>
                </c:pt>
                <c:pt idx="989">
                  <c:v>44655</c:v>
                </c:pt>
                <c:pt idx="990">
                  <c:v>44652</c:v>
                </c:pt>
                <c:pt idx="991">
                  <c:v>44651</c:v>
                </c:pt>
                <c:pt idx="992">
                  <c:v>44650</c:v>
                </c:pt>
                <c:pt idx="993">
                  <c:v>44649</c:v>
                </c:pt>
                <c:pt idx="994">
                  <c:v>44648</c:v>
                </c:pt>
                <c:pt idx="995">
                  <c:v>44645</c:v>
                </c:pt>
                <c:pt idx="996">
                  <c:v>44644</c:v>
                </c:pt>
                <c:pt idx="997">
                  <c:v>44643</c:v>
                </c:pt>
                <c:pt idx="998">
                  <c:v>44642</c:v>
                </c:pt>
                <c:pt idx="999">
                  <c:v>44641</c:v>
                </c:pt>
                <c:pt idx="1000">
                  <c:v>44637</c:v>
                </c:pt>
                <c:pt idx="1001">
                  <c:v>44636</c:v>
                </c:pt>
                <c:pt idx="1002">
                  <c:v>44635</c:v>
                </c:pt>
                <c:pt idx="1003">
                  <c:v>44634</c:v>
                </c:pt>
                <c:pt idx="1004">
                  <c:v>44631</c:v>
                </c:pt>
                <c:pt idx="1005">
                  <c:v>44630</c:v>
                </c:pt>
                <c:pt idx="1006">
                  <c:v>44629</c:v>
                </c:pt>
                <c:pt idx="1007">
                  <c:v>44628</c:v>
                </c:pt>
                <c:pt idx="1008">
                  <c:v>44627</c:v>
                </c:pt>
                <c:pt idx="1009">
                  <c:v>44624</c:v>
                </c:pt>
                <c:pt idx="1010">
                  <c:v>44623</c:v>
                </c:pt>
                <c:pt idx="1011">
                  <c:v>44622</c:v>
                </c:pt>
                <c:pt idx="1012">
                  <c:v>44620</c:v>
                </c:pt>
                <c:pt idx="1013">
                  <c:v>44617</c:v>
                </c:pt>
                <c:pt idx="1014">
                  <c:v>44616</c:v>
                </c:pt>
                <c:pt idx="1015">
                  <c:v>44615</c:v>
                </c:pt>
                <c:pt idx="1016">
                  <c:v>44614</c:v>
                </c:pt>
                <c:pt idx="1017">
                  <c:v>44613</c:v>
                </c:pt>
                <c:pt idx="1018">
                  <c:v>44610</c:v>
                </c:pt>
                <c:pt idx="1019">
                  <c:v>44609</c:v>
                </c:pt>
                <c:pt idx="1020">
                  <c:v>44608</c:v>
                </c:pt>
                <c:pt idx="1021">
                  <c:v>44607</c:v>
                </c:pt>
                <c:pt idx="1022">
                  <c:v>44606</c:v>
                </c:pt>
                <c:pt idx="1023">
                  <c:v>44603</c:v>
                </c:pt>
                <c:pt idx="1024">
                  <c:v>44602</c:v>
                </c:pt>
                <c:pt idx="1025">
                  <c:v>44601</c:v>
                </c:pt>
                <c:pt idx="1026">
                  <c:v>44600</c:v>
                </c:pt>
                <c:pt idx="1027">
                  <c:v>44599</c:v>
                </c:pt>
                <c:pt idx="1028">
                  <c:v>44596</c:v>
                </c:pt>
                <c:pt idx="1029">
                  <c:v>44595</c:v>
                </c:pt>
                <c:pt idx="1030">
                  <c:v>44594</c:v>
                </c:pt>
                <c:pt idx="1031">
                  <c:v>44593</c:v>
                </c:pt>
                <c:pt idx="1032">
                  <c:v>44592</c:v>
                </c:pt>
                <c:pt idx="1033">
                  <c:v>44589</c:v>
                </c:pt>
                <c:pt idx="1034">
                  <c:v>44588</c:v>
                </c:pt>
                <c:pt idx="1035">
                  <c:v>44586</c:v>
                </c:pt>
                <c:pt idx="1036">
                  <c:v>44585</c:v>
                </c:pt>
                <c:pt idx="1037">
                  <c:v>44582</c:v>
                </c:pt>
                <c:pt idx="1038">
                  <c:v>44581</c:v>
                </c:pt>
                <c:pt idx="1039">
                  <c:v>44580</c:v>
                </c:pt>
                <c:pt idx="1040">
                  <c:v>44579</c:v>
                </c:pt>
                <c:pt idx="1041">
                  <c:v>44578</c:v>
                </c:pt>
                <c:pt idx="1042">
                  <c:v>44575</c:v>
                </c:pt>
                <c:pt idx="1043">
                  <c:v>44574</c:v>
                </c:pt>
                <c:pt idx="1044">
                  <c:v>44573</c:v>
                </c:pt>
                <c:pt idx="1045">
                  <c:v>44572</c:v>
                </c:pt>
                <c:pt idx="1046">
                  <c:v>44571</c:v>
                </c:pt>
                <c:pt idx="1047">
                  <c:v>44568</c:v>
                </c:pt>
                <c:pt idx="1048">
                  <c:v>44567</c:v>
                </c:pt>
                <c:pt idx="1049">
                  <c:v>44566</c:v>
                </c:pt>
                <c:pt idx="1050">
                  <c:v>44565</c:v>
                </c:pt>
                <c:pt idx="1051">
                  <c:v>44564</c:v>
                </c:pt>
                <c:pt idx="1052">
                  <c:v>44561</c:v>
                </c:pt>
                <c:pt idx="1053">
                  <c:v>44560</c:v>
                </c:pt>
                <c:pt idx="1054">
                  <c:v>44559</c:v>
                </c:pt>
                <c:pt idx="1055">
                  <c:v>44558</c:v>
                </c:pt>
                <c:pt idx="1056">
                  <c:v>44557</c:v>
                </c:pt>
                <c:pt idx="1057">
                  <c:v>44554</c:v>
                </c:pt>
                <c:pt idx="1058">
                  <c:v>44553</c:v>
                </c:pt>
                <c:pt idx="1059">
                  <c:v>44552</c:v>
                </c:pt>
                <c:pt idx="1060">
                  <c:v>44551</c:v>
                </c:pt>
                <c:pt idx="1061">
                  <c:v>44550</c:v>
                </c:pt>
                <c:pt idx="1062">
                  <c:v>44547</c:v>
                </c:pt>
                <c:pt idx="1063">
                  <c:v>44546</c:v>
                </c:pt>
                <c:pt idx="1064">
                  <c:v>44545</c:v>
                </c:pt>
                <c:pt idx="1065">
                  <c:v>44544</c:v>
                </c:pt>
                <c:pt idx="1066">
                  <c:v>44543</c:v>
                </c:pt>
                <c:pt idx="1067">
                  <c:v>44540</c:v>
                </c:pt>
                <c:pt idx="1068">
                  <c:v>44539</c:v>
                </c:pt>
                <c:pt idx="1069">
                  <c:v>44538</c:v>
                </c:pt>
                <c:pt idx="1070">
                  <c:v>44537</c:v>
                </c:pt>
                <c:pt idx="1071">
                  <c:v>44536</c:v>
                </c:pt>
                <c:pt idx="1072">
                  <c:v>44533</c:v>
                </c:pt>
                <c:pt idx="1073">
                  <c:v>44532</c:v>
                </c:pt>
                <c:pt idx="1074">
                  <c:v>44531</c:v>
                </c:pt>
                <c:pt idx="1075">
                  <c:v>44530</c:v>
                </c:pt>
                <c:pt idx="1076">
                  <c:v>44529</c:v>
                </c:pt>
                <c:pt idx="1077">
                  <c:v>44526</c:v>
                </c:pt>
                <c:pt idx="1078">
                  <c:v>44525</c:v>
                </c:pt>
                <c:pt idx="1079">
                  <c:v>44524</c:v>
                </c:pt>
                <c:pt idx="1080">
                  <c:v>44523</c:v>
                </c:pt>
                <c:pt idx="1081">
                  <c:v>44522</c:v>
                </c:pt>
                <c:pt idx="1082">
                  <c:v>44518</c:v>
                </c:pt>
                <c:pt idx="1083">
                  <c:v>44517</c:v>
                </c:pt>
                <c:pt idx="1084">
                  <c:v>44516</c:v>
                </c:pt>
                <c:pt idx="1085">
                  <c:v>44515</c:v>
                </c:pt>
                <c:pt idx="1086">
                  <c:v>44512</c:v>
                </c:pt>
                <c:pt idx="1087">
                  <c:v>44511</c:v>
                </c:pt>
                <c:pt idx="1088">
                  <c:v>44510</c:v>
                </c:pt>
                <c:pt idx="1089">
                  <c:v>44509</c:v>
                </c:pt>
                <c:pt idx="1090">
                  <c:v>44508</c:v>
                </c:pt>
                <c:pt idx="1091">
                  <c:v>44504</c:v>
                </c:pt>
                <c:pt idx="1092">
                  <c:v>44503</c:v>
                </c:pt>
                <c:pt idx="1093">
                  <c:v>44502</c:v>
                </c:pt>
                <c:pt idx="1094">
                  <c:v>44501</c:v>
                </c:pt>
                <c:pt idx="1095">
                  <c:v>44498</c:v>
                </c:pt>
                <c:pt idx="1096">
                  <c:v>44497</c:v>
                </c:pt>
                <c:pt idx="1097">
                  <c:v>44496</c:v>
                </c:pt>
                <c:pt idx="1098">
                  <c:v>44495</c:v>
                </c:pt>
                <c:pt idx="1099">
                  <c:v>44494</c:v>
                </c:pt>
                <c:pt idx="1100">
                  <c:v>44491</c:v>
                </c:pt>
                <c:pt idx="1101">
                  <c:v>44490</c:v>
                </c:pt>
                <c:pt idx="1102">
                  <c:v>44489</c:v>
                </c:pt>
                <c:pt idx="1103">
                  <c:v>44488</c:v>
                </c:pt>
                <c:pt idx="1104">
                  <c:v>44487</c:v>
                </c:pt>
                <c:pt idx="1105">
                  <c:v>44483</c:v>
                </c:pt>
                <c:pt idx="1106">
                  <c:v>44482</c:v>
                </c:pt>
                <c:pt idx="1107">
                  <c:v>44481</c:v>
                </c:pt>
                <c:pt idx="1108">
                  <c:v>44480</c:v>
                </c:pt>
                <c:pt idx="1109">
                  <c:v>44477</c:v>
                </c:pt>
                <c:pt idx="1110">
                  <c:v>44476</c:v>
                </c:pt>
                <c:pt idx="1111">
                  <c:v>44475</c:v>
                </c:pt>
                <c:pt idx="1112">
                  <c:v>44474</c:v>
                </c:pt>
                <c:pt idx="1113">
                  <c:v>44473</c:v>
                </c:pt>
                <c:pt idx="1114">
                  <c:v>44470</c:v>
                </c:pt>
                <c:pt idx="1115">
                  <c:v>44469</c:v>
                </c:pt>
                <c:pt idx="1116">
                  <c:v>44468</c:v>
                </c:pt>
                <c:pt idx="1117">
                  <c:v>44467</c:v>
                </c:pt>
                <c:pt idx="1118">
                  <c:v>44466</c:v>
                </c:pt>
                <c:pt idx="1119">
                  <c:v>44463</c:v>
                </c:pt>
                <c:pt idx="1120">
                  <c:v>44462</c:v>
                </c:pt>
                <c:pt idx="1121">
                  <c:v>44461</c:v>
                </c:pt>
                <c:pt idx="1122">
                  <c:v>44460</c:v>
                </c:pt>
                <c:pt idx="1123">
                  <c:v>44459</c:v>
                </c:pt>
                <c:pt idx="1124">
                  <c:v>44456</c:v>
                </c:pt>
                <c:pt idx="1125">
                  <c:v>44455</c:v>
                </c:pt>
                <c:pt idx="1126">
                  <c:v>44454</c:v>
                </c:pt>
                <c:pt idx="1127">
                  <c:v>44453</c:v>
                </c:pt>
                <c:pt idx="1128">
                  <c:v>44452</c:v>
                </c:pt>
                <c:pt idx="1129">
                  <c:v>44448</c:v>
                </c:pt>
                <c:pt idx="1130">
                  <c:v>44447</c:v>
                </c:pt>
                <c:pt idx="1131">
                  <c:v>44446</c:v>
                </c:pt>
                <c:pt idx="1132">
                  <c:v>44445</c:v>
                </c:pt>
                <c:pt idx="1133">
                  <c:v>44442</c:v>
                </c:pt>
                <c:pt idx="1134">
                  <c:v>44441</c:v>
                </c:pt>
                <c:pt idx="1135">
                  <c:v>44440</c:v>
                </c:pt>
                <c:pt idx="1136">
                  <c:v>44439</c:v>
                </c:pt>
                <c:pt idx="1137">
                  <c:v>44438</c:v>
                </c:pt>
                <c:pt idx="1138">
                  <c:v>44435</c:v>
                </c:pt>
                <c:pt idx="1139">
                  <c:v>44434</c:v>
                </c:pt>
                <c:pt idx="1140">
                  <c:v>44433</c:v>
                </c:pt>
                <c:pt idx="1141">
                  <c:v>44432</c:v>
                </c:pt>
                <c:pt idx="1142">
                  <c:v>44431</c:v>
                </c:pt>
                <c:pt idx="1143">
                  <c:v>44428</c:v>
                </c:pt>
                <c:pt idx="1144">
                  <c:v>44426</c:v>
                </c:pt>
                <c:pt idx="1145">
                  <c:v>44425</c:v>
                </c:pt>
                <c:pt idx="1146">
                  <c:v>44424</c:v>
                </c:pt>
                <c:pt idx="1147">
                  <c:v>44421</c:v>
                </c:pt>
                <c:pt idx="1148">
                  <c:v>44420</c:v>
                </c:pt>
                <c:pt idx="1149">
                  <c:v>44419</c:v>
                </c:pt>
                <c:pt idx="1150">
                  <c:v>44418</c:v>
                </c:pt>
                <c:pt idx="1151">
                  <c:v>44417</c:v>
                </c:pt>
                <c:pt idx="1152">
                  <c:v>44414</c:v>
                </c:pt>
                <c:pt idx="1153">
                  <c:v>44413</c:v>
                </c:pt>
                <c:pt idx="1154">
                  <c:v>44412</c:v>
                </c:pt>
                <c:pt idx="1155">
                  <c:v>44411</c:v>
                </c:pt>
                <c:pt idx="1156">
                  <c:v>44410</c:v>
                </c:pt>
                <c:pt idx="1157">
                  <c:v>44407</c:v>
                </c:pt>
                <c:pt idx="1158">
                  <c:v>44406</c:v>
                </c:pt>
                <c:pt idx="1159">
                  <c:v>44405</c:v>
                </c:pt>
                <c:pt idx="1160">
                  <c:v>44404</c:v>
                </c:pt>
                <c:pt idx="1161">
                  <c:v>44403</c:v>
                </c:pt>
                <c:pt idx="1162">
                  <c:v>44400</c:v>
                </c:pt>
                <c:pt idx="1163">
                  <c:v>44399</c:v>
                </c:pt>
                <c:pt idx="1164">
                  <c:v>44397</c:v>
                </c:pt>
                <c:pt idx="1165">
                  <c:v>44396</c:v>
                </c:pt>
                <c:pt idx="1166">
                  <c:v>44393</c:v>
                </c:pt>
                <c:pt idx="1167">
                  <c:v>44392</c:v>
                </c:pt>
                <c:pt idx="1168">
                  <c:v>44391</c:v>
                </c:pt>
                <c:pt idx="1169">
                  <c:v>44390</c:v>
                </c:pt>
                <c:pt idx="1170">
                  <c:v>44389</c:v>
                </c:pt>
                <c:pt idx="1171">
                  <c:v>44386</c:v>
                </c:pt>
                <c:pt idx="1172">
                  <c:v>44385</c:v>
                </c:pt>
                <c:pt idx="1173">
                  <c:v>44384</c:v>
                </c:pt>
                <c:pt idx="1174">
                  <c:v>44383</c:v>
                </c:pt>
                <c:pt idx="1175">
                  <c:v>44382</c:v>
                </c:pt>
                <c:pt idx="1176">
                  <c:v>44379</c:v>
                </c:pt>
                <c:pt idx="1177">
                  <c:v>44378</c:v>
                </c:pt>
                <c:pt idx="1178">
                  <c:v>44377</c:v>
                </c:pt>
                <c:pt idx="1179">
                  <c:v>44376</c:v>
                </c:pt>
                <c:pt idx="1180">
                  <c:v>44375</c:v>
                </c:pt>
                <c:pt idx="1181">
                  <c:v>44372</c:v>
                </c:pt>
                <c:pt idx="1182">
                  <c:v>44371</c:v>
                </c:pt>
                <c:pt idx="1183">
                  <c:v>44370</c:v>
                </c:pt>
                <c:pt idx="1184">
                  <c:v>44369</c:v>
                </c:pt>
                <c:pt idx="1185">
                  <c:v>44368</c:v>
                </c:pt>
                <c:pt idx="1186">
                  <c:v>44365</c:v>
                </c:pt>
                <c:pt idx="1187">
                  <c:v>44364</c:v>
                </c:pt>
                <c:pt idx="1188">
                  <c:v>44363</c:v>
                </c:pt>
                <c:pt idx="1189">
                  <c:v>44362</c:v>
                </c:pt>
                <c:pt idx="1190">
                  <c:v>44361</c:v>
                </c:pt>
                <c:pt idx="1191">
                  <c:v>44358</c:v>
                </c:pt>
                <c:pt idx="1192">
                  <c:v>44357</c:v>
                </c:pt>
                <c:pt idx="1193">
                  <c:v>44356</c:v>
                </c:pt>
                <c:pt idx="1194">
                  <c:v>44355</c:v>
                </c:pt>
                <c:pt idx="1195">
                  <c:v>44354</c:v>
                </c:pt>
                <c:pt idx="1196">
                  <c:v>44351</c:v>
                </c:pt>
                <c:pt idx="1197">
                  <c:v>44350</c:v>
                </c:pt>
                <c:pt idx="1198">
                  <c:v>44349</c:v>
                </c:pt>
                <c:pt idx="1199">
                  <c:v>44348</c:v>
                </c:pt>
                <c:pt idx="1200">
                  <c:v>44347</c:v>
                </c:pt>
                <c:pt idx="1201">
                  <c:v>44344</c:v>
                </c:pt>
                <c:pt idx="1202">
                  <c:v>44343</c:v>
                </c:pt>
                <c:pt idx="1203">
                  <c:v>44342</c:v>
                </c:pt>
                <c:pt idx="1204">
                  <c:v>44341</c:v>
                </c:pt>
                <c:pt idx="1205">
                  <c:v>44340</c:v>
                </c:pt>
                <c:pt idx="1206">
                  <c:v>44337</c:v>
                </c:pt>
                <c:pt idx="1207">
                  <c:v>44336</c:v>
                </c:pt>
                <c:pt idx="1208">
                  <c:v>44335</c:v>
                </c:pt>
                <c:pt idx="1209">
                  <c:v>44334</c:v>
                </c:pt>
                <c:pt idx="1210">
                  <c:v>44333</c:v>
                </c:pt>
                <c:pt idx="1211">
                  <c:v>44330</c:v>
                </c:pt>
                <c:pt idx="1212">
                  <c:v>44328</c:v>
                </c:pt>
                <c:pt idx="1213">
                  <c:v>44327</c:v>
                </c:pt>
                <c:pt idx="1214">
                  <c:v>44326</c:v>
                </c:pt>
                <c:pt idx="1215">
                  <c:v>44323</c:v>
                </c:pt>
                <c:pt idx="1216">
                  <c:v>44322</c:v>
                </c:pt>
                <c:pt idx="1217">
                  <c:v>44321</c:v>
                </c:pt>
                <c:pt idx="1218">
                  <c:v>44320</c:v>
                </c:pt>
                <c:pt idx="1219">
                  <c:v>44319</c:v>
                </c:pt>
                <c:pt idx="1220">
                  <c:v>44316</c:v>
                </c:pt>
                <c:pt idx="1221">
                  <c:v>44315</c:v>
                </c:pt>
                <c:pt idx="1222">
                  <c:v>44314</c:v>
                </c:pt>
                <c:pt idx="1223">
                  <c:v>44313</c:v>
                </c:pt>
                <c:pt idx="1224">
                  <c:v>44312</c:v>
                </c:pt>
                <c:pt idx="1225">
                  <c:v>44309</c:v>
                </c:pt>
                <c:pt idx="1226">
                  <c:v>44308</c:v>
                </c:pt>
                <c:pt idx="1227">
                  <c:v>44306</c:v>
                </c:pt>
                <c:pt idx="1228">
                  <c:v>44305</c:v>
                </c:pt>
                <c:pt idx="1229">
                  <c:v>44302</c:v>
                </c:pt>
                <c:pt idx="1230">
                  <c:v>44301</c:v>
                </c:pt>
                <c:pt idx="1231">
                  <c:v>44299</c:v>
                </c:pt>
                <c:pt idx="1232">
                  <c:v>44298</c:v>
                </c:pt>
                <c:pt idx="1233">
                  <c:v>44295</c:v>
                </c:pt>
                <c:pt idx="1234">
                  <c:v>44294</c:v>
                </c:pt>
                <c:pt idx="1235">
                  <c:v>44293</c:v>
                </c:pt>
                <c:pt idx="1236">
                  <c:v>44292</c:v>
                </c:pt>
                <c:pt idx="1237">
                  <c:v>44291</c:v>
                </c:pt>
                <c:pt idx="1238">
                  <c:v>44287</c:v>
                </c:pt>
              </c:numCache>
            </c:numRef>
          </c:cat>
          <c:val>
            <c:numRef>
              <c:f>'share Price'!$C$3:$C$1241</c:f>
              <c:numCache>
                <c:formatCode>#,##0.00</c:formatCode>
                <c:ptCount val="1239"/>
                <c:pt idx="0">
                  <c:v>1250.5999999999999</c:v>
                </c:pt>
                <c:pt idx="1">
                  <c:v>1269.7</c:v>
                </c:pt>
                <c:pt idx="2">
                  <c:v>1279.0999999999999</c:v>
                </c:pt>
                <c:pt idx="3">
                  <c:v>1278.3</c:v>
                </c:pt>
                <c:pt idx="4">
                  <c:v>1256.8</c:v>
                </c:pt>
                <c:pt idx="5">
                  <c:v>1255.9000000000001</c:v>
                </c:pt>
                <c:pt idx="6">
                  <c:v>1220.8</c:v>
                </c:pt>
                <c:pt idx="7">
                  <c:v>1267.0999999999999</c:v>
                </c:pt>
                <c:pt idx="8">
                  <c:v>1232.9000000000001</c:v>
                </c:pt>
                <c:pt idx="9">
                  <c:v>1249.8</c:v>
                </c:pt>
                <c:pt idx="10">
                  <c:v>1248.3</c:v>
                </c:pt>
                <c:pt idx="11">
                  <c:v>1265.8</c:v>
                </c:pt>
                <c:pt idx="12">
                  <c:v>1276.3</c:v>
                </c:pt>
                <c:pt idx="13">
                  <c:v>1295.5999999999999</c:v>
                </c:pt>
                <c:pt idx="14">
                  <c:v>1315</c:v>
                </c:pt>
                <c:pt idx="15">
                  <c:v>1308.4000000000001</c:v>
                </c:pt>
                <c:pt idx="16">
                  <c:v>1305.8</c:v>
                </c:pt>
                <c:pt idx="17">
                  <c:v>1307.4000000000001</c:v>
                </c:pt>
                <c:pt idx="18">
                  <c:v>1288.9000000000001</c:v>
                </c:pt>
                <c:pt idx="19">
                  <c:v>1300.0999999999999</c:v>
                </c:pt>
                <c:pt idx="20">
                  <c:v>1289.0999999999999</c:v>
                </c:pt>
                <c:pt idx="21">
                  <c:v>1290.0999999999999</c:v>
                </c:pt>
                <c:pt idx="22">
                  <c:v>1275.5</c:v>
                </c:pt>
                <c:pt idx="23">
                  <c:v>1327.5</c:v>
                </c:pt>
                <c:pt idx="24">
                  <c:v>1353.2</c:v>
                </c:pt>
                <c:pt idx="25">
                  <c:v>1370.5</c:v>
                </c:pt>
                <c:pt idx="26">
                  <c:v>1373.7</c:v>
                </c:pt>
                <c:pt idx="27">
                  <c:v>1391.2</c:v>
                </c:pt>
                <c:pt idx="28">
                  <c:v>1365.6</c:v>
                </c:pt>
                <c:pt idx="29">
                  <c:v>1369.1</c:v>
                </c:pt>
                <c:pt idx="30">
                  <c:v>1386</c:v>
                </c:pt>
                <c:pt idx="31">
                  <c:v>1471.9</c:v>
                </c:pt>
                <c:pt idx="32">
                  <c:v>1497.8</c:v>
                </c:pt>
                <c:pt idx="33">
                  <c:v>1497.2</c:v>
                </c:pt>
                <c:pt idx="34">
                  <c:v>1507.1</c:v>
                </c:pt>
                <c:pt idx="35">
                  <c:v>1520.2</c:v>
                </c:pt>
                <c:pt idx="36">
                  <c:v>1535.8</c:v>
                </c:pt>
                <c:pt idx="37">
                  <c:v>1656</c:v>
                </c:pt>
                <c:pt idx="38">
                  <c:v>1629.4</c:v>
                </c:pt>
                <c:pt idx="39">
                  <c:v>1654.5</c:v>
                </c:pt>
                <c:pt idx="40">
                  <c:v>1641</c:v>
                </c:pt>
                <c:pt idx="41">
                  <c:v>1659.5</c:v>
                </c:pt>
                <c:pt idx="42">
                  <c:v>1666.5</c:v>
                </c:pt>
                <c:pt idx="43">
                  <c:v>1682.7</c:v>
                </c:pt>
                <c:pt idx="44">
                  <c:v>1670.8</c:v>
                </c:pt>
                <c:pt idx="45">
                  <c:v>1663.5</c:v>
                </c:pt>
                <c:pt idx="46">
                  <c:v>1654.4</c:v>
                </c:pt>
                <c:pt idx="47">
                  <c:v>1658.9</c:v>
                </c:pt>
                <c:pt idx="48">
                  <c:v>1681.2</c:v>
                </c:pt>
                <c:pt idx="49">
                  <c:v>1689.8</c:v>
                </c:pt>
                <c:pt idx="50">
                  <c:v>1599.8</c:v>
                </c:pt>
                <c:pt idx="51">
                  <c:v>1599</c:v>
                </c:pt>
                <c:pt idx="52">
                  <c:v>1595.9</c:v>
                </c:pt>
                <c:pt idx="53">
                  <c:v>1614.1</c:v>
                </c:pt>
                <c:pt idx="54">
                  <c:v>1613.3</c:v>
                </c:pt>
                <c:pt idx="55">
                  <c:v>1639</c:v>
                </c:pt>
                <c:pt idx="56">
                  <c:v>1612.2</c:v>
                </c:pt>
                <c:pt idx="57">
                  <c:v>1606.4</c:v>
                </c:pt>
                <c:pt idx="58">
                  <c:v>1640.4</c:v>
                </c:pt>
                <c:pt idx="59">
                  <c:v>1629.8</c:v>
                </c:pt>
                <c:pt idx="60">
                  <c:v>1615.4</c:v>
                </c:pt>
                <c:pt idx="61">
                  <c:v>1621.6</c:v>
                </c:pt>
                <c:pt idx="62">
                  <c:v>1644.7</c:v>
                </c:pt>
                <c:pt idx="63">
                  <c:v>1656.1</c:v>
                </c:pt>
                <c:pt idx="64">
                  <c:v>1663.4</c:v>
                </c:pt>
                <c:pt idx="65">
                  <c:v>1668.3</c:v>
                </c:pt>
                <c:pt idx="66">
                  <c:v>1689.6</c:v>
                </c:pt>
                <c:pt idx="67">
                  <c:v>1638.7</c:v>
                </c:pt>
                <c:pt idx="68">
                  <c:v>1626.8</c:v>
                </c:pt>
                <c:pt idx="69">
                  <c:v>1602</c:v>
                </c:pt>
                <c:pt idx="70">
                  <c:v>1592.9</c:v>
                </c:pt>
                <c:pt idx="71">
                  <c:v>1606.8</c:v>
                </c:pt>
                <c:pt idx="72">
                  <c:v>1598.2</c:v>
                </c:pt>
                <c:pt idx="73">
                  <c:v>1598</c:v>
                </c:pt>
                <c:pt idx="74">
                  <c:v>1584.8</c:v>
                </c:pt>
                <c:pt idx="75">
                  <c:v>1599</c:v>
                </c:pt>
                <c:pt idx="76">
                  <c:v>1610.8</c:v>
                </c:pt>
                <c:pt idx="77">
                  <c:v>1616.2</c:v>
                </c:pt>
                <c:pt idx="78">
                  <c:v>1597.6</c:v>
                </c:pt>
                <c:pt idx="79">
                  <c:v>1578.7</c:v>
                </c:pt>
                <c:pt idx="80">
                  <c:v>1561</c:v>
                </c:pt>
                <c:pt idx="81">
                  <c:v>1564</c:v>
                </c:pt>
                <c:pt idx="82">
                  <c:v>1560.1</c:v>
                </c:pt>
                <c:pt idx="83">
                  <c:v>1566.4</c:v>
                </c:pt>
                <c:pt idx="84">
                  <c:v>1557.9</c:v>
                </c:pt>
                <c:pt idx="85">
                  <c:v>1530.6</c:v>
                </c:pt>
                <c:pt idx="86">
                  <c:v>1548</c:v>
                </c:pt>
                <c:pt idx="87">
                  <c:v>1545</c:v>
                </c:pt>
                <c:pt idx="88">
                  <c:v>1536.5</c:v>
                </c:pt>
                <c:pt idx="89">
                  <c:v>1541.1</c:v>
                </c:pt>
                <c:pt idx="90">
                  <c:v>1486.4</c:v>
                </c:pt>
                <c:pt idx="91">
                  <c:v>1507.6</c:v>
                </c:pt>
                <c:pt idx="92">
                  <c:v>1502.8</c:v>
                </c:pt>
                <c:pt idx="93">
                  <c:v>1541.8</c:v>
                </c:pt>
                <c:pt idx="94">
                  <c:v>1551.7</c:v>
                </c:pt>
                <c:pt idx="95">
                  <c:v>1530.3</c:v>
                </c:pt>
                <c:pt idx="96">
                  <c:v>1513.5</c:v>
                </c:pt>
                <c:pt idx="97">
                  <c:v>1476.8</c:v>
                </c:pt>
                <c:pt idx="98">
                  <c:v>1466.7</c:v>
                </c:pt>
                <c:pt idx="99">
                  <c:v>1467.9</c:v>
                </c:pt>
                <c:pt idx="100">
                  <c:v>1485.5</c:v>
                </c:pt>
                <c:pt idx="101">
                  <c:v>1482.3</c:v>
                </c:pt>
                <c:pt idx="102">
                  <c:v>1493.8</c:v>
                </c:pt>
                <c:pt idx="103">
                  <c:v>1510.4</c:v>
                </c:pt>
                <c:pt idx="104">
                  <c:v>1500.2</c:v>
                </c:pt>
                <c:pt idx="105">
                  <c:v>1504.5</c:v>
                </c:pt>
                <c:pt idx="106">
                  <c:v>1525.4</c:v>
                </c:pt>
                <c:pt idx="107">
                  <c:v>1528.5</c:v>
                </c:pt>
                <c:pt idx="108">
                  <c:v>1472.4</c:v>
                </c:pt>
                <c:pt idx="109">
                  <c:v>1460.9</c:v>
                </c:pt>
                <c:pt idx="110">
                  <c:v>1441.1</c:v>
                </c:pt>
                <c:pt idx="111">
                  <c:v>1471.5</c:v>
                </c:pt>
                <c:pt idx="112">
                  <c:v>1474.4</c:v>
                </c:pt>
                <c:pt idx="113">
                  <c:v>1489.9</c:v>
                </c:pt>
                <c:pt idx="114">
                  <c:v>1493.2</c:v>
                </c:pt>
                <c:pt idx="115">
                  <c:v>1514.9</c:v>
                </c:pt>
                <c:pt idx="116">
                  <c:v>1509.3</c:v>
                </c:pt>
                <c:pt idx="117">
                  <c:v>1495</c:v>
                </c:pt>
                <c:pt idx="118">
                  <c:v>1458.5</c:v>
                </c:pt>
                <c:pt idx="119">
                  <c:v>1476</c:v>
                </c:pt>
                <c:pt idx="120">
                  <c:v>1446.6</c:v>
                </c:pt>
                <c:pt idx="121">
                  <c:v>1445.8</c:v>
                </c:pt>
                <c:pt idx="122">
                  <c:v>1441.8</c:v>
                </c:pt>
                <c:pt idx="123">
                  <c:v>1441.8</c:v>
                </c:pt>
                <c:pt idx="124">
                  <c:v>1448.9</c:v>
                </c:pt>
                <c:pt idx="125">
                  <c:v>1484.8</c:v>
                </c:pt>
                <c:pt idx="126">
                  <c:v>1494.6</c:v>
                </c:pt>
                <c:pt idx="127">
                  <c:v>1497.5</c:v>
                </c:pt>
                <c:pt idx="128">
                  <c:v>1499.5</c:v>
                </c:pt>
                <c:pt idx="129">
                  <c:v>1540.2</c:v>
                </c:pt>
                <c:pt idx="130">
                  <c:v>1540.6</c:v>
                </c:pt>
                <c:pt idx="131">
                  <c:v>1522.4</c:v>
                </c:pt>
                <c:pt idx="132">
                  <c:v>1511.3</c:v>
                </c:pt>
                <c:pt idx="133">
                  <c:v>1508.4</c:v>
                </c:pt>
                <c:pt idx="134">
                  <c:v>1525.6</c:v>
                </c:pt>
                <c:pt idx="135">
                  <c:v>1509.7</c:v>
                </c:pt>
                <c:pt idx="136">
                  <c:v>1532.6</c:v>
                </c:pt>
                <c:pt idx="137">
                  <c:v>1504.3</c:v>
                </c:pt>
                <c:pt idx="138">
                  <c:v>1432.9</c:v>
                </c:pt>
                <c:pt idx="139">
                  <c:v>1444.6</c:v>
                </c:pt>
                <c:pt idx="140">
                  <c:v>1463</c:v>
                </c:pt>
                <c:pt idx="141">
                  <c:v>1479.1</c:v>
                </c:pt>
                <c:pt idx="142">
                  <c:v>1498.7</c:v>
                </c:pt>
                <c:pt idx="143">
                  <c:v>1499.4</c:v>
                </c:pt>
                <c:pt idx="144">
                  <c:v>1469.6</c:v>
                </c:pt>
                <c:pt idx="145">
                  <c:v>1500.1</c:v>
                </c:pt>
                <c:pt idx="146">
                  <c:v>1529.6</c:v>
                </c:pt>
                <c:pt idx="147">
                  <c:v>1532.1</c:v>
                </c:pt>
                <c:pt idx="148">
                  <c:v>1487.5</c:v>
                </c:pt>
                <c:pt idx="149">
                  <c:v>1496.4</c:v>
                </c:pt>
                <c:pt idx="150">
                  <c:v>1496.2</c:v>
                </c:pt>
                <c:pt idx="151">
                  <c:v>1440</c:v>
                </c:pt>
                <c:pt idx="152">
                  <c:v>1435.8</c:v>
                </c:pt>
                <c:pt idx="153">
                  <c:v>1447.7</c:v>
                </c:pt>
                <c:pt idx="154">
                  <c:v>1426.6</c:v>
                </c:pt>
                <c:pt idx="155">
                  <c:v>1424.1</c:v>
                </c:pt>
                <c:pt idx="156">
                  <c:v>1428.2</c:v>
                </c:pt>
                <c:pt idx="157">
                  <c:v>1423.1</c:v>
                </c:pt>
                <c:pt idx="158">
                  <c:v>1436.9</c:v>
                </c:pt>
                <c:pt idx="159">
                  <c:v>1436.7</c:v>
                </c:pt>
                <c:pt idx="160">
                  <c:v>1460.3</c:v>
                </c:pt>
                <c:pt idx="161">
                  <c:v>1480.5</c:v>
                </c:pt>
                <c:pt idx="162">
                  <c:v>1469.6</c:v>
                </c:pt>
                <c:pt idx="163">
                  <c:v>1509</c:v>
                </c:pt>
                <c:pt idx="164">
                  <c:v>1519</c:v>
                </c:pt>
                <c:pt idx="165">
                  <c:v>1513.7</c:v>
                </c:pt>
                <c:pt idx="166">
                  <c:v>1516</c:v>
                </c:pt>
                <c:pt idx="167">
                  <c:v>1515.7</c:v>
                </c:pt>
                <c:pt idx="168">
                  <c:v>1552.5</c:v>
                </c:pt>
                <c:pt idx="169">
                  <c:v>1574.5</c:v>
                </c:pt>
                <c:pt idx="170">
                  <c:v>1570.9</c:v>
                </c:pt>
                <c:pt idx="171">
                  <c:v>1584.3</c:v>
                </c:pt>
                <c:pt idx="172">
                  <c:v>1586.1</c:v>
                </c:pt>
                <c:pt idx="173">
                  <c:v>1583.5</c:v>
                </c:pt>
                <c:pt idx="174">
                  <c:v>1607.9</c:v>
                </c:pt>
                <c:pt idx="175">
                  <c:v>1585.6</c:v>
                </c:pt>
                <c:pt idx="176">
                  <c:v>1570.3</c:v>
                </c:pt>
                <c:pt idx="177">
                  <c:v>1594.9</c:v>
                </c:pt>
                <c:pt idx="178">
                  <c:v>1615.8</c:v>
                </c:pt>
                <c:pt idx="179">
                  <c:v>1633.7</c:v>
                </c:pt>
                <c:pt idx="180">
                  <c:v>1638.7</c:v>
                </c:pt>
                <c:pt idx="181">
                  <c:v>1627</c:v>
                </c:pt>
                <c:pt idx="182">
                  <c:v>1640.7</c:v>
                </c:pt>
                <c:pt idx="183">
                  <c:v>1618.7</c:v>
                </c:pt>
                <c:pt idx="184">
                  <c:v>1610.5</c:v>
                </c:pt>
                <c:pt idx="185">
                  <c:v>1606.8</c:v>
                </c:pt>
                <c:pt idx="186">
                  <c:v>1601.8</c:v>
                </c:pt>
                <c:pt idx="187">
                  <c:v>1608</c:v>
                </c:pt>
                <c:pt idx="188">
                  <c:v>1616</c:v>
                </c:pt>
                <c:pt idx="189">
                  <c:v>1614.9</c:v>
                </c:pt>
                <c:pt idx="190">
                  <c:v>1581.6</c:v>
                </c:pt>
                <c:pt idx="191">
                  <c:v>1584</c:v>
                </c:pt>
                <c:pt idx="192">
                  <c:v>1622.9</c:v>
                </c:pt>
                <c:pt idx="193">
                  <c:v>1618.4</c:v>
                </c:pt>
                <c:pt idx="194">
                  <c:v>1632.9</c:v>
                </c:pt>
                <c:pt idx="195">
                  <c:v>1639.9</c:v>
                </c:pt>
                <c:pt idx="196">
                  <c:v>1623.8</c:v>
                </c:pt>
                <c:pt idx="197">
                  <c:v>1602</c:v>
                </c:pt>
                <c:pt idx="198">
                  <c:v>1608.6</c:v>
                </c:pt>
                <c:pt idx="199">
                  <c:v>1631.1</c:v>
                </c:pt>
                <c:pt idx="200">
                  <c:v>1596</c:v>
                </c:pt>
                <c:pt idx="201">
                  <c:v>1572.9</c:v>
                </c:pt>
                <c:pt idx="202">
                  <c:v>1563.8</c:v>
                </c:pt>
                <c:pt idx="203">
                  <c:v>1554.3</c:v>
                </c:pt>
                <c:pt idx="204">
                  <c:v>1551.2</c:v>
                </c:pt>
                <c:pt idx="205">
                  <c:v>1543</c:v>
                </c:pt>
                <c:pt idx="206">
                  <c:v>1553.8</c:v>
                </c:pt>
                <c:pt idx="207">
                  <c:v>1562.7</c:v>
                </c:pt>
                <c:pt idx="208">
                  <c:v>1585.6</c:v>
                </c:pt>
                <c:pt idx="209">
                  <c:v>1571.8</c:v>
                </c:pt>
                <c:pt idx="210">
                  <c:v>1570.1</c:v>
                </c:pt>
                <c:pt idx="211">
                  <c:v>1580.5</c:v>
                </c:pt>
                <c:pt idx="212">
                  <c:v>1564.8</c:v>
                </c:pt>
                <c:pt idx="213">
                  <c:v>1547.5</c:v>
                </c:pt>
                <c:pt idx="214">
                  <c:v>1568.5</c:v>
                </c:pt>
                <c:pt idx="215">
                  <c:v>1560.6</c:v>
                </c:pt>
                <c:pt idx="216">
                  <c:v>1559.8</c:v>
                </c:pt>
                <c:pt idx="217">
                  <c:v>1589.9</c:v>
                </c:pt>
                <c:pt idx="218">
                  <c:v>1613</c:v>
                </c:pt>
                <c:pt idx="219">
                  <c:v>1592.4</c:v>
                </c:pt>
                <c:pt idx="220">
                  <c:v>1568.6</c:v>
                </c:pt>
                <c:pt idx="221">
                  <c:v>1626.9</c:v>
                </c:pt>
                <c:pt idx="222">
                  <c:v>1507.6</c:v>
                </c:pt>
                <c:pt idx="223">
                  <c:v>1511.4</c:v>
                </c:pt>
                <c:pt idx="224">
                  <c:v>1508.3</c:v>
                </c:pt>
                <c:pt idx="225">
                  <c:v>1511.5</c:v>
                </c:pt>
                <c:pt idx="226">
                  <c:v>1508.6</c:v>
                </c:pt>
                <c:pt idx="227">
                  <c:v>1506.8</c:v>
                </c:pt>
                <c:pt idx="228">
                  <c:v>1500.1</c:v>
                </c:pt>
                <c:pt idx="229">
                  <c:v>1497.5</c:v>
                </c:pt>
                <c:pt idx="230">
                  <c:v>1482.1</c:v>
                </c:pt>
                <c:pt idx="231">
                  <c:v>1480.2</c:v>
                </c:pt>
                <c:pt idx="232">
                  <c:v>1471.4</c:v>
                </c:pt>
                <c:pt idx="233">
                  <c:v>1474.9</c:v>
                </c:pt>
                <c:pt idx="234">
                  <c:v>1422.8</c:v>
                </c:pt>
                <c:pt idx="235">
                  <c:v>1451</c:v>
                </c:pt>
                <c:pt idx="236">
                  <c:v>1419.5</c:v>
                </c:pt>
                <c:pt idx="237">
                  <c:v>1413.1</c:v>
                </c:pt>
                <c:pt idx="238">
                  <c:v>1426</c:v>
                </c:pt>
                <c:pt idx="239">
                  <c:v>1409.45</c:v>
                </c:pt>
                <c:pt idx="240">
                  <c:v>1403.7</c:v>
                </c:pt>
                <c:pt idx="241">
                  <c:v>1428.8</c:v>
                </c:pt>
                <c:pt idx="242">
                  <c:v>1396.75</c:v>
                </c:pt>
                <c:pt idx="243">
                  <c:v>1451.65</c:v>
                </c:pt>
                <c:pt idx="244">
                  <c:v>1496.5</c:v>
                </c:pt>
                <c:pt idx="245">
                  <c:v>1550.15</c:v>
                </c:pt>
                <c:pt idx="246">
                  <c:v>1526.5</c:v>
                </c:pt>
                <c:pt idx="247">
                  <c:v>1570.65</c:v>
                </c:pt>
                <c:pt idx="248">
                  <c:v>1603.55</c:v>
                </c:pt>
                <c:pt idx="249">
                  <c:v>1599.45</c:v>
                </c:pt>
                <c:pt idx="250">
                  <c:v>1628.45</c:v>
                </c:pt>
                <c:pt idx="251">
                  <c:v>1592.75</c:v>
                </c:pt>
                <c:pt idx="252">
                  <c:v>1592.55</c:v>
                </c:pt>
                <c:pt idx="253">
                  <c:v>1615.55</c:v>
                </c:pt>
                <c:pt idx="254">
                  <c:v>1586.55</c:v>
                </c:pt>
                <c:pt idx="255">
                  <c:v>1609.35</c:v>
                </c:pt>
                <c:pt idx="256">
                  <c:v>1590.05</c:v>
                </c:pt>
                <c:pt idx="257">
                  <c:v>1579.85</c:v>
                </c:pt>
                <c:pt idx="258">
                  <c:v>1590.85</c:v>
                </c:pt>
                <c:pt idx="259">
                  <c:v>1661.6</c:v>
                </c:pt>
                <c:pt idx="260">
                  <c:v>1701.45</c:v>
                </c:pt>
                <c:pt idx="261">
                  <c:v>1686</c:v>
                </c:pt>
                <c:pt idx="262">
                  <c:v>1715.85</c:v>
                </c:pt>
                <c:pt idx="263">
                  <c:v>1711.5</c:v>
                </c:pt>
                <c:pt idx="264">
                  <c:v>1688.3</c:v>
                </c:pt>
                <c:pt idx="265">
                  <c:v>1708.6</c:v>
                </c:pt>
                <c:pt idx="266">
                  <c:v>1687.7</c:v>
                </c:pt>
                <c:pt idx="267">
                  <c:v>1764.3</c:v>
                </c:pt>
                <c:pt idx="268">
                  <c:v>1767.7</c:v>
                </c:pt>
                <c:pt idx="269">
                  <c:v>1764.1</c:v>
                </c:pt>
                <c:pt idx="270">
                  <c:v>1815</c:v>
                </c:pt>
                <c:pt idx="271">
                  <c:v>1825.15</c:v>
                </c:pt>
                <c:pt idx="272">
                  <c:v>1810.8</c:v>
                </c:pt>
                <c:pt idx="273">
                  <c:v>1851.95</c:v>
                </c:pt>
                <c:pt idx="274">
                  <c:v>1842.3</c:v>
                </c:pt>
                <c:pt idx="275">
                  <c:v>1856.4</c:v>
                </c:pt>
                <c:pt idx="276">
                  <c:v>1843.25</c:v>
                </c:pt>
                <c:pt idx="277">
                  <c:v>1863.15</c:v>
                </c:pt>
                <c:pt idx="278">
                  <c:v>1875.65</c:v>
                </c:pt>
                <c:pt idx="279">
                  <c:v>1880.3</c:v>
                </c:pt>
                <c:pt idx="280">
                  <c:v>1903.65</c:v>
                </c:pt>
                <c:pt idx="281">
                  <c:v>1915.65</c:v>
                </c:pt>
                <c:pt idx="282">
                  <c:v>1897.05</c:v>
                </c:pt>
                <c:pt idx="283">
                  <c:v>1898.8</c:v>
                </c:pt>
                <c:pt idx="284">
                  <c:v>1863.3</c:v>
                </c:pt>
                <c:pt idx="285">
                  <c:v>1851.35</c:v>
                </c:pt>
                <c:pt idx="286">
                  <c:v>1879.8</c:v>
                </c:pt>
                <c:pt idx="287">
                  <c:v>1859.95</c:v>
                </c:pt>
                <c:pt idx="288">
                  <c:v>1881.25</c:v>
                </c:pt>
                <c:pt idx="289">
                  <c:v>1829.75</c:v>
                </c:pt>
                <c:pt idx="290">
                  <c:v>1822</c:v>
                </c:pt>
                <c:pt idx="291">
                  <c:v>1875.45</c:v>
                </c:pt>
                <c:pt idx="292">
                  <c:v>1865.45</c:v>
                </c:pt>
                <c:pt idx="293">
                  <c:v>1856.45</c:v>
                </c:pt>
                <c:pt idx="294">
                  <c:v>1800.7</c:v>
                </c:pt>
                <c:pt idx="295">
                  <c:v>1813.3</c:v>
                </c:pt>
                <c:pt idx="296">
                  <c:v>1815.45</c:v>
                </c:pt>
                <c:pt idx="297">
                  <c:v>1928.45</c:v>
                </c:pt>
                <c:pt idx="298">
                  <c:v>1949.65</c:v>
                </c:pt>
                <c:pt idx="299">
                  <c:v>1940.05</c:v>
                </c:pt>
                <c:pt idx="300">
                  <c:v>1962.2</c:v>
                </c:pt>
                <c:pt idx="301">
                  <c:v>1966.95</c:v>
                </c:pt>
                <c:pt idx="302">
                  <c:v>1917.3</c:v>
                </c:pt>
                <c:pt idx="303">
                  <c:v>1933.15</c:v>
                </c:pt>
                <c:pt idx="304">
                  <c:v>1930.85</c:v>
                </c:pt>
                <c:pt idx="305">
                  <c:v>1937.85</c:v>
                </c:pt>
                <c:pt idx="306">
                  <c:v>1938.75</c:v>
                </c:pt>
                <c:pt idx="307">
                  <c:v>1957.85</c:v>
                </c:pt>
                <c:pt idx="308">
                  <c:v>1882.5</c:v>
                </c:pt>
                <c:pt idx="309">
                  <c:v>1880</c:v>
                </c:pt>
                <c:pt idx="310">
                  <c:v>1906</c:v>
                </c:pt>
                <c:pt idx="311">
                  <c:v>1916.75</c:v>
                </c:pt>
                <c:pt idx="312">
                  <c:v>1907.4</c:v>
                </c:pt>
                <c:pt idx="313">
                  <c:v>1909.05</c:v>
                </c:pt>
                <c:pt idx="314">
                  <c:v>1924.3</c:v>
                </c:pt>
                <c:pt idx="315">
                  <c:v>1922.15</c:v>
                </c:pt>
                <c:pt idx="316">
                  <c:v>1946.2</c:v>
                </c:pt>
                <c:pt idx="317">
                  <c:v>1979.15</c:v>
                </c:pt>
                <c:pt idx="318">
                  <c:v>1976.6</c:v>
                </c:pt>
                <c:pt idx="319">
                  <c:v>1980.05</c:v>
                </c:pt>
                <c:pt idx="320">
                  <c:v>1999.7</c:v>
                </c:pt>
                <c:pt idx="321">
                  <c:v>1987</c:v>
                </c:pt>
                <c:pt idx="322">
                  <c:v>1974.15</c:v>
                </c:pt>
                <c:pt idx="323">
                  <c:v>1948.55</c:v>
                </c:pt>
                <c:pt idx="324">
                  <c:v>1923.65</c:v>
                </c:pt>
                <c:pt idx="325">
                  <c:v>1922.4</c:v>
                </c:pt>
                <c:pt idx="326">
                  <c:v>1934.85</c:v>
                </c:pt>
                <c:pt idx="327">
                  <c:v>1889.25</c:v>
                </c:pt>
                <c:pt idx="328">
                  <c:v>1892.1</c:v>
                </c:pt>
                <c:pt idx="329">
                  <c:v>1879.8</c:v>
                </c:pt>
                <c:pt idx="330">
                  <c:v>1857.85</c:v>
                </c:pt>
                <c:pt idx="331">
                  <c:v>1856.65</c:v>
                </c:pt>
                <c:pt idx="332">
                  <c:v>1924.5</c:v>
                </c:pt>
                <c:pt idx="333">
                  <c:v>1924.15</c:v>
                </c:pt>
                <c:pt idx="334">
                  <c:v>1889.7</c:v>
                </c:pt>
                <c:pt idx="335">
                  <c:v>1902.25</c:v>
                </c:pt>
                <c:pt idx="336">
                  <c:v>1834.05</c:v>
                </c:pt>
                <c:pt idx="337">
                  <c:v>1824.75</c:v>
                </c:pt>
                <c:pt idx="338">
                  <c:v>1811.45</c:v>
                </c:pt>
                <c:pt idx="339">
                  <c:v>1864.55</c:v>
                </c:pt>
                <c:pt idx="340">
                  <c:v>1868.4</c:v>
                </c:pt>
                <c:pt idx="341">
                  <c:v>1868.8</c:v>
                </c:pt>
                <c:pt idx="342">
                  <c:v>1860.1</c:v>
                </c:pt>
                <c:pt idx="343">
                  <c:v>1829.95</c:v>
                </c:pt>
                <c:pt idx="344">
                  <c:v>1803.05</c:v>
                </c:pt>
                <c:pt idx="345">
                  <c:v>1823.7</c:v>
                </c:pt>
                <c:pt idx="346">
                  <c:v>1754.2</c:v>
                </c:pt>
                <c:pt idx="347">
                  <c:v>1763.65</c:v>
                </c:pt>
                <c:pt idx="348">
                  <c:v>1760.85</c:v>
                </c:pt>
                <c:pt idx="349">
                  <c:v>1757.25</c:v>
                </c:pt>
                <c:pt idx="350">
                  <c:v>1802.1</c:v>
                </c:pt>
                <c:pt idx="351">
                  <c:v>1839.3</c:v>
                </c:pt>
                <c:pt idx="352">
                  <c:v>1865.35</c:v>
                </c:pt>
                <c:pt idx="353">
                  <c:v>1862.05</c:v>
                </c:pt>
                <c:pt idx="354">
                  <c:v>1863.35</c:v>
                </c:pt>
                <c:pt idx="355">
                  <c:v>1873.4</c:v>
                </c:pt>
                <c:pt idx="356">
                  <c:v>1851.6</c:v>
                </c:pt>
                <c:pt idx="357">
                  <c:v>1852.75</c:v>
                </c:pt>
                <c:pt idx="358">
                  <c:v>1879.6</c:v>
                </c:pt>
                <c:pt idx="359">
                  <c:v>1968.1</c:v>
                </c:pt>
                <c:pt idx="360">
                  <c:v>1920.1</c:v>
                </c:pt>
                <c:pt idx="361">
                  <c:v>1959.3</c:v>
                </c:pt>
                <c:pt idx="362">
                  <c:v>1958.9</c:v>
                </c:pt>
                <c:pt idx="363">
                  <c:v>1935.1</c:v>
                </c:pt>
                <c:pt idx="364">
                  <c:v>1919</c:v>
                </c:pt>
                <c:pt idx="365">
                  <c:v>1952.75</c:v>
                </c:pt>
                <c:pt idx="366">
                  <c:v>1948.55</c:v>
                </c:pt>
                <c:pt idx="367">
                  <c:v>1934.3</c:v>
                </c:pt>
                <c:pt idx="368">
                  <c:v>1918.15</c:v>
                </c:pt>
                <c:pt idx="369">
                  <c:v>1893.4</c:v>
                </c:pt>
                <c:pt idx="370">
                  <c:v>1904.35</c:v>
                </c:pt>
                <c:pt idx="371">
                  <c:v>1875.6</c:v>
                </c:pt>
                <c:pt idx="372">
                  <c:v>1906.75</c:v>
                </c:pt>
                <c:pt idx="373">
                  <c:v>1900.25</c:v>
                </c:pt>
                <c:pt idx="374">
                  <c:v>1895.3</c:v>
                </c:pt>
                <c:pt idx="375">
                  <c:v>1898.6</c:v>
                </c:pt>
                <c:pt idx="376">
                  <c:v>1896.45</c:v>
                </c:pt>
                <c:pt idx="377">
                  <c:v>1905.75</c:v>
                </c:pt>
                <c:pt idx="378">
                  <c:v>1894.2</c:v>
                </c:pt>
                <c:pt idx="379">
                  <c:v>1892.15</c:v>
                </c:pt>
                <c:pt idx="380">
                  <c:v>1952.55</c:v>
                </c:pt>
                <c:pt idx="381">
                  <c:v>1950.25</c:v>
                </c:pt>
                <c:pt idx="382">
                  <c:v>1944.1</c:v>
                </c:pt>
                <c:pt idx="383">
                  <c:v>1950.45</c:v>
                </c:pt>
                <c:pt idx="384">
                  <c:v>1910.15</c:v>
                </c:pt>
                <c:pt idx="385">
                  <c:v>1912.3</c:v>
                </c:pt>
                <c:pt idx="386">
                  <c:v>1894.65</c:v>
                </c:pt>
                <c:pt idx="387">
                  <c:v>1901.85</c:v>
                </c:pt>
                <c:pt idx="388">
                  <c:v>1933.15</c:v>
                </c:pt>
                <c:pt idx="389">
                  <c:v>1922.45</c:v>
                </c:pt>
                <c:pt idx="390">
                  <c:v>1941.25</c:v>
                </c:pt>
                <c:pt idx="391">
                  <c:v>1964.5</c:v>
                </c:pt>
                <c:pt idx="392">
                  <c:v>1943.7</c:v>
                </c:pt>
                <c:pt idx="393">
                  <c:v>1933.35</c:v>
                </c:pt>
                <c:pt idx="394">
                  <c:v>1939.1</c:v>
                </c:pt>
                <c:pt idx="395">
                  <c:v>1900.1</c:v>
                </c:pt>
                <c:pt idx="396">
                  <c:v>1876.15</c:v>
                </c:pt>
                <c:pt idx="397">
                  <c:v>1862.1</c:v>
                </c:pt>
                <c:pt idx="398">
                  <c:v>1880.25</c:v>
                </c:pt>
                <c:pt idx="399">
                  <c:v>1872.7</c:v>
                </c:pt>
                <c:pt idx="400">
                  <c:v>1872.2</c:v>
                </c:pt>
                <c:pt idx="401">
                  <c:v>1864.8</c:v>
                </c:pt>
                <c:pt idx="402">
                  <c:v>1858.95</c:v>
                </c:pt>
                <c:pt idx="403">
                  <c:v>1823.25</c:v>
                </c:pt>
                <c:pt idx="404">
                  <c:v>1797.45</c:v>
                </c:pt>
                <c:pt idx="405">
                  <c:v>1797.4</c:v>
                </c:pt>
                <c:pt idx="406">
                  <c:v>1770.75</c:v>
                </c:pt>
                <c:pt idx="407">
                  <c:v>1743.15</c:v>
                </c:pt>
                <c:pt idx="408">
                  <c:v>1791.65</c:v>
                </c:pt>
                <c:pt idx="409">
                  <c:v>1751.1</c:v>
                </c:pt>
                <c:pt idx="410">
                  <c:v>1751.9</c:v>
                </c:pt>
                <c:pt idx="411">
                  <c:v>1821.2</c:v>
                </c:pt>
                <c:pt idx="412">
                  <c:v>1852.6</c:v>
                </c:pt>
                <c:pt idx="413">
                  <c:v>1868.25</c:v>
                </c:pt>
                <c:pt idx="414">
                  <c:v>1877.15</c:v>
                </c:pt>
                <c:pt idx="415">
                  <c:v>1871.1</c:v>
                </c:pt>
                <c:pt idx="416">
                  <c:v>1878.9</c:v>
                </c:pt>
                <c:pt idx="417">
                  <c:v>1824.85</c:v>
                </c:pt>
                <c:pt idx="418">
                  <c:v>1833.95</c:v>
                </c:pt>
                <c:pt idx="419">
                  <c:v>1836.9</c:v>
                </c:pt>
                <c:pt idx="420">
                  <c:v>1810.85</c:v>
                </c:pt>
                <c:pt idx="421">
                  <c:v>1792.95</c:v>
                </c:pt>
                <c:pt idx="422">
                  <c:v>1758.05</c:v>
                </c:pt>
                <c:pt idx="423">
                  <c:v>1726.05</c:v>
                </c:pt>
                <c:pt idx="424">
                  <c:v>1707.05</c:v>
                </c:pt>
                <c:pt idx="425">
                  <c:v>1711.75</c:v>
                </c:pt>
                <c:pt idx="426">
                  <c:v>1652.7</c:v>
                </c:pt>
                <c:pt idx="427">
                  <c:v>1648.25</c:v>
                </c:pt>
                <c:pt idx="428">
                  <c:v>1657.15</c:v>
                </c:pt>
                <c:pt idx="429">
                  <c:v>1661.65</c:v>
                </c:pt>
                <c:pt idx="430">
                  <c:v>1647.45</c:v>
                </c:pt>
                <c:pt idx="431">
                  <c:v>1650.65</c:v>
                </c:pt>
                <c:pt idx="432">
                  <c:v>1627.4</c:v>
                </c:pt>
                <c:pt idx="433">
                  <c:v>1621.05</c:v>
                </c:pt>
                <c:pt idx="434">
                  <c:v>1590.8</c:v>
                </c:pt>
                <c:pt idx="435">
                  <c:v>1566.75</c:v>
                </c:pt>
                <c:pt idx="436">
                  <c:v>1573.35</c:v>
                </c:pt>
                <c:pt idx="437">
                  <c:v>1540.7</c:v>
                </c:pt>
                <c:pt idx="438">
                  <c:v>1541.95</c:v>
                </c:pt>
                <c:pt idx="439">
                  <c:v>1527.15</c:v>
                </c:pt>
                <c:pt idx="440">
                  <c:v>1532.7</c:v>
                </c:pt>
                <c:pt idx="441">
                  <c:v>1515.4</c:v>
                </c:pt>
                <c:pt idx="442">
                  <c:v>1511.35</c:v>
                </c:pt>
                <c:pt idx="443">
                  <c:v>1498.2</c:v>
                </c:pt>
                <c:pt idx="444">
                  <c:v>1488.9</c:v>
                </c:pt>
                <c:pt idx="445">
                  <c:v>1493.95</c:v>
                </c:pt>
                <c:pt idx="446">
                  <c:v>1485.2</c:v>
                </c:pt>
                <c:pt idx="447">
                  <c:v>1495.75</c:v>
                </c:pt>
                <c:pt idx="448">
                  <c:v>1499.75</c:v>
                </c:pt>
                <c:pt idx="449">
                  <c:v>1533.6</c:v>
                </c:pt>
                <c:pt idx="450">
                  <c:v>1472.25</c:v>
                </c:pt>
                <c:pt idx="451">
                  <c:v>1430.1</c:v>
                </c:pt>
                <c:pt idx="452">
                  <c:v>1393.65</c:v>
                </c:pt>
                <c:pt idx="453">
                  <c:v>1405.9</c:v>
                </c:pt>
                <c:pt idx="454">
                  <c:v>1406.9</c:v>
                </c:pt>
                <c:pt idx="455">
                  <c:v>1419.45</c:v>
                </c:pt>
                <c:pt idx="456">
                  <c:v>1442.82</c:v>
                </c:pt>
                <c:pt idx="457">
                  <c:v>1458.83</c:v>
                </c:pt>
                <c:pt idx="458">
                  <c:v>1463.1</c:v>
                </c:pt>
                <c:pt idx="459">
                  <c:v>1456.89</c:v>
                </c:pt>
                <c:pt idx="460">
                  <c:v>1464.15</c:v>
                </c:pt>
                <c:pt idx="461">
                  <c:v>1446.65</c:v>
                </c:pt>
                <c:pt idx="462">
                  <c:v>1426.11</c:v>
                </c:pt>
                <c:pt idx="463">
                  <c:v>1443.65</c:v>
                </c:pt>
                <c:pt idx="464">
                  <c:v>1436.21</c:v>
                </c:pt>
                <c:pt idx="465">
                  <c:v>1445.2</c:v>
                </c:pt>
                <c:pt idx="466">
                  <c:v>1411.99</c:v>
                </c:pt>
                <c:pt idx="467">
                  <c:v>1416.72</c:v>
                </c:pt>
                <c:pt idx="468">
                  <c:v>1415.47</c:v>
                </c:pt>
                <c:pt idx="469">
                  <c:v>1416.92</c:v>
                </c:pt>
                <c:pt idx="470">
                  <c:v>1431.48</c:v>
                </c:pt>
                <c:pt idx="471">
                  <c:v>1419.3</c:v>
                </c:pt>
                <c:pt idx="472">
                  <c:v>1432.88</c:v>
                </c:pt>
                <c:pt idx="473">
                  <c:v>1417.91</c:v>
                </c:pt>
                <c:pt idx="474">
                  <c:v>1408.36</c:v>
                </c:pt>
                <c:pt idx="475">
                  <c:v>1406.52</c:v>
                </c:pt>
                <c:pt idx="476">
                  <c:v>1412.59</c:v>
                </c:pt>
                <c:pt idx="477">
                  <c:v>1426.71</c:v>
                </c:pt>
                <c:pt idx="478">
                  <c:v>1422.23</c:v>
                </c:pt>
                <c:pt idx="479">
                  <c:v>1430.39</c:v>
                </c:pt>
                <c:pt idx="480">
                  <c:v>1422.73</c:v>
                </c:pt>
                <c:pt idx="481">
                  <c:v>1434.32</c:v>
                </c:pt>
                <c:pt idx="482">
                  <c:v>1424.72</c:v>
                </c:pt>
                <c:pt idx="483">
                  <c:v>1403.34</c:v>
                </c:pt>
                <c:pt idx="484">
                  <c:v>1411.3</c:v>
                </c:pt>
                <c:pt idx="485">
                  <c:v>1406.52</c:v>
                </c:pt>
                <c:pt idx="486">
                  <c:v>1459.92</c:v>
                </c:pt>
                <c:pt idx="487">
                  <c:v>1476.43</c:v>
                </c:pt>
                <c:pt idx="488">
                  <c:v>1498.36</c:v>
                </c:pt>
                <c:pt idx="489">
                  <c:v>1486.47</c:v>
                </c:pt>
                <c:pt idx="490">
                  <c:v>1468.43</c:v>
                </c:pt>
                <c:pt idx="491">
                  <c:v>1470.81</c:v>
                </c:pt>
                <c:pt idx="492">
                  <c:v>1478.37</c:v>
                </c:pt>
                <c:pt idx="493">
                  <c:v>1472.35</c:v>
                </c:pt>
                <c:pt idx="494">
                  <c:v>1474.54</c:v>
                </c:pt>
                <c:pt idx="495">
                  <c:v>1487.07</c:v>
                </c:pt>
                <c:pt idx="496">
                  <c:v>1489.66</c:v>
                </c:pt>
                <c:pt idx="497">
                  <c:v>1475.54</c:v>
                </c:pt>
                <c:pt idx="498">
                  <c:v>1484.29</c:v>
                </c:pt>
                <c:pt idx="499">
                  <c:v>1500.39</c:v>
                </c:pt>
                <c:pt idx="500">
                  <c:v>1545.99</c:v>
                </c:pt>
                <c:pt idx="501">
                  <c:v>1546.24</c:v>
                </c:pt>
                <c:pt idx="502">
                  <c:v>1552.7</c:v>
                </c:pt>
                <c:pt idx="503">
                  <c:v>1593.67</c:v>
                </c:pt>
                <c:pt idx="504">
                  <c:v>1624.84</c:v>
                </c:pt>
                <c:pt idx="505">
                  <c:v>1644.04</c:v>
                </c:pt>
                <c:pt idx="506">
                  <c:v>1602.37</c:v>
                </c:pt>
                <c:pt idx="507">
                  <c:v>1603.91</c:v>
                </c:pt>
                <c:pt idx="508">
                  <c:v>1591.63</c:v>
                </c:pt>
                <c:pt idx="509">
                  <c:v>1607.39</c:v>
                </c:pt>
                <c:pt idx="510">
                  <c:v>1608.48</c:v>
                </c:pt>
                <c:pt idx="511">
                  <c:v>1597.5</c:v>
                </c:pt>
                <c:pt idx="512">
                  <c:v>1628.03</c:v>
                </c:pt>
                <c:pt idx="513">
                  <c:v>1656.3</c:v>
                </c:pt>
                <c:pt idx="514">
                  <c:v>1645.43</c:v>
                </c:pt>
                <c:pt idx="515">
                  <c:v>1664.52</c:v>
                </c:pt>
                <c:pt idx="516">
                  <c:v>1661.88</c:v>
                </c:pt>
                <c:pt idx="517">
                  <c:v>1654.28</c:v>
                </c:pt>
                <c:pt idx="518">
                  <c:v>1650.85</c:v>
                </c:pt>
                <c:pt idx="519">
                  <c:v>1667.45</c:v>
                </c:pt>
                <c:pt idx="520">
                  <c:v>1671.93</c:v>
                </c:pt>
                <c:pt idx="521">
                  <c:v>1646.27</c:v>
                </c:pt>
                <c:pt idx="522">
                  <c:v>1675.81</c:v>
                </c:pt>
                <c:pt idx="523">
                  <c:v>1690.22</c:v>
                </c:pt>
                <c:pt idx="524">
                  <c:v>1692.11</c:v>
                </c:pt>
                <c:pt idx="525">
                  <c:v>1666.96</c:v>
                </c:pt>
                <c:pt idx="526">
                  <c:v>1656.86</c:v>
                </c:pt>
                <c:pt idx="527">
                  <c:v>1675.11</c:v>
                </c:pt>
                <c:pt idx="528">
                  <c:v>1670.69</c:v>
                </c:pt>
                <c:pt idx="529">
                  <c:v>1659.99</c:v>
                </c:pt>
                <c:pt idx="530">
                  <c:v>1682.62</c:v>
                </c:pt>
                <c:pt idx="531">
                  <c:v>1684.26</c:v>
                </c:pt>
                <c:pt idx="532">
                  <c:v>1719.76</c:v>
                </c:pt>
                <c:pt idx="533">
                  <c:v>1677.74</c:v>
                </c:pt>
                <c:pt idx="534">
                  <c:v>1683.86</c:v>
                </c:pt>
                <c:pt idx="535">
                  <c:v>1647.76</c:v>
                </c:pt>
                <c:pt idx="536">
                  <c:v>1651.59</c:v>
                </c:pt>
                <c:pt idx="537">
                  <c:v>1642.19</c:v>
                </c:pt>
                <c:pt idx="538">
                  <c:v>1647.32</c:v>
                </c:pt>
                <c:pt idx="539">
                  <c:v>1659.75</c:v>
                </c:pt>
                <c:pt idx="540">
                  <c:v>1666.01</c:v>
                </c:pt>
                <c:pt idx="541">
                  <c:v>1632.95</c:v>
                </c:pt>
                <c:pt idx="542">
                  <c:v>1648.85</c:v>
                </c:pt>
                <c:pt idx="543">
                  <c:v>1649.9</c:v>
                </c:pt>
                <c:pt idx="544">
                  <c:v>1633.4</c:v>
                </c:pt>
                <c:pt idx="545">
                  <c:v>1631.01</c:v>
                </c:pt>
                <c:pt idx="546">
                  <c:v>1622.41</c:v>
                </c:pt>
                <c:pt idx="547">
                  <c:v>1642.84</c:v>
                </c:pt>
                <c:pt idx="548">
                  <c:v>1603.71</c:v>
                </c:pt>
                <c:pt idx="549">
                  <c:v>1485.83</c:v>
                </c:pt>
                <c:pt idx="550">
                  <c:v>1511.38</c:v>
                </c:pt>
                <c:pt idx="551">
                  <c:v>1520.73</c:v>
                </c:pt>
                <c:pt idx="552">
                  <c:v>1514.27</c:v>
                </c:pt>
                <c:pt idx="553">
                  <c:v>1523.96</c:v>
                </c:pt>
                <c:pt idx="554">
                  <c:v>1504.22</c:v>
                </c:pt>
                <c:pt idx="555">
                  <c:v>1481.65</c:v>
                </c:pt>
                <c:pt idx="556">
                  <c:v>1525.8</c:v>
                </c:pt>
                <c:pt idx="557">
                  <c:v>1542.66</c:v>
                </c:pt>
                <c:pt idx="558">
                  <c:v>1534.25</c:v>
                </c:pt>
                <c:pt idx="559">
                  <c:v>1553.89</c:v>
                </c:pt>
                <c:pt idx="560">
                  <c:v>1558.32</c:v>
                </c:pt>
                <c:pt idx="561">
                  <c:v>1535.3</c:v>
                </c:pt>
                <c:pt idx="562">
                  <c:v>1554.14</c:v>
                </c:pt>
                <c:pt idx="563">
                  <c:v>1527.39</c:v>
                </c:pt>
                <c:pt idx="564">
                  <c:v>1527.79</c:v>
                </c:pt>
                <c:pt idx="565">
                  <c:v>1549.57</c:v>
                </c:pt>
                <c:pt idx="566">
                  <c:v>1555.58</c:v>
                </c:pt>
                <c:pt idx="567">
                  <c:v>1569.56</c:v>
                </c:pt>
                <c:pt idx="568">
                  <c:v>1493.04</c:v>
                </c:pt>
                <c:pt idx="569">
                  <c:v>1440.88</c:v>
                </c:pt>
                <c:pt idx="570">
                  <c:v>1467.78</c:v>
                </c:pt>
                <c:pt idx="571">
                  <c:v>1480.16</c:v>
                </c:pt>
                <c:pt idx="572">
                  <c:v>1482.79</c:v>
                </c:pt>
                <c:pt idx="573">
                  <c:v>1457.69</c:v>
                </c:pt>
                <c:pt idx="574">
                  <c:v>1466.04</c:v>
                </c:pt>
                <c:pt idx="575">
                  <c:v>1445.8</c:v>
                </c:pt>
                <c:pt idx="576">
                  <c:v>1456.14</c:v>
                </c:pt>
                <c:pt idx="577">
                  <c:v>1444.16</c:v>
                </c:pt>
                <c:pt idx="578">
                  <c:v>1446.99</c:v>
                </c:pt>
                <c:pt idx="579">
                  <c:v>1451.42</c:v>
                </c:pt>
                <c:pt idx="580">
                  <c:v>1434.61</c:v>
                </c:pt>
                <c:pt idx="581">
                  <c:v>1429.34</c:v>
                </c:pt>
                <c:pt idx="582">
                  <c:v>1441.13</c:v>
                </c:pt>
                <c:pt idx="583">
                  <c:v>1449.63</c:v>
                </c:pt>
                <c:pt idx="584">
                  <c:v>1430.94</c:v>
                </c:pt>
                <c:pt idx="585">
                  <c:v>1428.55</c:v>
                </c:pt>
                <c:pt idx="586">
                  <c:v>1429.49</c:v>
                </c:pt>
                <c:pt idx="587">
                  <c:v>1436.8</c:v>
                </c:pt>
                <c:pt idx="588">
                  <c:v>1402.6</c:v>
                </c:pt>
                <c:pt idx="589">
                  <c:v>1365.85</c:v>
                </c:pt>
                <c:pt idx="590">
                  <c:v>1388.2</c:v>
                </c:pt>
                <c:pt idx="591">
                  <c:v>1361.18</c:v>
                </c:pt>
                <c:pt idx="592">
                  <c:v>1367.1</c:v>
                </c:pt>
                <c:pt idx="593">
                  <c:v>1383.2</c:v>
                </c:pt>
                <c:pt idx="594">
                  <c:v>1396.43</c:v>
                </c:pt>
                <c:pt idx="595">
                  <c:v>1395.44</c:v>
                </c:pt>
                <c:pt idx="596">
                  <c:v>1381.27</c:v>
                </c:pt>
                <c:pt idx="597">
                  <c:v>1362.47</c:v>
                </c:pt>
                <c:pt idx="598">
                  <c:v>1346.56</c:v>
                </c:pt>
                <c:pt idx="599">
                  <c:v>1360.73</c:v>
                </c:pt>
                <c:pt idx="600">
                  <c:v>1369.33</c:v>
                </c:pt>
                <c:pt idx="601">
                  <c:v>1372.61</c:v>
                </c:pt>
                <c:pt idx="602">
                  <c:v>1351.83</c:v>
                </c:pt>
                <c:pt idx="603">
                  <c:v>1362.37</c:v>
                </c:pt>
                <c:pt idx="604">
                  <c:v>1400.76</c:v>
                </c:pt>
                <c:pt idx="605">
                  <c:v>1419.25</c:v>
                </c:pt>
                <c:pt idx="606">
                  <c:v>1425.62</c:v>
                </c:pt>
                <c:pt idx="607">
                  <c:v>1432.48</c:v>
                </c:pt>
                <c:pt idx="608">
                  <c:v>1434.37</c:v>
                </c:pt>
                <c:pt idx="609">
                  <c:v>1426.11</c:v>
                </c:pt>
                <c:pt idx="610">
                  <c:v>1423.13</c:v>
                </c:pt>
                <c:pt idx="611">
                  <c:v>1457.29</c:v>
                </c:pt>
                <c:pt idx="612">
                  <c:v>1486.03</c:v>
                </c:pt>
                <c:pt idx="613">
                  <c:v>1486.77</c:v>
                </c:pt>
                <c:pt idx="614">
                  <c:v>1467.18</c:v>
                </c:pt>
                <c:pt idx="615">
                  <c:v>1470.41</c:v>
                </c:pt>
                <c:pt idx="616">
                  <c:v>1455.25</c:v>
                </c:pt>
                <c:pt idx="617">
                  <c:v>1436.26</c:v>
                </c:pt>
                <c:pt idx="618">
                  <c:v>1425.96</c:v>
                </c:pt>
                <c:pt idx="619">
                  <c:v>1427.41</c:v>
                </c:pt>
                <c:pt idx="620">
                  <c:v>1431.38</c:v>
                </c:pt>
                <c:pt idx="621">
                  <c:v>1458.78</c:v>
                </c:pt>
                <c:pt idx="622">
                  <c:v>1452.46</c:v>
                </c:pt>
                <c:pt idx="623">
                  <c:v>1465.89</c:v>
                </c:pt>
                <c:pt idx="624">
                  <c:v>1487.77</c:v>
                </c:pt>
                <c:pt idx="625">
                  <c:v>1493.33</c:v>
                </c:pt>
                <c:pt idx="626">
                  <c:v>1481.9</c:v>
                </c:pt>
                <c:pt idx="627">
                  <c:v>1483.44</c:v>
                </c:pt>
                <c:pt idx="628">
                  <c:v>1503.13</c:v>
                </c:pt>
                <c:pt idx="629">
                  <c:v>1498.51</c:v>
                </c:pt>
                <c:pt idx="630">
                  <c:v>1489.95</c:v>
                </c:pt>
                <c:pt idx="631">
                  <c:v>1492.69</c:v>
                </c:pt>
                <c:pt idx="632">
                  <c:v>1468.18</c:v>
                </c:pt>
                <c:pt idx="633">
                  <c:v>1461.36</c:v>
                </c:pt>
                <c:pt idx="634">
                  <c:v>1457.98</c:v>
                </c:pt>
                <c:pt idx="635">
                  <c:v>1469.17</c:v>
                </c:pt>
                <c:pt idx="636">
                  <c:v>1470.61</c:v>
                </c:pt>
                <c:pt idx="637">
                  <c:v>1456.89</c:v>
                </c:pt>
                <c:pt idx="638">
                  <c:v>1435.76</c:v>
                </c:pt>
                <c:pt idx="639">
                  <c:v>1427.41</c:v>
                </c:pt>
                <c:pt idx="640">
                  <c:v>1427.11</c:v>
                </c:pt>
                <c:pt idx="641">
                  <c:v>1409.7</c:v>
                </c:pt>
                <c:pt idx="642">
                  <c:v>1407.72</c:v>
                </c:pt>
                <c:pt idx="643">
                  <c:v>1412.14</c:v>
                </c:pt>
                <c:pt idx="644">
                  <c:v>1415.62</c:v>
                </c:pt>
                <c:pt idx="645">
                  <c:v>1400.06</c:v>
                </c:pt>
                <c:pt idx="646">
                  <c:v>1395.88</c:v>
                </c:pt>
                <c:pt idx="647">
                  <c:v>1397.52</c:v>
                </c:pt>
                <c:pt idx="648">
                  <c:v>1381.02</c:v>
                </c:pt>
                <c:pt idx="649">
                  <c:v>1403.64</c:v>
                </c:pt>
                <c:pt idx="650">
                  <c:v>1410.55</c:v>
                </c:pt>
                <c:pt idx="651">
                  <c:v>1385.74</c:v>
                </c:pt>
                <c:pt idx="652">
                  <c:v>1364.16</c:v>
                </c:pt>
                <c:pt idx="653">
                  <c:v>1381.31</c:v>
                </c:pt>
                <c:pt idx="654">
                  <c:v>1386.59</c:v>
                </c:pt>
                <c:pt idx="655">
                  <c:v>1382.41</c:v>
                </c:pt>
                <c:pt idx="656">
                  <c:v>1385.19</c:v>
                </c:pt>
                <c:pt idx="657">
                  <c:v>1370.63</c:v>
                </c:pt>
                <c:pt idx="658">
                  <c:v>1356.65</c:v>
                </c:pt>
                <c:pt idx="659">
                  <c:v>1349.25</c:v>
                </c:pt>
                <c:pt idx="660">
                  <c:v>1357.55</c:v>
                </c:pt>
                <c:pt idx="661">
                  <c:v>1348.1</c:v>
                </c:pt>
                <c:pt idx="662">
                  <c:v>1332.99</c:v>
                </c:pt>
                <c:pt idx="663">
                  <c:v>1345.57</c:v>
                </c:pt>
                <c:pt idx="664">
                  <c:v>1341.29</c:v>
                </c:pt>
                <c:pt idx="665">
                  <c:v>1327.12</c:v>
                </c:pt>
                <c:pt idx="666">
                  <c:v>1329.11</c:v>
                </c:pt>
                <c:pt idx="667">
                  <c:v>1324.14</c:v>
                </c:pt>
                <c:pt idx="668">
                  <c:v>1441.38</c:v>
                </c:pt>
                <c:pt idx="669">
                  <c:v>1466.68</c:v>
                </c:pt>
                <c:pt idx="670">
                  <c:v>1466.93</c:v>
                </c:pt>
                <c:pt idx="671">
                  <c:v>1414.98</c:v>
                </c:pt>
                <c:pt idx="672">
                  <c:v>1417.96</c:v>
                </c:pt>
                <c:pt idx="673">
                  <c:v>1357.45</c:v>
                </c:pt>
                <c:pt idx="674">
                  <c:v>1325.83</c:v>
                </c:pt>
                <c:pt idx="675">
                  <c:v>1341.04</c:v>
                </c:pt>
                <c:pt idx="676">
                  <c:v>1321.7</c:v>
                </c:pt>
                <c:pt idx="677">
                  <c:v>1322.75</c:v>
                </c:pt>
                <c:pt idx="678">
                  <c:v>1336.37</c:v>
                </c:pt>
                <c:pt idx="679">
                  <c:v>1339.75</c:v>
                </c:pt>
                <c:pt idx="680">
                  <c:v>1337.61</c:v>
                </c:pt>
                <c:pt idx="681">
                  <c:v>1326.23</c:v>
                </c:pt>
                <c:pt idx="682">
                  <c:v>1328.02</c:v>
                </c:pt>
                <c:pt idx="683">
                  <c:v>1286.0999999999999</c:v>
                </c:pt>
                <c:pt idx="684">
                  <c:v>1271.98</c:v>
                </c:pt>
                <c:pt idx="685">
                  <c:v>1263.23</c:v>
                </c:pt>
                <c:pt idx="686">
                  <c:v>1257.9100000000001</c:v>
                </c:pt>
                <c:pt idx="687">
                  <c:v>1274.3699999999999</c:v>
                </c:pt>
                <c:pt idx="688">
                  <c:v>1292.07</c:v>
                </c:pt>
                <c:pt idx="689">
                  <c:v>1296.0999999999999</c:v>
                </c:pt>
                <c:pt idx="690">
                  <c:v>1286.75</c:v>
                </c:pt>
                <c:pt idx="691">
                  <c:v>1284.4100000000001</c:v>
                </c:pt>
                <c:pt idx="692">
                  <c:v>1279.5899999999999</c:v>
                </c:pt>
                <c:pt idx="693">
                  <c:v>1293.1099999999999</c:v>
                </c:pt>
                <c:pt idx="694">
                  <c:v>1297.54</c:v>
                </c:pt>
                <c:pt idx="695">
                  <c:v>1284.71</c:v>
                </c:pt>
                <c:pt idx="696">
                  <c:v>1258.8599999999999</c:v>
                </c:pt>
                <c:pt idx="697">
                  <c:v>1275.6099999999999</c:v>
                </c:pt>
                <c:pt idx="698">
                  <c:v>1281.73</c:v>
                </c:pt>
                <c:pt idx="699">
                  <c:v>1271.83</c:v>
                </c:pt>
                <c:pt idx="700">
                  <c:v>1297.19</c:v>
                </c:pt>
                <c:pt idx="701">
                  <c:v>1291.72</c:v>
                </c:pt>
                <c:pt idx="702">
                  <c:v>1312.11</c:v>
                </c:pt>
                <c:pt idx="703">
                  <c:v>1310.91</c:v>
                </c:pt>
                <c:pt idx="704">
                  <c:v>1316.43</c:v>
                </c:pt>
                <c:pt idx="705">
                  <c:v>1307.03</c:v>
                </c:pt>
                <c:pt idx="706">
                  <c:v>1310.07</c:v>
                </c:pt>
                <c:pt idx="707">
                  <c:v>1297.04</c:v>
                </c:pt>
                <c:pt idx="708">
                  <c:v>1291.3699999999999</c:v>
                </c:pt>
                <c:pt idx="709">
                  <c:v>1292.77</c:v>
                </c:pt>
                <c:pt idx="710">
                  <c:v>1285.56</c:v>
                </c:pt>
                <c:pt idx="711">
                  <c:v>1261.79</c:v>
                </c:pt>
                <c:pt idx="712">
                  <c:v>1239.02</c:v>
                </c:pt>
                <c:pt idx="713">
                  <c:v>1239.9100000000001</c:v>
                </c:pt>
                <c:pt idx="714">
                  <c:v>1257.21</c:v>
                </c:pt>
                <c:pt idx="715">
                  <c:v>1251.3</c:v>
                </c:pt>
                <c:pt idx="716">
                  <c:v>1238.22</c:v>
                </c:pt>
                <c:pt idx="717">
                  <c:v>1249.06</c:v>
                </c:pt>
                <c:pt idx="718">
                  <c:v>1256.17</c:v>
                </c:pt>
                <c:pt idx="719">
                  <c:v>1263.58</c:v>
                </c:pt>
                <c:pt idx="720">
                  <c:v>1258.51</c:v>
                </c:pt>
                <c:pt idx="721">
                  <c:v>1252.04</c:v>
                </c:pt>
                <c:pt idx="722">
                  <c:v>1266.4100000000001</c:v>
                </c:pt>
                <c:pt idx="723">
                  <c:v>1262.04</c:v>
                </c:pt>
                <c:pt idx="724">
                  <c:v>1270.29</c:v>
                </c:pt>
                <c:pt idx="725">
                  <c:v>1245.73</c:v>
                </c:pt>
                <c:pt idx="726">
                  <c:v>1239.27</c:v>
                </c:pt>
                <c:pt idx="727">
                  <c:v>1220.67</c:v>
                </c:pt>
                <c:pt idx="728">
                  <c:v>1218.04</c:v>
                </c:pt>
                <c:pt idx="729">
                  <c:v>1219.43</c:v>
                </c:pt>
                <c:pt idx="730">
                  <c:v>1220.47</c:v>
                </c:pt>
                <c:pt idx="731">
                  <c:v>1216.54</c:v>
                </c:pt>
                <c:pt idx="732">
                  <c:v>1225.3</c:v>
                </c:pt>
                <c:pt idx="733">
                  <c:v>1252.29</c:v>
                </c:pt>
                <c:pt idx="734">
                  <c:v>1251.25</c:v>
                </c:pt>
                <c:pt idx="735">
                  <c:v>1381.42</c:v>
                </c:pt>
                <c:pt idx="736">
                  <c:v>1420.3</c:v>
                </c:pt>
                <c:pt idx="737">
                  <c:v>1398.27</c:v>
                </c:pt>
                <c:pt idx="738">
                  <c:v>1419.6</c:v>
                </c:pt>
                <c:pt idx="739">
                  <c:v>1413.93</c:v>
                </c:pt>
                <c:pt idx="740">
                  <c:v>1415.57</c:v>
                </c:pt>
                <c:pt idx="741">
                  <c:v>1402.94</c:v>
                </c:pt>
                <c:pt idx="742">
                  <c:v>1419.95</c:v>
                </c:pt>
                <c:pt idx="743">
                  <c:v>1375.8</c:v>
                </c:pt>
                <c:pt idx="744">
                  <c:v>1369.88</c:v>
                </c:pt>
                <c:pt idx="745">
                  <c:v>1381.17</c:v>
                </c:pt>
                <c:pt idx="746">
                  <c:v>1372.91</c:v>
                </c:pt>
                <c:pt idx="747">
                  <c:v>1366.85</c:v>
                </c:pt>
                <c:pt idx="748">
                  <c:v>1381.46</c:v>
                </c:pt>
                <c:pt idx="749">
                  <c:v>1382.91</c:v>
                </c:pt>
                <c:pt idx="750">
                  <c:v>1395.78</c:v>
                </c:pt>
                <c:pt idx="751">
                  <c:v>1412.74</c:v>
                </c:pt>
                <c:pt idx="752">
                  <c:v>1396.23</c:v>
                </c:pt>
                <c:pt idx="753">
                  <c:v>1411.69</c:v>
                </c:pt>
                <c:pt idx="754">
                  <c:v>1412.04</c:v>
                </c:pt>
                <c:pt idx="755">
                  <c:v>1427.06</c:v>
                </c:pt>
                <c:pt idx="756">
                  <c:v>1463.3</c:v>
                </c:pt>
                <c:pt idx="757">
                  <c:v>1472.1</c:v>
                </c:pt>
                <c:pt idx="758">
                  <c:v>1484.33</c:v>
                </c:pt>
                <c:pt idx="759">
                  <c:v>1499</c:v>
                </c:pt>
                <c:pt idx="760">
                  <c:v>1471.01</c:v>
                </c:pt>
                <c:pt idx="761">
                  <c:v>1463.9</c:v>
                </c:pt>
                <c:pt idx="762">
                  <c:v>1487.67</c:v>
                </c:pt>
                <c:pt idx="763">
                  <c:v>1479.21</c:v>
                </c:pt>
                <c:pt idx="764">
                  <c:v>1500.84</c:v>
                </c:pt>
                <c:pt idx="765">
                  <c:v>1541.96</c:v>
                </c:pt>
                <c:pt idx="766">
                  <c:v>1542.01</c:v>
                </c:pt>
                <c:pt idx="767">
                  <c:v>1553.05</c:v>
                </c:pt>
                <c:pt idx="768">
                  <c:v>1570.65</c:v>
                </c:pt>
                <c:pt idx="769">
                  <c:v>1583.53</c:v>
                </c:pt>
                <c:pt idx="770">
                  <c:v>1574.92</c:v>
                </c:pt>
                <c:pt idx="771">
                  <c:v>1592.82</c:v>
                </c:pt>
                <c:pt idx="772">
                  <c:v>1588.1</c:v>
                </c:pt>
                <c:pt idx="773">
                  <c:v>1584.32</c:v>
                </c:pt>
                <c:pt idx="774">
                  <c:v>1558.67</c:v>
                </c:pt>
                <c:pt idx="775">
                  <c:v>1599.54</c:v>
                </c:pt>
                <c:pt idx="776">
                  <c:v>1607.94</c:v>
                </c:pt>
                <c:pt idx="777">
                  <c:v>1581.59</c:v>
                </c:pt>
                <c:pt idx="778">
                  <c:v>1553.64</c:v>
                </c:pt>
                <c:pt idx="779">
                  <c:v>1561.05</c:v>
                </c:pt>
                <c:pt idx="780">
                  <c:v>1590.44</c:v>
                </c:pt>
                <c:pt idx="781">
                  <c:v>1574.88</c:v>
                </c:pt>
                <c:pt idx="782">
                  <c:v>1542.41</c:v>
                </c:pt>
                <c:pt idx="783">
                  <c:v>1525.16</c:v>
                </c:pt>
                <c:pt idx="784">
                  <c:v>1530.18</c:v>
                </c:pt>
                <c:pt idx="785">
                  <c:v>1510.64</c:v>
                </c:pt>
                <c:pt idx="786">
                  <c:v>1534.35</c:v>
                </c:pt>
                <c:pt idx="787">
                  <c:v>1543.2</c:v>
                </c:pt>
                <c:pt idx="788">
                  <c:v>1539.32</c:v>
                </c:pt>
                <c:pt idx="789">
                  <c:v>1517</c:v>
                </c:pt>
                <c:pt idx="790">
                  <c:v>1530.28</c:v>
                </c:pt>
                <c:pt idx="791">
                  <c:v>1536.74</c:v>
                </c:pt>
                <c:pt idx="792">
                  <c:v>1530.87</c:v>
                </c:pt>
                <c:pt idx="793">
                  <c:v>1516.95</c:v>
                </c:pt>
                <c:pt idx="794">
                  <c:v>1495.22</c:v>
                </c:pt>
                <c:pt idx="795">
                  <c:v>1472.3</c:v>
                </c:pt>
                <c:pt idx="796">
                  <c:v>1463.01</c:v>
                </c:pt>
                <c:pt idx="797">
                  <c:v>1461.51</c:v>
                </c:pt>
                <c:pt idx="798">
                  <c:v>1476.13</c:v>
                </c:pt>
                <c:pt idx="799">
                  <c:v>1440.38</c:v>
                </c:pt>
                <c:pt idx="800">
                  <c:v>1466.93</c:v>
                </c:pt>
                <c:pt idx="801">
                  <c:v>1486.42</c:v>
                </c:pt>
                <c:pt idx="802">
                  <c:v>1514.02</c:v>
                </c:pt>
                <c:pt idx="803">
                  <c:v>1515.46</c:v>
                </c:pt>
                <c:pt idx="804">
                  <c:v>1499.75</c:v>
                </c:pt>
                <c:pt idx="805">
                  <c:v>1509.05</c:v>
                </c:pt>
                <c:pt idx="806">
                  <c:v>1501.69</c:v>
                </c:pt>
                <c:pt idx="807">
                  <c:v>1506.36</c:v>
                </c:pt>
                <c:pt idx="808">
                  <c:v>1493.98</c:v>
                </c:pt>
                <c:pt idx="809">
                  <c:v>1488.71</c:v>
                </c:pt>
                <c:pt idx="810">
                  <c:v>1513.52</c:v>
                </c:pt>
                <c:pt idx="811">
                  <c:v>1501.09</c:v>
                </c:pt>
                <c:pt idx="812">
                  <c:v>1498.85</c:v>
                </c:pt>
                <c:pt idx="813">
                  <c:v>1498.9</c:v>
                </c:pt>
                <c:pt idx="814">
                  <c:v>1513.67</c:v>
                </c:pt>
                <c:pt idx="815">
                  <c:v>1531.87</c:v>
                </c:pt>
                <c:pt idx="816">
                  <c:v>1570.55</c:v>
                </c:pt>
                <c:pt idx="817">
                  <c:v>1563.34</c:v>
                </c:pt>
                <c:pt idx="818">
                  <c:v>1538.53</c:v>
                </c:pt>
                <c:pt idx="819">
                  <c:v>1560.51</c:v>
                </c:pt>
                <c:pt idx="820">
                  <c:v>1611.07</c:v>
                </c:pt>
                <c:pt idx="821">
                  <c:v>1596.5</c:v>
                </c:pt>
                <c:pt idx="822">
                  <c:v>1603.86</c:v>
                </c:pt>
                <c:pt idx="823">
                  <c:v>1630.56</c:v>
                </c:pt>
                <c:pt idx="824">
                  <c:v>1628.72</c:v>
                </c:pt>
                <c:pt idx="825">
                  <c:v>1647.81</c:v>
                </c:pt>
                <c:pt idx="826">
                  <c:v>1625.79</c:v>
                </c:pt>
                <c:pt idx="827">
                  <c:v>1619.92</c:v>
                </c:pt>
                <c:pt idx="828">
                  <c:v>1614.3</c:v>
                </c:pt>
                <c:pt idx="829">
                  <c:v>1626.48</c:v>
                </c:pt>
                <c:pt idx="830">
                  <c:v>1620.67</c:v>
                </c:pt>
                <c:pt idx="831">
                  <c:v>1574.28</c:v>
                </c:pt>
                <c:pt idx="832">
                  <c:v>1576.17</c:v>
                </c:pt>
                <c:pt idx="833">
                  <c:v>1559.41</c:v>
                </c:pt>
                <c:pt idx="834">
                  <c:v>1584.47</c:v>
                </c:pt>
                <c:pt idx="835">
                  <c:v>1578.5</c:v>
                </c:pt>
                <c:pt idx="836">
                  <c:v>1593.82</c:v>
                </c:pt>
                <c:pt idx="837">
                  <c:v>1585.07</c:v>
                </c:pt>
                <c:pt idx="838">
                  <c:v>1576.42</c:v>
                </c:pt>
                <c:pt idx="839">
                  <c:v>1561.3</c:v>
                </c:pt>
                <c:pt idx="840">
                  <c:v>1493.53</c:v>
                </c:pt>
                <c:pt idx="841">
                  <c:v>1502.73</c:v>
                </c:pt>
                <c:pt idx="842">
                  <c:v>1499</c:v>
                </c:pt>
                <c:pt idx="843">
                  <c:v>1505.52</c:v>
                </c:pt>
                <c:pt idx="844">
                  <c:v>1522.17</c:v>
                </c:pt>
                <c:pt idx="845">
                  <c:v>1544.59</c:v>
                </c:pt>
                <c:pt idx="846">
                  <c:v>1564.19</c:v>
                </c:pt>
                <c:pt idx="847">
                  <c:v>1529.03</c:v>
                </c:pt>
                <c:pt idx="848">
                  <c:v>1504.77</c:v>
                </c:pt>
                <c:pt idx="849">
                  <c:v>1515.41</c:v>
                </c:pt>
                <c:pt idx="850">
                  <c:v>1517.75</c:v>
                </c:pt>
                <c:pt idx="851">
                  <c:v>1509.34</c:v>
                </c:pt>
                <c:pt idx="852">
                  <c:v>1492.09</c:v>
                </c:pt>
                <c:pt idx="853">
                  <c:v>1492.49</c:v>
                </c:pt>
                <c:pt idx="854">
                  <c:v>1477.13</c:v>
                </c:pt>
                <c:pt idx="855">
                  <c:v>1495.27</c:v>
                </c:pt>
                <c:pt idx="856">
                  <c:v>1481.6</c:v>
                </c:pt>
                <c:pt idx="857">
                  <c:v>1465.99</c:v>
                </c:pt>
                <c:pt idx="858">
                  <c:v>1411.94</c:v>
                </c:pt>
                <c:pt idx="859">
                  <c:v>1420.69</c:v>
                </c:pt>
                <c:pt idx="860">
                  <c:v>1415.82</c:v>
                </c:pt>
                <c:pt idx="861">
                  <c:v>1454.45</c:v>
                </c:pt>
                <c:pt idx="862">
                  <c:v>1443.07</c:v>
                </c:pt>
                <c:pt idx="863">
                  <c:v>1446.99</c:v>
                </c:pt>
                <c:pt idx="864">
                  <c:v>1421.39</c:v>
                </c:pt>
                <c:pt idx="865">
                  <c:v>1385.94</c:v>
                </c:pt>
                <c:pt idx="866">
                  <c:v>1405.53</c:v>
                </c:pt>
                <c:pt idx="867">
                  <c:v>1390.81</c:v>
                </c:pt>
                <c:pt idx="868">
                  <c:v>1386.88</c:v>
                </c:pt>
                <c:pt idx="869">
                  <c:v>1385.74</c:v>
                </c:pt>
                <c:pt idx="870">
                  <c:v>1372.52</c:v>
                </c:pt>
                <c:pt idx="871">
                  <c:v>1357.8</c:v>
                </c:pt>
                <c:pt idx="872">
                  <c:v>1360.28</c:v>
                </c:pt>
                <c:pt idx="873">
                  <c:v>1369.53</c:v>
                </c:pt>
                <c:pt idx="874">
                  <c:v>1380.77</c:v>
                </c:pt>
                <c:pt idx="875">
                  <c:v>1382.51</c:v>
                </c:pt>
                <c:pt idx="876">
                  <c:v>1369.33</c:v>
                </c:pt>
                <c:pt idx="877">
                  <c:v>1424.77</c:v>
                </c:pt>
                <c:pt idx="878">
                  <c:v>1467.13</c:v>
                </c:pt>
                <c:pt idx="879">
                  <c:v>1536.29</c:v>
                </c:pt>
                <c:pt idx="880">
                  <c:v>1527.59</c:v>
                </c:pt>
                <c:pt idx="881">
                  <c:v>1503.18</c:v>
                </c:pt>
                <c:pt idx="882">
                  <c:v>1467.63</c:v>
                </c:pt>
                <c:pt idx="883">
                  <c:v>1449.48</c:v>
                </c:pt>
                <c:pt idx="884">
                  <c:v>1446.95</c:v>
                </c:pt>
                <c:pt idx="885">
                  <c:v>1453.11</c:v>
                </c:pt>
                <c:pt idx="886">
                  <c:v>1444.86</c:v>
                </c:pt>
                <c:pt idx="887">
                  <c:v>1455.99</c:v>
                </c:pt>
                <c:pt idx="888">
                  <c:v>1484.58</c:v>
                </c:pt>
                <c:pt idx="889">
                  <c:v>1453.56</c:v>
                </c:pt>
                <c:pt idx="890">
                  <c:v>1513.02</c:v>
                </c:pt>
                <c:pt idx="891">
                  <c:v>1509.64</c:v>
                </c:pt>
                <c:pt idx="892">
                  <c:v>1528.88</c:v>
                </c:pt>
                <c:pt idx="893">
                  <c:v>1533.76</c:v>
                </c:pt>
                <c:pt idx="894">
                  <c:v>1566.82</c:v>
                </c:pt>
                <c:pt idx="895">
                  <c:v>1588.15</c:v>
                </c:pt>
                <c:pt idx="896">
                  <c:v>1574.08</c:v>
                </c:pt>
                <c:pt idx="897">
                  <c:v>1597.25</c:v>
                </c:pt>
                <c:pt idx="898">
                  <c:v>1587.5</c:v>
                </c:pt>
                <c:pt idx="899">
                  <c:v>1585.17</c:v>
                </c:pt>
                <c:pt idx="900">
                  <c:v>1610.87</c:v>
                </c:pt>
                <c:pt idx="901">
                  <c:v>1593.47</c:v>
                </c:pt>
                <c:pt idx="902">
                  <c:v>1610.32</c:v>
                </c:pt>
                <c:pt idx="903">
                  <c:v>1607.59</c:v>
                </c:pt>
                <c:pt idx="904">
                  <c:v>1590.93</c:v>
                </c:pt>
                <c:pt idx="905">
                  <c:v>1557.32</c:v>
                </c:pt>
                <c:pt idx="906">
                  <c:v>1534.95</c:v>
                </c:pt>
                <c:pt idx="907">
                  <c:v>1542.36</c:v>
                </c:pt>
                <c:pt idx="908">
                  <c:v>1541.02</c:v>
                </c:pt>
                <c:pt idx="909">
                  <c:v>1508.9</c:v>
                </c:pt>
                <c:pt idx="910">
                  <c:v>1462.81</c:v>
                </c:pt>
                <c:pt idx="911">
                  <c:v>1443.02</c:v>
                </c:pt>
                <c:pt idx="912">
                  <c:v>1495.17</c:v>
                </c:pt>
                <c:pt idx="913">
                  <c:v>1497.86</c:v>
                </c:pt>
                <c:pt idx="914">
                  <c:v>1524.31</c:v>
                </c:pt>
                <c:pt idx="915">
                  <c:v>1506.81</c:v>
                </c:pt>
                <c:pt idx="916">
                  <c:v>1475.83</c:v>
                </c:pt>
                <c:pt idx="917">
                  <c:v>1481.55</c:v>
                </c:pt>
                <c:pt idx="918">
                  <c:v>1422.33</c:v>
                </c:pt>
                <c:pt idx="919">
                  <c:v>1420.84</c:v>
                </c:pt>
                <c:pt idx="920">
                  <c:v>1436.35</c:v>
                </c:pt>
                <c:pt idx="921">
                  <c:v>1430.54</c:v>
                </c:pt>
                <c:pt idx="922">
                  <c:v>1464.89</c:v>
                </c:pt>
                <c:pt idx="923">
                  <c:v>1505.96</c:v>
                </c:pt>
                <c:pt idx="924">
                  <c:v>1490.3</c:v>
                </c:pt>
                <c:pt idx="925">
                  <c:v>1483.29</c:v>
                </c:pt>
                <c:pt idx="926">
                  <c:v>1467.68</c:v>
                </c:pt>
                <c:pt idx="927">
                  <c:v>1479.66</c:v>
                </c:pt>
                <c:pt idx="928">
                  <c:v>1471.11</c:v>
                </c:pt>
                <c:pt idx="929">
                  <c:v>1453.71</c:v>
                </c:pt>
                <c:pt idx="930">
                  <c:v>1455.05</c:v>
                </c:pt>
                <c:pt idx="931">
                  <c:v>1471.85</c:v>
                </c:pt>
                <c:pt idx="932">
                  <c:v>1466.34</c:v>
                </c:pt>
                <c:pt idx="933">
                  <c:v>1433.02</c:v>
                </c:pt>
                <c:pt idx="934">
                  <c:v>1444.31</c:v>
                </c:pt>
                <c:pt idx="935">
                  <c:v>1429.2</c:v>
                </c:pt>
                <c:pt idx="936">
                  <c:v>1441.78</c:v>
                </c:pt>
                <c:pt idx="937">
                  <c:v>1406.22</c:v>
                </c:pt>
                <c:pt idx="938">
                  <c:v>1379.53</c:v>
                </c:pt>
                <c:pt idx="939">
                  <c:v>1389.37</c:v>
                </c:pt>
                <c:pt idx="940">
                  <c:v>1414.23</c:v>
                </c:pt>
                <c:pt idx="941">
                  <c:v>1432.48</c:v>
                </c:pt>
                <c:pt idx="942">
                  <c:v>1416.52</c:v>
                </c:pt>
                <c:pt idx="943">
                  <c:v>1468.52</c:v>
                </c:pt>
                <c:pt idx="944">
                  <c:v>1506.51</c:v>
                </c:pt>
                <c:pt idx="945">
                  <c:v>1491.59</c:v>
                </c:pt>
                <c:pt idx="946">
                  <c:v>1498.26</c:v>
                </c:pt>
                <c:pt idx="947">
                  <c:v>1521.48</c:v>
                </c:pt>
                <c:pt idx="948">
                  <c:v>1513.17</c:v>
                </c:pt>
                <c:pt idx="949">
                  <c:v>1499.55</c:v>
                </c:pt>
                <c:pt idx="950">
                  <c:v>1470.26</c:v>
                </c:pt>
                <c:pt idx="951">
                  <c:v>1495.17</c:v>
                </c:pt>
                <c:pt idx="952">
                  <c:v>1518.24</c:v>
                </c:pt>
                <c:pt idx="953">
                  <c:v>1453.16</c:v>
                </c:pt>
                <c:pt idx="954">
                  <c:v>1415.97</c:v>
                </c:pt>
                <c:pt idx="955">
                  <c:v>1402.55</c:v>
                </c:pt>
                <c:pt idx="956">
                  <c:v>1432.93</c:v>
                </c:pt>
                <c:pt idx="957">
                  <c:v>1460.17</c:v>
                </c:pt>
                <c:pt idx="958">
                  <c:v>1446.99</c:v>
                </c:pt>
                <c:pt idx="959">
                  <c:v>1419.15</c:v>
                </c:pt>
                <c:pt idx="960">
                  <c:v>1500.74</c:v>
                </c:pt>
                <c:pt idx="961">
                  <c:v>1509.94</c:v>
                </c:pt>
                <c:pt idx="962">
                  <c:v>1489.1</c:v>
                </c:pt>
                <c:pt idx="963">
                  <c:v>1504.4</c:v>
                </c:pt>
                <c:pt idx="964">
                  <c:v>1508.8</c:v>
                </c:pt>
                <c:pt idx="965">
                  <c:v>1526.75</c:v>
                </c:pt>
                <c:pt idx="966">
                  <c:v>1553</c:v>
                </c:pt>
                <c:pt idx="967">
                  <c:v>1570.35</c:v>
                </c:pt>
                <c:pt idx="968">
                  <c:v>1542.85</c:v>
                </c:pt>
                <c:pt idx="969">
                  <c:v>1585.15</c:v>
                </c:pt>
                <c:pt idx="970">
                  <c:v>1535.55</c:v>
                </c:pt>
                <c:pt idx="971">
                  <c:v>1541</c:v>
                </c:pt>
                <c:pt idx="972">
                  <c:v>1567.55</c:v>
                </c:pt>
                <c:pt idx="973">
                  <c:v>1582.6</c:v>
                </c:pt>
                <c:pt idx="974">
                  <c:v>1552.8</c:v>
                </c:pt>
                <c:pt idx="975">
                  <c:v>1581</c:v>
                </c:pt>
                <c:pt idx="976">
                  <c:v>1561.1</c:v>
                </c:pt>
                <c:pt idx="977">
                  <c:v>1585.45</c:v>
                </c:pt>
                <c:pt idx="978">
                  <c:v>1618.8</c:v>
                </c:pt>
                <c:pt idx="979">
                  <c:v>1587.7</c:v>
                </c:pt>
                <c:pt idx="980">
                  <c:v>1562</c:v>
                </c:pt>
                <c:pt idx="981">
                  <c:v>1621.4</c:v>
                </c:pt>
                <c:pt idx="982">
                  <c:v>1748.55</c:v>
                </c:pt>
                <c:pt idx="983">
                  <c:v>1742.45</c:v>
                </c:pt>
                <c:pt idx="984">
                  <c:v>1766.55</c:v>
                </c:pt>
                <c:pt idx="985">
                  <c:v>1814.6</c:v>
                </c:pt>
                <c:pt idx="986">
                  <c:v>1811</c:v>
                </c:pt>
                <c:pt idx="987">
                  <c:v>1828.85</c:v>
                </c:pt>
                <c:pt idx="988">
                  <c:v>1861.1</c:v>
                </c:pt>
                <c:pt idx="989">
                  <c:v>1882.95</c:v>
                </c:pt>
                <c:pt idx="990">
                  <c:v>1903.55</c:v>
                </c:pt>
                <c:pt idx="991">
                  <c:v>1906.85</c:v>
                </c:pt>
                <c:pt idx="992">
                  <c:v>1903.95</c:v>
                </c:pt>
                <c:pt idx="993">
                  <c:v>1886</c:v>
                </c:pt>
                <c:pt idx="994">
                  <c:v>1873.9</c:v>
                </c:pt>
                <c:pt idx="995">
                  <c:v>1876.55</c:v>
                </c:pt>
                <c:pt idx="996">
                  <c:v>1886.7</c:v>
                </c:pt>
                <c:pt idx="997">
                  <c:v>1872.4</c:v>
                </c:pt>
                <c:pt idx="998">
                  <c:v>1887.4</c:v>
                </c:pt>
                <c:pt idx="999">
                  <c:v>1853.05</c:v>
                </c:pt>
                <c:pt idx="1000">
                  <c:v>1854.6</c:v>
                </c:pt>
                <c:pt idx="1001">
                  <c:v>1889.4</c:v>
                </c:pt>
                <c:pt idx="1002">
                  <c:v>1839.3</c:v>
                </c:pt>
                <c:pt idx="1003">
                  <c:v>1890.7</c:v>
                </c:pt>
                <c:pt idx="1004">
                  <c:v>1822</c:v>
                </c:pt>
                <c:pt idx="1005">
                  <c:v>1825.9</c:v>
                </c:pt>
                <c:pt idx="1006">
                  <c:v>1813.35</c:v>
                </c:pt>
                <c:pt idx="1007">
                  <c:v>1778.2</c:v>
                </c:pt>
                <c:pt idx="1008">
                  <c:v>1739.85</c:v>
                </c:pt>
                <c:pt idx="1009">
                  <c:v>1723.3</c:v>
                </c:pt>
                <c:pt idx="1010">
                  <c:v>1720.85</c:v>
                </c:pt>
                <c:pt idx="1011">
                  <c:v>1702.8</c:v>
                </c:pt>
                <c:pt idx="1012">
                  <c:v>1715.6</c:v>
                </c:pt>
                <c:pt idx="1013">
                  <c:v>1694.6</c:v>
                </c:pt>
                <c:pt idx="1014">
                  <c:v>1678.15</c:v>
                </c:pt>
                <c:pt idx="1015">
                  <c:v>1742.85</c:v>
                </c:pt>
                <c:pt idx="1016">
                  <c:v>1734.35</c:v>
                </c:pt>
                <c:pt idx="1017">
                  <c:v>1730.7</c:v>
                </c:pt>
                <c:pt idx="1018">
                  <c:v>1706.95</c:v>
                </c:pt>
                <c:pt idx="1019">
                  <c:v>1724.8</c:v>
                </c:pt>
                <c:pt idx="1020">
                  <c:v>1733.3</c:v>
                </c:pt>
                <c:pt idx="1021">
                  <c:v>1738.25</c:v>
                </c:pt>
                <c:pt idx="1022">
                  <c:v>1682.2</c:v>
                </c:pt>
                <c:pt idx="1023">
                  <c:v>1721.35</c:v>
                </c:pt>
                <c:pt idx="1024">
                  <c:v>1769.6</c:v>
                </c:pt>
                <c:pt idx="1025">
                  <c:v>1737.3</c:v>
                </c:pt>
                <c:pt idx="1026">
                  <c:v>1717.3</c:v>
                </c:pt>
                <c:pt idx="1027">
                  <c:v>1715</c:v>
                </c:pt>
                <c:pt idx="1028">
                  <c:v>1741.1</c:v>
                </c:pt>
                <c:pt idx="1029">
                  <c:v>1738.55</c:v>
                </c:pt>
                <c:pt idx="1030">
                  <c:v>1787.1</c:v>
                </c:pt>
                <c:pt idx="1031">
                  <c:v>1772.05</c:v>
                </c:pt>
                <c:pt idx="1032">
                  <c:v>1736.2</c:v>
                </c:pt>
                <c:pt idx="1033">
                  <c:v>1686.2</c:v>
                </c:pt>
                <c:pt idx="1034">
                  <c:v>1678.6</c:v>
                </c:pt>
                <c:pt idx="1035">
                  <c:v>1722.15</c:v>
                </c:pt>
                <c:pt idx="1036">
                  <c:v>1736.8</c:v>
                </c:pt>
                <c:pt idx="1037">
                  <c:v>1785.7</c:v>
                </c:pt>
                <c:pt idx="1038">
                  <c:v>1823.7</c:v>
                </c:pt>
                <c:pt idx="1039">
                  <c:v>1867.05</c:v>
                </c:pt>
                <c:pt idx="1040">
                  <c:v>1920.75</c:v>
                </c:pt>
                <c:pt idx="1041">
                  <c:v>1939.5</c:v>
                </c:pt>
                <c:pt idx="1042">
                  <c:v>1929.35</c:v>
                </c:pt>
                <c:pt idx="1043">
                  <c:v>1896.8</c:v>
                </c:pt>
                <c:pt idx="1044">
                  <c:v>1877.45</c:v>
                </c:pt>
                <c:pt idx="1045">
                  <c:v>1855.6</c:v>
                </c:pt>
                <c:pt idx="1046">
                  <c:v>1850.75</c:v>
                </c:pt>
                <c:pt idx="1047">
                  <c:v>1814.3</c:v>
                </c:pt>
                <c:pt idx="1048">
                  <c:v>1817.8</c:v>
                </c:pt>
                <c:pt idx="1049">
                  <c:v>1844.65</c:v>
                </c:pt>
                <c:pt idx="1050">
                  <c:v>1899.15</c:v>
                </c:pt>
                <c:pt idx="1051">
                  <c:v>1898.45</c:v>
                </c:pt>
                <c:pt idx="1052">
                  <c:v>1887.75</c:v>
                </c:pt>
                <c:pt idx="1053">
                  <c:v>1892.85</c:v>
                </c:pt>
                <c:pt idx="1054">
                  <c:v>1885.55</c:v>
                </c:pt>
                <c:pt idx="1055">
                  <c:v>1888</c:v>
                </c:pt>
                <c:pt idx="1056">
                  <c:v>1866.15</c:v>
                </c:pt>
                <c:pt idx="1057">
                  <c:v>1863.5</c:v>
                </c:pt>
                <c:pt idx="1058">
                  <c:v>1857.6</c:v>
                </c:pt>
                <c:pt idx="1059">
                  <c:v>1824.7</c:v>
                </c:pt>
                <c:pt idx="1060">
                  <c:v>1811.6</c:v>
                </c:pt>
                <c:pt idx="1061">
                  <c:v>1798.9</c:v>
                </c:pt>
                <c:pt idx="1062">
                  <c:v>1820.85</c:v>
                </c:pt>
                <c:pt idx="1063">
                  <c:v>1771.6</c:v>
                </c:pt>
                <c:pt idx="1064">
                  <c:v>1734.2</c:v>
                </c:pt>
                <c:pt idx="1065">
                  <c:v>1752.15</c:v>
                </c:pt>
                <c:pt idx="1066">
                  <c:v>1744.65</c:v>
                </c:pt>
                <c:pt idx="1067">
                  <c:v>1759.25</c:v>
                </c:pt>
                <c:pt idx="1068">
                  <c:v>1763.45</c:v>
                </c:pt>
                <c:pt idx="1069">
                  <c:v>1753.35</c:v>
                </c:pt>
                <c:pt idx="1070">
                  <c:v>1711.65</c:v>
                </c:pt>
                <c:pt idx="1071">
                  <c:v>1695.3</c:v>
                </c:pt>
                <c:pt idx="1072">
                  <c:v>1735.55</c:v>
                </c:pt>
                <c:pt idx="1073">
                  <c:v>1748.25</c:v>
                </c:pt>
                <c:pt idx="1074">
                  <c:v>1714.9</c:v>
                </c:pt>
                <c:pt idx="1075">
                  <c:v>1712.65</c:v>
                </c:pt>
                <c:pt idx="1076">
                  <c:v>1696.35</c:v>
                </c:pt>
                <c:pt idx="1077">
                  <c:v>1691.65</c:v>
                </c:pt>
                <c:pt idx="1078">
                  <c:v>1722.4</c:v>
                </c:pt>
                <c:pt idx="1079">
                  <c:v>1696</c:v>
                </c:pt>
                <c:pt idx="1080">
                  <c:v>1736.9</c:v>
                </c:pt>
                <c:pt idx="1081">
                  <c:v>1759.4</c:v>
                </c:pt>
                <c:pt idx="1082">
                  <c:v>1779.4</c:v>
                </c:pt>
                <c:pt idx="1083">
                  <c:v>1787.45</c:v>
                </c:pt>
                <c:pt idx="1084">
                  <c:v>1792.3</c:v>
                </c:pt>
                <c:pt idx="1085">
                  <c:v>1787.15</c:v>
                </c:pt>
                <c:pt idx="1086">
                  <c:v>1780.2</c:v>
                </c:pt>
                <c:pt idx="1087">
                  <c:v>1733.3</c:v>
                </c:pt>
                <c:pt idx="1088">
                  <c:v>1740.15</c:v>
                </c:pt>
                <c:pt idx="1089">
                  <c:v>1742.5</c:v>
                </c:pt>
                <c:pt idx="1090">
                  <c:v>1737.5</c:v>
                </c:pt>
                <c:pt idx="1091">
                  <c:v>1708.7</c:v>
                </c:pt>
                <c:pt idx="1092">
                  <c:v>1702.5</c:v>
                </c:pt>
                <c:pt idx="1093">
                  <c:v>1697.9</c:v>
                </c:pt>
                <c:pt idx="1094">
                  <c:v>1700.05</c:v>
                </c:pt>
                <c:pt idx="1095">
                  <c:v>1667.75</c:v>
                </c:pt>
                <c:pt idx="1096">
                  <c:v>1703.9</c:v>
                </c:pt>
                <c:pt idx="1097">
                  <c:v>1728.95</c:v>
                </c:pt>
                <c:pt idx="1098">
                  <c:v>1703.7</c:v>
                </c:pt>
                <c:pt idx="1099">
                  <c:v>1707.55</c:v>
                </c:pt>
                <c:pt idx="1100">
                  <c:v>1719.8</c:v>
                </c:pt>
                <c:pt idx="1101">
                  <c:v>1753.65</c:v>
                </c:pt>
                <c:pt idx="1102">
                  <c:v>1802.35</c:v>
                </c:pt>
                <c:pt idx="1103">
                  <c:v>1822.15</c:v>
                </c:pt>
                <c:pt idx="1104">
                  <c:v>1792.15</c:v>
                </c:pt>
                <c:pt idx="1105">
                  <c:v>1715.75</c:v>
                </c:pt>
                <c:pt idx="1106">
                  <c:v>1709.2</c:v>
                </c:pt>
                <c:pt idx="1107">
                  <c:v>1685.15</c:v>
                </c:pt>
                <c:pt idx="1108">
                  <c:v>1690.95</c:v>
                </c:pt>
                <c:pt idx="1109">
                  <c:v>1723.85</c:v>
                </c:pt>
                <c:pt idx="1110">
                  <c:v>1691</c:v>
                </c:pt>
                <c:pt idx="1111">
                  <c:v>1673.55</c:v>
                </c:pt>
                <c:pt idx="1112">
                  <c:v>1692.8</c:v>
                </c:pt>
                <c:pt idx="1113">
                  <c:v>1678.75</c:v>
                </c:pt>
                <c:pt idx="1114">
                  <c:v>1665.15</c:v>
                </c:pt>
                <c:pt idx="1115">
                  <c:v>1675.2</c:v>
                </c:pt>
                <c:pt idx="1116">
                  <c:v>1692.25</c:v>
                </c:pt>
                <c:pt idx="1117">
                  <c:v>1687.1</c:v>
                </c:pt>
                <c:pt idx="1118">
                  <c:v>1721.15</c:v>
                </c:pt>
                <c:pt idx="1119">
                  <c:v>1763.85</c:v>
                </c:pt>
                <c:pt idx="1120">
                  <c:v>1742.55</c:v>
                </c:pt>
                <c:pt idx="1121">
                  <c:v>1716.9</c:v>
                </c:pt>
                <c:pt idx="1122">
                  <c:v>1718.45</c:v>
                </c:pt>
                <c:pt idx="1123">
                  <c:v>1687.85</c:v>
                </c:pt>
                <c:pt idx="1124">
                  <c:v>1691.3</c:v>
                </c:pt>
                <c:pt idx="1125">
                  <c:v>1702.25</c:v>
                </c:pt>
                <c:pt idx="1126">
                  <c:v>1711.45</c:v>
                </c:pt>
                <c:pt idx="1127">
                  <c:v>1686.15</c:v>
                </c:pt>
                <c:pt idx="1128">
                  <c:v>1691.9</c:v>
                </c:pt>
                <c:pt idx="1129">
                  <c:v>1691.6</c:v>
                </c:pt>
                <c:pt idx="1130">
                  <c:v>1693.25</c:v>
                </c:pt>
                <c:pt idx="1131">
                  <c:v>1706.65</c:v>
                </c:pt>
                <c:pt idx="1132">
                  <c:v>1730.4</c:v>
                </c:pt>
                <c:pt idx="1133">
                  <c:v>1700.65</c:v>
                </c:pt>
                <c:pt idx="1134">
                  <c:v>1689.1</c:v>
                </c:pt>
                <c:pt idx="1135">
                  <c:v>1677.75</c:v>
                </c:pt>
                <c:pt idx="1136">
                  <c:v>1706.45</c:v>
                </c:pt>
                <c:pt idx="1137">
                  <c:v>1698.05</c:v>
                </c:pt>
                <c:pt idx="1138">
                  <c:v>1708.8</c:v>
                </c:pt>
                <c:pt idx="1139">
                  <c:v>1727.7</c:v>
                </c:pt>
                <c:pt idx="1140">
                  <c:v>1735.55</c:v>
                </c:pt>
                <c:pt idx="1141">
                  <c:v>1720.85</c:v>
                </c:pt>
                <c:pt idx="1142">
                  <c:v>1738.75</c:v>
                </c:pt>
                <c:pt idx="1143">
                  <c:v>1732.95</c:v>
                </c:pt>
                <c:pt idx="1144">
                  <c:v>1733.45</c:v>
                </c:pt>
                <c:pt idx="1145">
                  <c:v>1741.65</c:v>
                </c:pt>
                <c:pt idx="1146">
                  <c:v>1704.4</c:v>
                </c:pt>
                <c:pt idx="1147">
                  <c:v>1712.2</c:v>
                </c:pt>
                <c:pt idx="1148">
                  <c:v>1689.6</c:v>
                </c:pt>
                <c:pt idx="1149">
                  <c:v>1677.55</c:v>
                </c:pt>
                <c:pt idx="1150">
                  <c:v>1677.25</c:v>
                </c:pt>
                <c:pt idx="1151">
                  <c:v>1663.3</c:v>
                </c:pt>
                <c:pt idx="1152">
                  <c:v>1650.2</c:v>
                </c:pt>
                <c:pt idx="1153">
                  <c:v>1653.55</c:v>
                </c:pt>
                <c:pt idx="1154">
                  <c:v>1649.25</c:v>
                </c:pt>
                <c:pt idx="1155">
                  <c:v>1655.2</c:v>
                </c:pt>
                <c:pt idx="1156">
                  <c:v>1631.55</c:v>
                </c:pt>
                <c:pt idx="1157">
                  <c:v>1610.5</c:v>
                </c:pt>
                <c:pt idx="1158">
                  <c:v>1617</c:v>
                </c:pt>
                <c:pt idx="1159">
                  <c:v>1605.6</c:v>
                </c:pt>
                <c:pt idx="1160">
                  <c:v>1602.55</c:v>
                </c:pt>
                <c:pt idx="1161">
                  <c:v>1603.9</c:v>
                </c:pt>
                <c:pt idx="1162">
                  <c:v>1590.45</c:v>
                </c:pt>
                <c:pt idx="1163">
                  <c:v>1590.2</c:v>
                </c:pt>
                <c:pt idx="1164">
                  <c:v>1550.05</c:v>
                </c:pt>
                <c:pt idx="1165">
                  <c:v>1541.7</c:v>
                </c:pt>
                <c:pt idx="1166">
                  <c:v>1555.45</c:v>
                </c:pt>
                <c:pt idx="1167">
                  <c:v>1580.8</c:v>
                </c:pt>
                <c:pt idx="1168">
                  <c:v>1576.9</c:v>
                </c:pt>
                <c:pt idx="1169">
                  <c:v>1544.95</c:v>
                </c:pt>
                <c:pt idx="1170">
                  <c:v>1547.85</c:v>
                </c:pt>
                <c:pt idx="1171">
                  <c:v>1562.9</c:v>
                </c:pt>
                <c:pt idx="1172">
                  <c:v>1560.75</c:v>
                </c:pt>
                <c:pt idx="1173">
                  <c:v>1564.6</c:v>
                </c:pt>
                <c:pt idx="1174">
                  <c:v>1562.2</c:v>
                </c:pt>
                <c:pt idx="1175">
                  <c:v>1578.95</c:v>
                </c:pt>
                <c:pt idx="1176">
                  <c:v>1567.8</c:v>
                </c:pt>
                <c:pt idx="1177">
                  <c:v>1560.4</c:v>
                </c:pt>
                <c:pt idx="1178">
                  <c:v>1580.8</c:v>
                </c:pt>
                <c:pt idx="1179">
                  <c:v>1563.05</c:v>
                </c:pt>
                <c:pt idx="1180">
                  <c:v>1571.8</c:v>
                </c:pt>
                <c:pt idx="1181">
                  <c:v>1574.2</c:v>
                </c:pt>
                <c:pt idx="1182">
                  <c:v>1559.2</c:v>
                </c:pt>
                <c:pt idx="1183">
                  <c:v>1503.15</c:v>
                </c:pt>
                <c:pt idx="1184">
                  <c:v>1511.85</c:v>
                </c:pt>
                <c:pt idx="1185">
                  <c:v>1500.3</c:v>
                </c:pt>
                <c:pt idx="1186">
                  <c:v>1503.3</c:v>
                </c:pt>
                <c:pt idx="1187">
                  <c:v>1495.3</c:v>
                </c:pt>
                <c:pt idx="1188">
                  <c:v>1480.6</c:v>
                </c:pt>
                <c:pt idx="1189">
                  <c:v>1473.9</c:v>
                </c:pt>
                <c:pt idx="1190">
                  <c:v>1461.8</c:v>
                </c:pt>
                <c:pt idx="1191">
                  <c:v>1446.9</c:v>
                </c:pt>
                <c:pt idx="1192">
                  <c:v>1424.3</c:v>
                </c:pt>
                <c:pt idx="1193">
                  <c:v>1415.3</c:v>
                </c:pt>
                <c:pt idx="1194">
                  <c:v>1412.95</c:v>
                </c:pt>
                <c:pt idx="1195">
                  <c:v>1389.65</c:v>
                </c:pt>
                <c:pt idx="1196">
                  <c:v>1385.65</c:v>
                </c:pt>
                <c:pt idx="1197">
                  <c:v>1389.65</c:v>
                </c:pt>
                <c:pt idx="1198">
                  <c:v>1378.65</c:v>
                </c:pt>
                <c:pt idx="1199">
                  <c:v>1387.2</c:v>
                </c:pt>
                <c:pt idx="1200">
                  <c:v>1393.75</c:v>
                </c:pt>
                <c:pt idx="1201">
                  <c:v>1405.05</c:v>
                </c:pt>
                <c:pt idx="1202">
                  <c:v>1402.25</c:v>
                </c:pt>
                <c:pt idx="1203">
                  <c:v>1397.25</c:v>
                </c:pt>
                <c:pt idx="1204">
                  <c:v>1361.6</c:v>
                </c:pt>
                <c:pt idx="1205">
                  <c:v>1348.05</c:v>
                </c:pt>
                <c:pt idx="1206">
                  <c:v>1354.5</c:v>
                </c:pt>
                <c:pt idx="1207">
                  <c:v>1339.3</c:v>
                </c:pt>
                <c:pt idx="1208">
                  <c:v>1337</c:v>
                </c:pt>
                <c:pt idx="1209">
                  <c:v>1340</c:v>
                </c:pt>
                <c:pt idx="1210">
                  <c:v>1329.4</c:v>
                </c:pt>
                <c:pt idx="1211">
                  <c:v>1316.4</c:v>
                </c:pt>
                <c:pt idx="1212">
                  <c:v>1327</c:v>
                </c:pt>
                <c:pt idx="1213">
                  <c:v>1330.65</c:v>
                </c:pt>
                <c:pt idx="1214">
                  <c:v>1339.55</c:v>
                </c:pt>
                <c:pt idx="1215">
                  <c:v>1352.55</c:v>
                </c:pt>
                <c:pt idx="1216">
                  <c:v>1361.6</c:v>
                </c:pt>
                <c:pt idx="1217">
                  <c:v>1341.5</c:v>
                </c:pt>
                <c:pt idx="1218">
                  <c:v>1329.4</c:v>
                </c:pt>
                <c:pt idx="1219">
                  <c:v>1352.05</c:v>
                </c:pt>
                <c:pt idx="1220">
                  <c:v>1354.35</c:v>
                </c:pt>
                <c:pt idx="1221">
                  <c:v>1356.35</c:v>
                </c:pt>
                <c:pt idx="1222">
                  <c:v>1356</c:v>
                </c:pt>
                <c:pt idx="1223">
                  <c:v>1348.5</c:v>
                </c:pt>
                <c:pt idx="1224">
                  <c:v>1343.55</c:v>
                </c:pt>
                <c:pt idx="1225">
                  <c:v>1333.8</c:v>
                </c:pt>
                <c:pt idx="1226">
                  <c:v>1351.1</c:v>
                </c:pt>
                <c:pt idx="1227">
                  <c:v>1351.35</c:v>
                </c:pt>
                <c:pt idx="1228">
                  <c:v>1362.55</c:v>
                </c:pt>
                <c:pt idx="1229">
                  <c:v>1353.75</c:v>
                </c:pt>
                <c:pt idx="1230">
                  <c:v>1360.75</c:v>
                </c:pt>
                <c:pt idx="1231">
                  <c:v>1397.15</c:v>
                </c:pt>
                <c:pt idx="1232">
                  <c:v>1425.75</c:v>
                </c:pt>
                <c:pt idx="1233">
                  <c:v>1441.05</c:v>
                </c:pt>
                <c:pt idx="1234">
                  <c:v>1439.85</c:v>
                </c:pt>
                <c:pt idx="1235">
                  <c:v>1430.2</c:v>
                </c:pt>
                <c:pt idx="1236">
                  <c:v>1411.05</c:v>
                </c:pt>
                <c:pt idx="1237">
                  <c:v>1409.9</c:v>
                </c:pt>
                <c:pt idx="1238">
                  <c:v>1385.2</c:v>
                </c:pt>
              </c:numCache>
            </c:numRef>
          </c:val>
          <c:smooth val="0"/>
          <c:extLst>
            <c:ext xmlns:c16="http://schemas.microsoft.com/office/drawing/2014/chart" uri="{C3380CC4-5D6E-409C-BE32-E72D297353CC}">
              <c16:uniqueId val="{00000000-70CE-4058-95D8-2F627A3C5E6E}"/>
            </c:ext>
          </c:extLst>
        </c:ser>
        <c:dLbls>
          <c:showLegendKey val="0"/>
          <c:showVal val="0"/>
          <c:showCatName val="0"/>
          <c:showSerName val="0"/>
          <c:showPercent val="0"/>
          <c:showBubbleSize val="0"/>
        </c:dLbls>
        <c:smooth val="0"/>
        <c:axId val="966318911"/>
        <c:axId val="966302591"/>
      </c:lineChart>
      <c:dateAx>
        <c:axId val="96631891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02000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966302591"/>
        <c:crosses val="autoZero"/>
        <c:auto val="1"/>
        <c:lblOffset val="100"/>
        <c:baseTimeUnit val="days"/>
      </c:dateAx>
      <c:valAx>
        <c:axId val="9663025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6318911"/>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bg1">
                <a:lumMod val="75000"/>
              </a:schemeClr>
            </a:solidFill>
            <a:ln>
              <a:noFill/>
            </a:ln>
            <a:effectLst/>
          </c:spPr>
          <c:cat>
            <c:numRef>
              <c:f>'share Price'!$B$3:$B$1241</c:f>
              <c:numCache>
                <c:formatCode>m/d/yyyy</c:formatCode>
                <c:ptCount val="1239"/>
                <c:pt idx="0">
                  <c:v>46111</c:v>
                </c:pt>
                <c:pt idx="1">
                  <c:v>46108</c:v>
                </c:pt>
                <c:pt idx="2">
                  <c:v>46106</c:v>
                </c:pt>
                <c:pt idx="3">
                  <c:v>46105</c:v>
                </c:pt>
                <c:pt idx="4">
                  <c:v>46104</c:v>
                </c:pt>
                <c:pt idx="5">
                  <c:v>46101</c:v>
                </c:pt>
                <c:pt idx="6">
                  <c:v>46100</c:v>
                </c:pt>
                <c:pt idx="7">
                  <c:v>46099</c:v>
                </c:pt>
                <c:pt idx="8">
                  <c:v>46098</c:v>
                </c:pt>
                <c:pt idx="9">
                  <c:v>46097</c:v>
                </c:pt>
                <c:pt idx="10">
                  <c:v>46094</c:v>
                </c:pt>
                <c:pt idx="11">
                  <c:v>46093</c:v>
                </c:pt>
                <c:pt idx="12">
                  <c:v>46092</c:v>
                </c:pt>
                <c:pt idx="13">
                  <c:v>46091</c:v>
                </c:pt>
                <c:pt idx="14">
                  <c:v>46090</c:v>
                </c:pt>
                <c:pt idx="15">
                  <c:v>46087</c:v>
                </c:pt>
                <c:pt idx="16">
                  <c:v>46086</c:v>
                </c:pt>
                <c:pt idx="17">
                  <c:v>46085</c:v>
                </c:pt>
                <c:pt idx="18">
                  <c:v>46083</c:v>
                </c:pt>
                <c:pt idx="19">
                  <c:v>46080</c:v>
                </c:pt>
                <c:pt idx="20">
                  <c:v>46079</c:v>
                </c:pt>
                <c:pt idx="21">
                  <c:v>46078</c:v>
                </c:pt>
                <c:pt idx="22">
                  <c:v>46077</c:v>
                </c:pt>
                <c:pt idx="23">
                  <c:v>46076</c:v>
                </c:pt>
                <c:pt idx="24">
                  <c:v>46073</c:v>
                </c:pt>
                <c:pt idx="25">
                  <c:v>46072</c:v>
                </c:pt>
                <c:pt idx="26">
                  <c:v>46071</c:v>
                </c:pt>
                <c:pt idx="27">
                  <c:v>46070</c:v>
                </c:pt>
                <c:pt idx="28">
                  <c:v>46069</c:v>
                </c:pt>
                <c:pt idx="29">
                  <c:v>46066</c:v>
                </c:pt>
                <c:pt idx="30">
                  <c:v>46065</c:v>
                </c:pt>
                <c:pt idx="31">
                  <c:v>46064</c:v>
                </c:pt>
                <c:pt idx="32">
                  <c:v>46063</c:v>
                </c:pt>
                <c:pt idx="33">
                  <c:v>46062</c:v>
                </c:pt>
                <c:pt idx="34">
                  <c:v>46059</c:v>
                </c:pt>
                <c:pt idx="35">
                  <c:v>46058</c:v>
                </c:pt>
                <c:pt idx="36">
                  <c:v>46057</c:v>
                </c:pt>
                <c:pt idx="37">
                  <c:v>46056</c:v>
                </c:pt>
                <c:pt idx="38">
                  <c:v>46055</c:v>
                </c:pt>
                <c:pt idx="39">
                  <c:v>46054</c:v>
                </c:pt>
                <c:pt idx="40">
                  <c:v>46052</c:v>
                </c:pt>
                <c:pt idx="41">
                  <c:v>46051</c:v>
                </c:pt>
                <c:pt idx="42">
                  <c:v>46050</c:v>
                </c:pt>
                <c:pt idx="43">
                  <c:v>46049</c:v>
                </c:pt>
                <c:pt idx="44">
                  <c:v>46045</c:v>
                </c:pt>
                <c:pt idx="45">
                  <c:v>46044</c:v>
                </c:pt>
                <c:pt idx="46">
                  <c:v>46043</c:v>
                </c:pt>
                <c:pt idx="47">
                  <c:v>46042</c:v>
                </c:pt>
                <c:pt idx="48">
                  <c:v>46041</c:v>
                </c:pt>
                <c:pt idx="49">
                  <c:v>46038</c:v>
                </c:pt>
                <c:pt idx="50">
                  <c:v>46036</c:v>
                </c:pt>
                <c:pt idx="51">
                  <c:v>46035</c:v>
                </c:pt>
                <c:pt idx="52">
                  <c:v>46034</c:v>
                </c:pt>
                <c:pt idx="53">
                  <c:v>46031</c:v>
                </c:pt>
                <c:pt idx="54">
                  <c:v>46030</c:v>
                </c:pt>
                <c:pt idx="55">
                  <c:v>46029</c:v>
                </c:pt>
                <c:pt idx="56">
                  <c:v>46028</c:v>
                </c:pt>
                <c:pt idx="57">
                  <c:v>46027</c:v>
                </c:pt>
                <c:pt idx="58">
                  <c:v>46024</c:v>
                </c:pt>
                <c:pt idx="59">
                  <c:v>46023</c:v>
                </c:pt>
                <c:pt idx="60">
                  <c:v>46022</c:v>
                </c:pt>
                <c:pt idx="61">
                  <c:v>46021</c:v>
                </c:pt>
                <c:pt idx="62">
                  <c:v>46020</c:v>
                </c:pt>
                <c:pt idx="63">
                  <c:v>46017</c:v>
                </c:pt>
                <c:pt idx="64">
                  <c:v>46015</c:v>
                </c:pt>
                <c:pt idx="65">
                  <c:v>46014</c:v>
                </c:pt>
                <c:pt idx="66">
                  <c:v>46013</c:v>
                </c:pt>
                <c:pt idx="67">
                  <c:v>46010</c:v>
                </c:pt>
                <c:pt idx="68">
                  <c:v>46009</c:v>
                </c:pt>
                <c:pt idx="69">
                  <c:v>46008</c:v>
                </c:pt>
                <c:pt idx="70">
                  <c:v>46007</c:v>
                </c:pt>
                <c:pt idx="71">
                  <c:v>46006</c:v>
                </c:pt>
                <c:pt idx="72">
                  <c:v>46003</c:v>
                </c:pt>
                <c:pt idx="73">
                  <c:v>46002</c:v>
                </c:pt>
                <c:pt idx="74">
                  <c:v>46001</c:v>
                </c:pt>
                <c:pt idx="75">
                  <c:v>46000</c:v>
                </c:pt>
                <c:pt idx="76">
                  <c:v>45999</c:v>
                </c:pt>
                <c:pt idx="77">
                  <c:v>45996</c:v>
                </c:pt>
                <c:pt idx="78">
                  <c:v>45995</c:v>
                </c:pt>
                <c:pt idx="79">
                  <c:v>45994</c:v>
                </c:pt>
                <c:pt idx="80">
                  <c:v>45993</c:v>
                </c:pt>
                <c:pt idx="81">
                  <c:v>45992</c:v>
                </c:pt>
                <c:pt idx="82">
                  <c:v>45989</c:v>
                </c:pt>
                <c:pt idx="83">
                  <c:v>45988</c:v>
                </c:pt>
                <c:pt idx="84">
                  <c:v>45987</c:v>
                </c:pt>
                <c:pt idx="85">
                  <c:v>45986</c:v>
                </c:pt>
                <c:pt idx="86">
                  <c:v>45985</c:v>
                </c:pt>
                <c:pt idx="87">
                  <c:v>45982</c:v>
                </c:pt>
                <c:pt idx="88">
                  <c:v>45981</c:v>
                </c:pt>
                <c:pt idx="89">
                  <c:v>45980</c:v>
                </c:pt>
                <c:pt idx="90">
                  <c:v>45979</c:v>
                </c:pt>
                <c:pt idx="91">
                  <c:v>45978</c:v>
                </c:pt>
                <c:pt idx="92">
                  <c:v>45975</c:v>
                </c:pt>
                <c:pt idx="93">
                  <c:v>45974</c:v>
                </c:pt>
                <c:pt idx="94">
                  <c:v>45973</c:v>
                </c:pt>
                <c:pt idx="95">
                  <c:v>45972</c:v>
                </c:pt>
                <c:pt idx="96">
                  <c:v>45971</c:v>
                </c:pt>
                <c:pt idx="97">
                  <c:v>45968</c:v>
                </c:pt>
                <c:pt idx="98">
                  <c:v>45967</c:v>
                </c:pt>
                <c:pt idx="99">
                  <c:v>45965</c:v>
                </c:pt>
                <c:pt idx="100">
                  <c:v>45964</c:v>
                </c:pt>
                <c:pt idx="101">
                  <c:v>45961</c:v>
                </c:pt>
                <c:pt idx="102">
                  <c:v>45960</c:v>
                </c:pt>
                <c:pt idx="103">
                  <c:v>45959</c:v>
                </c:pt>
                <c:pt idx="104">
                  <c:v>45958</c:v>
                </c:pt>
                <c:pt idx="105">
                  <c:v>45957</c:v>
                </c:pt>
                <c:pt idx="106">
                  <c:v>45954</c:v>
                </c:pt>
                <c:pt idx="107">
                  <c:v>45953</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45931</c:v>
                </c:pt>
                <c:pt idx="122">
                  <c:v>45930</c:v>
                </c:pt>
                <c:pt idx="123">
                  <c:v>45929</c:v>
                </c:pt>
                <c:pt idx="124">
                  <c:v>45926</c:v>
                </c:pt>
                <c:pt idx="125">
                  <c:v>45925</c:v>
                </c:pt>
                <c:pt idx="126">
                  <c:v>45924</c:v>
                </c:pt>
                <c:pt idx="127">
                  <c:v>45923</c:v>
                </c:pt>
                <c:pt idx="128">
                  <c:v>45922</c:v>
                </c:pt>
                <c:pt idx="129">
                  <c:v>45919</c:v>
                </c:pt>
                <c:pt idx="130">
                  <c:v>45918</c:v>
                </c:pt>
                <c:pt idx="131">
                  <c:v>45917</c:v>
                </c:pt>
                <c:pt idx="132">
                  <c:v>45916</c:v>
                </c:pt>
                <c:pt idx="133">
                  <c:v>45915</c:v>
                </c:pt>
                <c:pt idx="134">
                  <c:v>45912</c:v>
                </c:pt>
                <c:pt idx="135">
                  <c:v>45911</c:v>
                </c:pt>
                <c:pt idx="136">
                  <c:v>45910</c:v>
                </c:pt>
                <c:pt idx="137">
                  <c:v>45909</c:v>
                </c:pt>
                <c:pt idx="138">
                  <c:v>45908</c:v>
                </c:pt>
                <c:pt idx="139">
                  <c:v>45905</c:v>
                </c:pt>
                <c:pt idx="140">
                  <c:v>45904</c:v>
                </c:pt>
                <c:pt idx="141">
                  <c:v>45903</c:v>
                </c:pt>
                <c:pt idx="142">
                  <c:v>45902</c:v>
                </c:pt>
                <c:pt idx="143">
                  <c:v>45901</c:v>
                </c:pt>
                <c:pt idx="144">
                  <c:v>45898</c:v>
                </c:pt>
                <c:pt idx="145">
                  <c:v>45897</c:v>
                </c:pt>
                <c:pt idx="146">
                  <c:v>45895</c:v>
                </c:pt>
                <c:pt idx="147">
                  <c:v>45894</c:v>
                </c:pt>
                <c:pt idx="148">
                  <c:v>45891</c:v>
                </c:pt>
                <c:pt idx="149">
                  <c:v>45890</c:v>
                </c:pt>
                <c:pt idx="150">
                  <c:v>45889</c:v>
                </c:pt>
                <c:pt idx="151">
                  <c:v>45888</c:v>
                </c:pt>
                <c:pt idx="152">
                  <c:v>45887</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45777</c:v>
                </c:pt>
                <c:pt idx="229">
                  <c:v>45776</c:v>
                </c:pt>
                <c:pt idx="230">
                  <c:v>45775</c:v>
                </c:pt>
                <c:pt idx="231">
                  <c:v>45772</c:v>
                </c:pt>
                <c:pt idx="232">
                  <c:v>45771</c:v>
                </c:pt>
                <c:pt idx="233">
                  <c:v>45770</c:v>
                </c:pt>
                <c:pt idx="234">
                  <c:v>45769</c:v>
                </c:pt>
                <c:pt idx="235">
                  <c:v>45768</c:v>
                </c:pt>
                <c:pt idx="236">
                  <c:v>45764</c:v>
                </c:pt>
                <c:pt idx="237">
                  <c:v>45763</c:v>
                </c:pt>
                <c:pt idx="238">
                  <c:v>45762</c:v>
                </c:pt>
                <c:pt idx="239">
                  <c:v>45758</c:v>
                </c:pt>
                <c:pt idx="240">
                  <c:v>45756</c:v>
                </c:pt>
                <c:pt idx="241">
                  <c:v>45755</c:v>
                </c:pt>
                <c:pt idx="242">
                  <c:v>45754</c:v>
                </c:pt>
                <c:pt idx="243">
                  <c:v>45751</c:v>
                </c:pt>
                <c:pt idx="244">
                  <c:v>45750</c:v>
                </c:pt>
                <c:pt idx="245">
                  <c:v>45749</c:v>
                </c:pt>
                <c:pt idx="246">
                  <c:v>45748</c:v>
                </c:pt>
                <c:pt idx="247">
                  <c:v>45744</c:v>
                </c:pt>
                <c:pt idx="248">
                  <c:v>45743</c:v>
                </c:pt>
                <c:pt idx="249">
                  <c:v>45742</c:v>
                </c:pt>
                <c:pt idx="250">
                  <c:v>45741</c:v>
                </c:pt>
                <c:pt idx="251">
                  <c:v>45740</c:v>
                </c:pt>
                <c:pt idx="252">
                  <c:v>45737</c:v>
                </c:pt>
                <c:pt idx="253">
                  <c:v>45736</c:v>
                </c:pt>
                <c:pt idx="254">
                  <c:v>45735</c:v>
                </c:pt>
                <c:pt idx="255">
                  <c:v>45734</c:v>
                </c:pt>
                <c:pt idx="256">
                  <c:v>45733</c:v>
                </c:pt>
                <c:pt idx="257">
                  <c:v>45729</c:v>
                </c:pt>
                <c:pt idx="258">
                  <c:v>45728</c:v>
                </c:pt>
                <c:pt idx="259">
                  <c:v>45727</c:v>
                </c:pt>
                <c:pt idx="260">
                  <c:v>45726</c:v>
                </c:pt>
                <c:pt idx="261">
                  <c:v>45723</c:v>
                </c:pt>
                <c:pt idx="262">
                  <c:v>45722</c:v>
                </c:pt>
                <c:pt idx="263">
                  <c:v>45721</c:v>
                </c:pt>
                <c:pt idx="264">
                  <c:v>45720</c:v>
                </c:pt>
                <c:pt idx="265">
                  <c:v>45719</c:v>
                </c:pt>
                <c:pt idx="266">
                  <c:v>45716</c:v>
                </c:pt>
                <c:pt idx="267">
                  <c:v>45715</c:v>
                </c:pt>
                <c:pt idx="268">
                  <c:v>45713</c:v>
                </c:pt>
                <c:pt idx="269">
                  <c:v>45712</c:v>
                </c:pt>
                <c:pt idx="270">
                  <c:v>45709</c:v>
                </c:pt>
                <c:pt idx="271">
                  <c:v>45708</c:v>
                </c:pt>
                <c:pt idx="272">
                  <c:v>45707</c:v>
                </c:pt>
                <c:pt idx="273">
                  <c:v>45706</c:v>
                </c:pt>
                <c:pt idx="274">
                  <c:v>45705</c:v>
                </c:pt>
                <c:pt idx="275">
                  <c:v>45702</c:v>
                </c:pt>
                <c:pt idx="276">
                  <c:v>45701</c:v>
                </c:pt>
                <c:pt idx="277">
                  <c:v>45700</c:v>
                </c:pt>
                <c:pt idx="278">
                  <c:v>45699</c:v>
                </c:pt>
                <c:pt idx="279">
                  <c:v>45698</c:v>
                </c:pt>
                <c:pt idx="280">
                  <c:v>45695</c:v>
                </c:pt>
                <c:pt idx="281">
                  <c:v>45694</c:v>
                </c:pt>
                <c:pt idx="282">
                  <c:v>45693</c:v>
                </c:pt>
                <c:pt idx="283">
                  <c:v>45692</c:v>
                </c:pt>
                <c:pt idx="284">
                  <c:v>45691</c:v>
                </c:pt>
                <c:pt idx="285">
                  <c:v>45689</c:v>
                </c:pt>
                <c:pt idx="286">
                  <c:v>45688</c:v>
                </c:pt>
                <c:pt idx="287">
                  <c:v>45687</c:v>
                </c:pt>
                <c:pt idx="288">
                  <c:v>45686</c:v>
                </c:pt>
                <c:pt idx="289">
                  <c:v>45685</c:v>
                </c:pt>
                <c:pt idx="290">
                  <c:v>45684</c:v>
                </c:pt>
                <c:pt idx="291">
                  <c:v>45681</c:v>
                </c:pt>
                <c:pt idx="292">
                  <c:v>45680</c:v>
                </c:pt>
                <c:pt idx="293">
                  <c:v>45679</c:v>
                </c:pt>
                <c:pt idx="294">
                  <c:v>45678</c:v>
                </c:pt>
                <c:pt idx="295">
                  <c:v>45677</c:v>
                </c:pt>
                <c:pt idx="296">
                  <c:v>45674</c:v>
                </c:pt>
                <c:pt idx="297">
                  <c:v>45673</c:v>
                </c:pt>
                <c:pt idx="298">
                  <c:v>45672</c:v>
                </c:pt>
                <c:pt idx="299">
                  <c:v>45671</c:v>
                </c:pt>
                <c:pt idx="300">
                  <c:v>45670</c:v>
                </c:pt>
                <c:pt idx="301">
                  <c:v>45667</c:v>
                </c:pt>
                <c:pt idx="302">
                  <c:v>45666</c:v>
                </c:pt>
                <c:pt idx="303">
                  <c:v>45665</c:v>
                </c:pt>
                <c:pt idx="304">
                  <c:v>45664</c:v>
                </c:pt>
                <c:pt idx="305">
                  <c:v>45663</c:v>
                </c:pt>
                <c:pt idx="306">
                  <c:v>45660</c:v>
                </c:pt>
                <c:pt idx="307">
                  <c:v>45659</c:v>
                </c:pt>
                <c:pt idx="308">
                  <c:v>45658</c:v>
                </c:pt>
                <c:pt idx="309">
                  <c:v>45657</c:v>
                </c:pt>
                <c:pt idx="310">
                  <c:v>45656</c:v>
                </c:pt>
                <c:pt idx="311">
                  <c:v>45653</c:v>
                </c:pt>
                <c:pt idx="312">
                  <c:v>45652</c:v>
                </c:pt>
                <c:pt idx="313">
                  <c:v>45650</c:v>
                </c:pt>
                <c:pt idx="314">
                  <c:v>45649</c:v>
                </c:pt>
                <c:pt idx="315">
                  <c:v>45646</c:v>
                </c:pt>
                <c:pt idx="316">
                  <c:v>45645</c:v>
                </c:pt>
                <c:pt idx="317">
                  <c:v>45644</c:v>
                </c:pt>
                <c:pt idx="318">
                  <c:v>45643</c:v>
                </c:pt>
                <c:pt idx="319">
                  <c:v>45642</c:v>
                </c:pt>
                <c:pt idx="320">
                  <c:v>45639</c:v>
                </c:pt>
                <c:pt idx="321">
                  <c:v>45638</c:v>
                </c:pt>
                <c:pt idx="322">
                  <c:v>45637</c:v>
                </c:pt>
                <c:pt idx="323">
                  <c:v>45636</c:v>
                </c:pt>
                <c:pt idx="324">
                  <c:v>45635</c:v>
                </c:pt>
                <c:pt idx="325">
                  <c:v>45632</c:v>
                </c:pt>
                <c:pt idx="326">
                  <c:v>45631</c:v>
                </c:pt>
                <c:pt idx="327">
                  <c:v>45630</c:v>
                </c:pt>
                <c:pt idx="328">
                  <c:v>45629</c:v>
                </c:pt>
                <c:pt idx="329">
                  <c:v>45628</c:v>
                </c:pt>
                <c:pt idx="330">
                  <c:v>45625</c:v>
                </c:pt>
                <c:pt idx="331">
                  <c:v>45624</c:v>
                </c:pt>
                <c:pt idx="332">
                  <c:v>45623</c:v>
                </c:pt>
                <c:pt idx="333">
                  <c:v>45622</c:v>
                </c:pt>
                <c:pt idx="334">
                  <c:v>45621</c:v>
                </c:pt>
                <c:pt idx="335">
                  <c:v>45618</c:v>
                </c:pt>
                <c:pt idx="336">
                  <c:v>45617</c:v>
                </c:pt>
                <c:pt idx="337">
                  <c:v>45615</c:v>
                </c:pt>
                <c:pt idx="338">
                  <c:v>45614</c:v>
                </c:pt>
                <c:pt idx="339">
                  <c:v>45610</c:v>
                </c:pt>
                <c:pt idx="340">
                  <c:v>45609</c:v>
                </c:pt>
                <c:pt idx="341">
                  <c:v>45608</c:v>
                </c:pt>
                <c:pt idx="342">
                  <c:v>45607</c:v>
                </c:pt>
                <c:pt idx="343">
                  <c:v>45604</c:v>
                </c:pt>
                <c:pt idx="344">
                  <c:v>45603</c:v>
                </c:pt>
                <c:pt idx="345">
                  <c:v>45602</c:v>
                </c:pt>
                <c:pt idx="346">
                  <c:v>45601</c:v>
                </c:pt>
                <c:pt idx="347">
                  <c:v>45600</c:v>
                </c:pt>
                <c:pt idx="348">
                  <c:v>45597</c:v>
                </c:pt>
                <c:pt idx="349">
                  <c:v>45596</c:v>
                </c:pt>
                <c:pt idx="350">
                  <c:v>45595</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45531</c:v>
                </c:pt>
                <c:pt idx="396">
                  <c:v>45530</c:v>
                </c:pt>
                <c:pt idx="397">
                  <c:v>45527</c:v>
                </c:pt>
                <c:pt idx="398">
                  <c:v>45526</c:v>
                </c:pt>
                <c:pt idx="399">
                  <c:v>45525</c:v>
                </c:pt>
                <c:pt idx="400">
                  <c:v>45524</c:v>
                </c:pt>
                <c:pt idx="401">
                  <c:v>45523</c:v>
                </c:pt>
                <c:pt idx="402">
                  <c:v>45520</c:v>
                </c:pt>
                <c:pt idx="403">
                  <c:v>45518</c:v>
                </c:pt>
                <c:pt idx="404">
                  <c:v>45517</c:v>
                </c:pt>
                <c:pt idx="405">
                  <c:v>45516</c:v>
                </c:pt>
                <c:pt idx="406">
                  <c:v>45513</c:v>
                </c:pt>
                <c:pt idx="407">
                  <c:v>45512</c:v>
                </c:pt>
                <c:pt idx="408">
                  <c:v>45511</c:v>
                </c:pt>
                <c:pt idx="409">
                  <c:v>45510</c:v>
                </c:pt>
                <c:pt idx="410">
                  <c:v>45509</c:v>
                </c:pt>
                <c:pt idx="411">
                  <c:v>45506</c:v>
                </c:pt>
                <c:pt idx="412">
                  <c:v>45505</c:v>
                </c:pt>
                <c:pt idx="413">
                  <c:v>45504</c:v>
                </c:pt>
                <c:pt idx="414">
                  <c:v>45503</c:v>
                </c:pt>
                <c:pt idx="415">
                  <c:v>45502</c:v>
                </c:pt>
                <c:pt idx="416">
                  <c:v>45499</c:v>
                </c:pt>
                <c:pt idx="417">
                  <c:v>45498</c:v>
                </c:pt>
                <c:pt idx="418">
                  <c:v>45497</c:v>
                </c:pt>
                <c:pt idx="419">
                  <c:v>45496</c:v>
                </c:pt>
                <c:pt idx="420">
                  <c:v>45495</c:v>
                </c:pt>
                <c:pt idx="421">
                  <c:v>45492</c:v>
                </c:pt>
                <c:pt idx="422">
                  <c:v>45491</c:v>
                </c:pt>
                <c:pt idx="423">
                  <c:v>45489</c:v>
                </c:pt>
                <c:pt idx="424">
                  <c:v>45488</c:v>
                </c:pt>
                <c:pt idx="425">
                  <c:v>45485</c:v>
                </c:pt>
                <c:pt idx="426">
                  <c:v>45484</c:v>
                </c:pt>
                <c:pt idx="427">
                  <c:v>45483</c:v>
                </c:pt>
                <c:pt idx="428">
                  <c:v>45482</c:v>
                </c:pt>
                <c:pt idx="429">
                  <c:v>45481</c:v>
                </c:pt>
                <c:pt idx="430">
                  <c:v>45478</c:v>
                </c:pt>
                <c:pt idx="431">
                  <c:v>45477</c:v>
                </c:pt>
                <c:pt idx="432">
                  <c:v>45476</c:v>
                </c:pt>
                <c:pt idx="433">
                  <c:v>45475</c:v>
                </c:pt>
                <c:pt idx="434">
                  <c:v>45474</c:v>
                </c:pt>
                <c:pt idx="435">
                  <c:v>45471</c:v>
                </c:pt>
                <c:pt idx="436">
                  <c:v>45470</c:v>
                </c:pt>
                <c:pt idx="437">
                  <c:v>45469</c:v>
                </c:pt>
                <c:pt idx="438">
                  <c:v>45468</c:v>
                </c:pt>
                <c:pt idx="439">
                  <c:v>45467</c:v>
                </c:pt>
                <c:pt idx="440">
                  <c:v>45464</c:v>
                </c:pt>
                <c:pt idx="441">
                  <c:v>45463</c:v>
                </c:pt>
                <c:pt idx="442">
                  <c:v>45462</c:v>
                </c:pt>
                <c:pt idx="443">
                  <c:v>45461</c:v>
                </c:pt>
                <c:pt idx="444">
                  <c:v>45457</c:v>
                </c:pt>
                <c:pt idx="445">
                  <c:v>45456</c:v>
                </c:pt>
                <c:pt idx="446">
                  <c:v>45455</c:v>
                </c:pt>
                <c:pt idx="447">
                  <c:v>45454</c:v>
                </c:pt>
                <c:pt idx="448">
                  <c:v>45453</c:v>
                </c:pt>
                <c:pt idx="449">
                  <c:v>45450</c:v>
                </c:pt>
                <c:pt idx="450">
                  <c:v>45449</c:v>
                </c:pt>
                <c:pt idx="451">
                  <c:v>45448</c:v>
                </c:pt>
                <c:pt idx="452">
                  <c:v>45447</c:v>
                </c:pt>
                <c:pt idx="453">
                  <c:v>45446</c:v>
                </c:pt>
                <c:pt idx="454">
                  <c:v>45443</c:v>
                </c:pt>
                <c:pt idx="455">
                  <c:v>45442</c:v>
                </c:pt>
                <c:pt idx="456">
                  <c:v>45441</c:v>
                </c:pt>
                <c:pt idx="457">
                  <c:v>45440</c:v>
                </c:pt>
                <c:pt idx="458">
                  <c:v>45439</c:v>
                </c:pt>
                <c:pt idx="459">
                  <c:v>45436</c:v>
                </c:pt>
                <c:pt idx="460">
                  <c:v>45435</c:v>
                </c:pt>
                <c:pt idx="461">
                  <c:v>45434</c:v>
                </c:pt>
                <c:pt idx="462">
                  <c:v>45433</c:v>
                </c:pt>
                <c:pt idx="463">
                  <c:v>45430</c:v>
                </c:pt>
                <c:pt idx="464">
                  <c:v>45429</c:v>
                </c:pt>
                <c:pt idx="465">
                  <c:v>45428</c:v>
                </c:pt>
                <c:pt idx="466">
                  <c:v>45427</c:v>
                </c:pt>
                <c:pt idx="467">
                  <c:v>45426</c:v>
                </c:pt>
                <c:pt idx="468">
                  <c:v>45425</c:v>
                </c:pt>
                <c:pt idx="469">
                  <c:v>45422</c:v>
                </c:pt>
                <c:pt idx="470">
                  <c:v>45421</c:v>
                </c:pt>
                <c:pt idx="471">
                  <c:v>45420</c:v>
                </c:pt>
                <c:pt idx="472">
                  <c:v>45419</c:v>
                </c:pt>
                <c:pt idx="473">
                  <c:v>45418</c:v>
                </c:pt>
                <c:pt idx="474">
                  <c:v>45415</c:v>
                </c:pt>
                <c:pt idx="475">
                  <c:v>45414</c:v>
                </c:pt>
                <c:pt idx="476">
                  <c:v>45412</c:v>
                </c:pt>
                <c:pt idx="477">
                  <c:v>45411</c:v>
                </c:pt>
                <c:pt idx="478">
                  <c:v>45408</c:v>
                </c:pt>
                <c:pt idx="479">
                  <c:v>45407</c:v>
                </c:pt>
                <c:pt idx="480">
                  <c:v>45406</c:v>
                </c:pt>
                <c:pt idx="481">
                  <c:v>45405</c:v>
                </c:pt>
                <c:pt idx="482">
                  <c:v>45404</c:v>
                </c:pt>
                <c:pt idx="483">
                  <c:v>45401</c:v>
                </c:pt>
                <c:pt idx="484">
                  <c:v>45400</c:v>
                </c:pt>
                <c:pt idx="485">
                  <c:v>45398</c:v>
                </c:pt>
                <c:pt idx="486">
                  <c:v>45397</c:v>
                </c:pt>
                <c:pt idx="487">
                  <c:v>45394</c:v>
                </c:pt>
                <c:pt idx="488">
                  <c:v>45392</c:v>
                </c:pt>
                <c:pt idx="489">
                  <c:v>45391</c:v>
                </c:pt>
                <c:pt idx="490">
                  <c:v>45390</c:v>
                </c:pt>
                <c:pt idx="491">
                  <c:v>45387</c:v>
                </c:pt>
                <c:pt idx="492">
                  <c:v>45386</c:v>
                </c:pt>
                <c:pt idx="493">
                  <c:v>45385</c:v>
                </c:pt>
                <c:pt idx="494">
                  <c:v>45384</c:v>
                </c:pt>
                <c:pt idx="495">
                  <c:v>45383</c:v>
                </c:pt>
                <c:pt idx="496">
                  <c:v>45379</c:v>
                </c:pt>
                <c:pt idx="497">
                  <c:v>45378</c:v>
                </c:pt>
                <c:pt idx="498">
                  <c:v>45377</c:v>
                </c:pt>
                <c:pt idx="499">
                  <c:v>45373</c:v>
                </c:pt>
                <c:pt idx="500">
                  <c:v>45372</c:v>
                </c:pt>
                <c:pt idx="501">
                  <c:v>45371</c:v>
                </c:pt>
                <c:pt idx="502">
                  <c:v>45370</c:v>
                </c:pt>
                <c:pt idx="503">
                  <c:v>45369</c:v>
                </c:pt>
                <c:pt idx="504">
                  <c:v>45366</c:v>
                </c:pt>
                <c:pt idx="505">
                  <c:v>45365</c:v>
                </c:pt>
                <c:pt idx="506">
                  <c:v>45364</c:v>
                </c:pt>
                <c:pt idx="507">
                  <c:v>45363</c:v>
                </c:pt>
                <c:pt idx="508">
                  <c:v>45362</c:v>
                </c:pt>
                <c:pt idx="509">
                  <c:v>45358</c:v>
                </c:pt>
                <c:pt idx="510">
                  <c:v>45357</c:v>
                </c:pt>
                <c:pt idx="511">
                  <c:v>45356</c:v>
                </c:pt>
                <c:pt idx="512">
                  <c:v>45355</c:v>
                </c:pt>
                <c:pt idx="513">
                  <c:v>45353</c:v>
                </c:pt>
                <c:pt idx="514">
                  <c:v>45352</c:v>
                </c:pt>
                <c:pt idx="515">
                  <c:v>45351</c:v>
                </c:pt>
                <c:pt idx="516">
                  <c:v>45350</c:v>
                </c:pt>
                <c:pt idx="517">
                  <c:v>45349</c:v>
                </c:pt>
                <c:pt idx="518">
                  <c:v>45348</c:v>
                </c:pt>
                <c:pt idx="519">
                  <c:v>45345</c:v>
                </c:pt>
                <c:pt idx="520">
                  <c:v>45344</c:v>
                </c:pt>
                <c:pt idx="521">
                  <c:v>45343</c:v>
                </c:pt>
                <c:pt idx="522">
                  <c:v>45342</c:v>
                </c:pt>
                <c:pt idx="523">
                  <c:v>45341</c:v>
                </c:pt>
                <c:pt idx="524">
                  <c:v>45338</c:v>
                </c:pt>
                <c:pt idx="525">
                  <c:v>45337</c:v>
                </c:pt>
                <c:pt idx="526">
                  <c:v>45336</c:v>
                </c:pt>
                <c:pt idx="527">
                  <c:v>45335</c:v>
                </c:pt>
                <c:pt idx="528">
                  <c:v>45334</c:v>
                </c:pt>
                <c:pt idx="529">
                  <c:v>45331</c:v>
                </c:pt>
                <c:pt idx="530">
                  <c:v>45330</c:v>
                </c:pt>
                <c:pt idx="531">
                  <c:v>45329</c:v>
                </c:pt>
                <c:pt idx="532">
                  <c:v>45328</c:v>
                </c:pt>
                <c:pt idx="533">
                  <c:v>45327</c:v>
                </c:pt>
                <c:pt idx="534">
                  <c:v>45324</c:v>
                </c:pt>
                <c:pt idx="535">
                  <c:v>45323</c:v>
                </c:pt>
                <c:pt idx="536">
                  <c:v>45322</c:v>
                </c:pt>
                <c:pt idx="537">
                  <c:v>45321</c:v>
                </c:pt>
                <c:pt idx="538">
                  <c:v>45320</c:v>
                </c:pt>
                <c:pt idx="539">
                  <c:v>45316</c:v>
                </c:pt>
                <c:pt idx="540">
                  <c:v>45315</c:v>
                </c:pt>
                <c:pt idx="541">
                  <c:v>45314</c:v>
                </c:pt>
                <c:pt idx="542">
                  <c:v>45311</c:v>
                </c:pt>
                <c:pt idx="543">
                  <c:v>45310</c:v>
                </c:pt>
                <c:pt idx="544">
                  <c:v>45309</c:v>
                </c:pt>
                <c:pt idx="545">
                  <c:v>45308</c:v>
                </c:pt>
                <c:pt idx="546">
                  <c:v>45307</c:v>
                </c:pt>
                <c:pt idx="547">
                  <c:v>45306</c:v>
                </c:pt>
                <c:pt idx="548">
                  <c:v>45303</c:v>
                </c:pt>
                <c:pt idx="549">
                  <c:v>45302</c:v>
                </c:pt>
                <c:pt idx="550">
                  <c:v>45301</c:v>
                </c:pt>
                <c:pt idx="551">
                  <c:v>45300</c:v>
                </c:pt>
                <c:pt idx="552">
                  <c:v>45299</c:v>
                </c:pt>
                <c:pt idx="553">
                  <c:v>45296</c:v>
                </c:pt>
                <c:pt idx="554">
                  <c:v>45295</c:v>
                </c:pt>
                <c:pt idx="555">
                  <c:v>45294</c:v>
                </c:pt>
                <c:pt idx="556">
                  <c:v>45293</c:v>
                </c:pt>
                <c:pt idx="557">
                  <c:v>45292</c:v>
                </c:pt>
                <c:pt idx="558">
                  <c:v>45289</c:v>
                </c:pt>
                <c:pt idx="559">
                  <c:v>45288</c:v>
                </c:pt>
                <c:pt idx="560">
                  <c:v>45287</c:v>
                </c:pt>
                <c:pt idx="561">
                  <c:v>45286</c:v>
                </c:pt>
                <c:pt idx="562">
                  <c:v>45282</c:v>
                </c:pt>
                <c:pt idx="563">
                  <c:v>45281</c:v>
                </c:pt>
                <c:pt idx="564">
                  <c:v>45280</c:v>
                </c:pt>
                <c:pt idx="565">
                  <c:v>45279</c:v>
                </c:pt>
                <c:pt idx="566">
                  <c:v>45278</c:v>
                </c:pt>
                <c:pt idx="567">
                  <c:v>45275</c:v>
                </c:pt>
                <c:pt idx="568">
                  <c:v>45274</c:v>
                </c:pt>
                <c:pt idx="569">
                  <c:v>45273</c:v>
                </c:pt>
                <c:pt idx="570">
                  <c:v>45272</c:v>
                </c:pt>
                <c:pt idx="571">
                  <c:v>45271</c:v>
                </c:pt>
                <c:pt idx="572">
                  <c:v>45268</c:v>
                </c:pt>
                <c:pt idx="573">
                  <c:v>45267</c:v>
                </c:pt>
                <c:pt idx="574">
                  <c:v>45266</c:v>
                </c:pt>
                <c:pt idx="575">
                  <c:v>45265</c:v>
                </c:pt>
                <c:pt idx="576">
                  <c:v>45264</c:v>
                </c:pt>
                <c:pt idx="577">
                  <c:v>45261</c:v>
                </c:pt>
                <c:pt idx="578">
                  <c:v>45260</c:v>
                </c:pt>
                <c:pt idx="579">
                  <c:v>45259</c:v>
                </c:pt>
                <c:pt idx="580">
                  <c:v>45258</c:v>
                </c:pt>
                <c:pt idx="581">
                  <c:v>45254</c:v>
                </c:pt>
                <c:pt idx="582">
                  <c:v>45253</c:v>
                </c:pt>
                <c:pt idx="583">
                  <c:v>45252</c:v>
                </c:pt>
                <c:pt idx="584">
                  <c:v>45251</c:v>
                </c:pt>
                <c:pt idx="585">
                  <c:v>45250</c:v>
                </c:pt>
                <c:pt idx="586">
                  <c:v>45247</c:v>
                </c:pt>
                <c:pt idx="587">
                  <c:v>45246</c:v>
                </c:pt>
                <c:pt idx="588">
                  <c:v>45245</c:v>
                </c:pt>
                <c:pt idx="589">
                  <c:v>45243</c:v>
                </c:pt>
                <c:pt idx="590">
                  <c:v>45242</c:v>
                </c:pt>
                <c:pt idx="591">
                  <c:v>45240</c:v>
                </c:pt>
                <c:pt idx="592">
                  <c:v>45239</c:v>
                </c:pt>
                <c:pt idx="593">
                  <c:v>45238</c:v>
                </c:pt>
                <c:pt idx="594">
                  <c:v>45237</c:v>
                </c:pt>
                <c:pt idx="595">
                  <c:v>45236</c:v>
                </c:pt>
                <c:pt idx="596">
                  <c:v>45233</c:v>
                </c:pt>
                <c:pt idx="597">
                  <c:v>45232</c:v>
                </c:pt>
                <c:pt idx="598">
                  <c:v>45231</c:v>
                </c:pt>
                <c:pt idx="599">
                  <c:v>45230</c:v>
                </c:pt>
                <c:pt idx="600">
                  <c:v>45229</c:v>
                </c:pt>
                <c:pt idx="601">
                  <c:v>45226</c:v>
                </c:pt>
                <c:pt idx="602">
                  <c:v>45225</c:v>
                </c:pt>
                <c:pt idx="603">
                  <c:v>45224</c:v>
                </c:pt>
                <c:pt idx="604">
                  <c:v>45222</c:v>
                </c:pt>
                <c:pt idx="605">
                  <c:v>45219</c:v>
                </c:pt>
                <c:pt idx="606">
                  <c:v>45218</c:v>
                </c:pt>
                <c:pt idx="607">
                  <c:v>45217</c:v>
                </c:pt>
                <c:pt idx="608">
                  <c:v>45216</c:v>
                </c:pt>
                <c:pt idx="609">
                  <c:v>45215</c:v>
                </c:pt>
                <c:pt idx="610">
                  <c:v>45212</c:v>
                </c:pt>
                <c:pt idx="611">
                  <c:v>45211</c:v>
                </c:pt>
                <c:pt idx="612">
                  <c:v>45210</c:v>
                </c:pt>
                <c:pt idx="613">
                  <c:v>45209</c:v>
                </c:pt>
                <c:pt idx="614">
                  <c:v>45208</c:v>
                </c:pt>
                <c:pt idx="615">
                  <c:v>45205</c:v>
                </c:pt>
                <c:pt idx="616">
                  <c:v>45204</c:v>
                </c:pt>
                <c:pt idx="617">
                  <c:v>45203</c:v>
                </c:pt>
                <c:pt idx="618">
                  <c:v>45202</c:v>
                </c:pt>
                <c:pt idx="619">
                  <c:v>45198</c:v>
                </c:pt>
                <c:pt idx="620">
                  <c:v>45197</c:v>
                </c:pt>
                <c:pt idx="621">
                  <c:v>45196</c:v>
                </c:pt>
                <c:pt idx="622">
                  <c:v>45195</c:v>
                </c:pt>
                <c:pt idx="623">
                  <c:v>45194</c:v>
                </c:pt>
                <c:pt idx="624">
                  <c:v>45191</c:v>
                </c:pt>
                <c:pt idx="625">
                  <c:v>45190</c:v>
                </c:pt>
                <c:pt idx="626">
                  <c:v>45189</c:v>
                </c:pt>
                <c:pt idx="627">
                  <c:v>45187</c:v>
                </c:pt>
                <c:pt idx="628">
                  <c:v>45184</c:v>
                </c:pt>
                <c:pt idx="629">
                  <c:v>45183</c:v>
                </c:pt>
                <c:pt idx="630">
                  <c:v>45182</c:v>
                </c:pt>
                <c:pt idx="631">
                  <c:v>45181</c:v>
                </c:pt>
                <c:pt idx="632">
                  <c:v>45180</c:v>
                </c:pt>
                <c:pt idx="633">
                  <c:v>45177</c:v>
                </c:pt>
                <c:pt idx="634">
                  <c:v>45176</c:v>
                </c:pt>
                <c:pt idx="635">
                  <c:v>45175</c:v>
                </c:pt>
                <c:pt idx="636">
                  <c:v>45174</c:v>
                </c:pt>
                <c:pt idx="637">
                  <c:v>45173</c:v>
                </c:pt>
                <c:pt idx="638">
                  <c:v>45170</c:v>
                </c:pt>
                <c:pt idx="639">
                  <c:v>45169</c:v>
                </c:pt>
                <c:pt idx="640">
                  <c:v>45168</c:v>
                </c:pt>
                <c:pt idx="641">
                  <c:v>45167</c:v>
                </c:pt>
                <c:pt idx="642">
                  <c:v>45166</c:v>
                </c:pt>
                <c:pt idx="643">
                  <c:v>45163</c:v>
                </c:pt>
                <c:pt idx="644">
                  <c:v>45162</c:v>
                </c:pt>
                <c:pt idx="645">
                  <c:v>45161</c:v>
                </c:pt>
                <c:pt idx="646">
                  <c:v>45160</c:v>
                </c:pt>
                <c:pt idx="647">
                  <c:v>45159</c:v>
                </c:pt>
                <c:pt idx="648">
                  <c:v>45156</c:v>
                </c:pt>
                <c:pt idx="649">
                  <c:v>45155</c:v>
                </c:pt>
                <c:pt idx="650">
                  <c:v>45154</c:v>
                </c:pt>
                <c:pt idx="651">
                  <c:v>45152</c:v>
                </c:pt>
                <c:pt idx="652">
                  <c:v>45149</c:v>
                </c:pt>
                <c:pt idx="653">
                  <c:v>45148</c:v>
                </c:pt>
                <c:pt idx="654">
                  <c:v>45147</c:v>
                </c:pt>
                <c:pt idx="655">
                  <c:v>45146</c:v>
                </c:pt>
                <c:pt idx="656">
                  <c:v>45145</c:v>
                </c:pt>
                <c:pt idx="657">
                  <c:v>45142</c:v>
                </c:pt>
                <c:pt idx="658">
                  <c:v>45141</c:v>
                </c:pt>
                <c:pt idx="659">
                  <c:v>45140</c:v>
                </c:pt>
                <c:pt idx="660">
                  <c:v>45139</c:v>
                </c:pt>
                <c:pt idx="661">
                  <c:v>45138</c:v>
                </c:pt>
                <c:pt idx="662">
                  <c:v>45135</c:v>
                </c:pt>
                <c:pt idx="663">
                  <c:v>45134</c:v>
                </c:pt>
                <c:pt idx="664">
                  <c:v>45133</c:v>
                </c:pt>
                <c:pt idx="665">
                  <c:v>45132</c:v>
                </c:pt>
                <c:pt idx="666">
                  <c:v>45131</c:v>
                </c:pt>
                <c:pt idx="667">
                  <c:v>45128</c:v>
                </c:pt>
                <c:pt idx="668">
                  <c:v>45127</c:v>
                </c:pt>
                <c:pt idx="669">
                  <c:v>45126</c:v>
                </c:pt>
                <c:pt idx="670">
                  <c:v>45125</c:v>
                </c:pt>
                <c:pt idx="671">
                  <c:v>45124</c:v>
                </c:pt>
                <c:pt idx="672">
                  <c:v>45121</c:v>
                </c:pt>
                <c:pt idx="673">
                  <c:v>45120</c:v>
                </c:pt>
                <c:pt idx="674">
                  <c:v>45119</c:v>
                </c:pt>
                <c:pt idx="675">
                  <c:v>45118</c:v>
                </c:pt>
                <c:pt idx="676">
                  <c:v>45117</c:v>
                </c:pt>
                <c:pt idx="677">
                  <c:v>45114</c:v>
                </c:pt>
                <c:pt idx="678">
                  <c:v>45113</c:v>
                </c:pt>
                <c:pt idx="679">
                  <c:v>45112</c:v>
                </c:pt>
                <c:pt idx="680">
                  <c:v>45111</c:v>
                </c:pt>
                <c:pt idx="681">
                  <c:v>45110</c:v>
                </c:pt>
                <c:pt idx="682">
                  <c:v>45107</c:v>
                </c:pt>
                <c:pt idx="683">
                  <c:v>45105</c:v>
                </c:pt>
                <c:pt idx="684">
                  <c:v>45104</c:v>
                </c:pt>
                <c:pt idx="685">
                  <c:v>45103</c:v>
                </c:pt>
                <c:pt idx="686">
                  <c:v>45100</c:v>
                </c:pt>
                <c:pt idx="687">
                  <c:v>45099</c:v>
                </c:pt>
                <c:pt idx="688">
                  <c:v>45098</c:v>
                </c:pt>
                <c:pt idx="689">
                  <c:v>45097</c:v>
                </c:pt>
                <c:pt idx="690">
                  <c:v>45096</c:v>
                </c:pt>
                <c:pt idx="691">
                  <c:v>45093</c:v>
                </c:pt>
                <c:pt idx="692">
                  <c:v>45092</c:v>
                </c:pt>
                <c:pt idx="693">
                  <c:v>45091</c:v>
                </c:pt>
                <c:pt idx="694">
                  <c:v>45090</c:v>
                </c:pt>
                <c:pt idx="695">
                  <c:v>45089</c:v>
                </c:pt>
                <c:pt idx="696">
                  <c:v>45086</c:v>
                </c:pt>
                <c:pt idx="697">
                  <c:v>45085</c:v>
                </c:pt>
                <c:pt idx="698">
                  <c:v>45084</c:v>
                </c:pt>
                <c:pt idx="699">
                  <c:v>45083</c:v>
                </c:pt>
                <c:pt idx="700">
                  <c:v>45082</c:v>
                </c:pt>
                <c:pt idx="701">
                  <c:v>45079</c:v>
                </c:pt>
                <c:pt idx="702">
                  <c:v>45078</c:v>
                </c:pt>
                <c:pt idx="703">
                  <c:v>45077</c:v>
                </c:pt>
                <c:pt idx="704">
                  <c:v>45076</c:v>
                </c:pt>
                <c:pt idx="705">
                  <c:v>45075</c:v>
                </c:pt>
                <c:pt idx="706">
                  <c:v>45072</c:v>
                </c:pt>
                <c:pt idx="707">
                  <c:v>45071</c:v>
                </c:pt>
                <c:pt idx="708">
                  <c:v>45070</c:v>
                </c:pt>
                <c:pt idx="709">
                  <c:v>45069</c:v>
                </c:pt>
                <c:pt idx="710">
                  <c:v>45068</c:v>
                </c:pt>
                <c:pt idx="711">
                  <c:v>45065</c:v>
                </c:pt>
                <c:pt idx="712">
                  <c:v>45064</c:v>
                </c:pt>
                <c:pt idx="713">
                  <c:v>45063</c:v>
                </c:pt>
                <c:pt idx="714">
                  <c:v>45062</c:v>
                </c:pt>
                <c:pt idx="715">
                  <c:v>45061</c:v>
                </c:pt>
                <c:pt idx="716">
                  <c:v>45058</c:v>
                </c:pt>
                <c:pt idx="717">
                  <c:v>45057</c:v>
                </c:pt>
                <c:pt idx="718">
                  <c:v>45056</c:v>
                </c:pt>
                <c:pt idx="719">
                  <c:v>45055</c:v>
                </c:pt>
                <c:pt idx="720">
                  <c:v>45054</c:v>
                </c:pt>
                <c:pt idx="721">
                  <c:v>45051</c:v>
                </c:pt>
                <c:pt idx="722">
                  <c:v>45050</c:v>
                </c:pt>
                <c:pt idx="723">
                  <c:v>45049</c:v>
                </c:pt>
                <c:pt idx="724">
                  <c:v>45048</c:v>
                </c:pt>
                <c:pt idx="725">
                  <c:v>45044</c:v>
                </c:pt>
                <c:pt idx="726">
                  <c:v>45043</c:v>
                </c:pt>
                <c:pt idx="727">
                  <c:v>45042</c:v>
                </c:pt>
                <c:pt idx="728">
                  <c:v>45041</c:v>
                </c:pt>
                <c:pt idx="729">
                  <c:v>45040</c:v>
                </c:pt>
                <c:pt idx="730">
                  <c:v>45037</c:v>
                </c:pt>
                <c:pt idx="731">
                  <c:v>45036</c:v>
                </c:pt>
                <c:pt idx="732">
                  <c:v>45035</c:v>
                </c:pt>
                <c:pt idx="733">
                  <c:v>45034</c:v>
                </c:pt>
                <c:pt idx="734">
                  <c:v>45033</c:v>
                </c:pt>
                <c:pt idx="735">
                  <c:v>45029</c:v>
                </c:pt>
                <c:pt idx="736">
                  <c:v>45028</c:v>
                </c:pt>
                <c:pt idx="737">
                  <c:v>45027</c:v>
                </c:pt>
                <c:pt idx="738">
                  <c:v>45026</c:v>
                </c:pt>
                <c:pt idx="739">
                  <c:v>45022</c:v>
                </c:pt>
                <c:pt idx="740">
                  <c:v>45021</c:v>
                </c:pt>
                <c:pt idx="741">
                  <c:v>45019</c:v>
                </c:pt>
                <c:pt idx="742">
                  <c:v>45016</c:v>
                </c:pt>
                <c:pt idx="743">
                  <c:v>45014</c:v>
                </c:pt>
                <c:pt idx="744">
                  <c:v>45013</c:v>
                </c:pt>
                <c:pt idx="745">
                  <c:v>45012</c:v>
                </c:pt>
                <c:pt idx="746">
                  <c:v>45009</c:v>
                </c:pt>
                <c:pt idx="747">
                  <c:v>45008</c:v>
                </c:pt>
                <c:pt idx="748">
                  <c:v>45007</c:v>
                </c:pt>
                <c:pt idx="749">
                  <c:v>45006</c:v>
                </c:pt>
                <c:pt idx="750">
                  <c:v>45005</c:v>
                </c:pt>
                <c:pt idx="751">
                  <c:v>45002</c:v>
                </c:pt>
                <c:pt idx="752">
                  <c:v>45001</c:v>
                </c:pt>
                <c:pt idx="753">
                  <c:v>45000</c:v>
                </c:pt>
                <c:pt idx="754">
                  <c:v>44999</c:v>
                </c:pt>
                <c:pt idx="755">
                  <c:v>44998</c:v>
                </c:pt>
                <c:pt idx="756">
                  <c:v>44995</c:v>
                </c:pt>
                <c:pt idx="757">
                  <c:v>44994</c:v>
                </c:pt>
                <c:pt idx="758">
                  <c:v>44993</c:v>
                </c:pt>
                <c:pt idx="759">
                  <c:v>44991</c:v>
                </c:pt>
                <c:pt idx="760">
                  <c:v>44988</c:v>
                </c:pt>
                <c:pt idx="761">
                  <c:v>44987</c:v>
                </c:pt>
                <c:pt idx="762">
                  <c:v>44986</c:v>
                </c:pt>
                <c:pt idx="763">
                  <c:v>44985</c:v>
                </c:pt>
                <c:pt idx="764">
                  <c:v>44984</c:v>
                </c:pt>
                <c:pt idx="765">
                  <c:v>44981</c:v>
                </c:pt>
                <c:pt idx="766">
                  <c:v>44980</c:v>
                </c:pt>
                <c:pt idx="767">
                  <c:v>44979</c:v>
                </c:pt>
                <c:pt idx="768">
                  <c:v>44978</c:v>
                </c:pt>
                <c:pt idx="769">
                  <c:v>44977</c:v>
                </c:pt>
                <c:pt idx="770">
                  <c:v>44974</c:v>
                </c:pt>
                <c:pt idx="771">
                  <c:v>44973</c:v>
                </c:pt>
                <c:pt idx="772">
                  <c:v>44972</c:v>
                </c:pt>
                <c:pt idx="773">
                  <c:v>44971</c:v>
                </c:pt>
                <c:pt idx="774">
                  <c:v>44970</c:v>
                </c:pt>
                <c:pt idx="775">
                  <c:v>44967</c:v>
                </c:pt>
                <c:pt idx="776">
                  <c:v>44966</c:v>
                </c:pt>
                <c:pt idx="777">
                  <c:v>44965</c:v>
                </c:pt>
                <c:pt idx="778">
                  <c:v>44964</c:v>
                </c:pt>
                <c:pt idx="779">
                  <c:v>44963</c:v>
                </c:pt>
                <c:pt idx="780">
                  <c:v>44960</c:v>
                </c:pt>
                <c:pt idx="781">
                  <c:v>44959</c:v>
                </c:pt>
                <c:pt idx="782">
                  <c:v>44958</c:v>
                </c:pt>
                <c:pt idx="783">
                  <c:v>44957</c:v>
                </c:pt>
                <c:pt idx="784">
                  <c:v>44956</c:v>
                </c:pt>
                <c:pt idx="785">
                  <c:v>44953</c:v>
                </c:pt>
                <c:pt idx="786">
                  <c:v>44951</c:v>
                </c:pt>
                <c:pt idx="787">
                  <c:v>44950</c:v>
                </c:pt>
                <c:pt idx="788">
                  <c:v>44949</c:v>
                </c:pt>
                <c:pt idx="789">
                  <c:v>44946</c:v>
                </c:pt>
                <c:pt idx="790">
                  <c:v>44945</c:v>
                </c:pt>
                <c:pt idx="791">
                  <c:v>44944</c:v>
                </c:pt>
                <c:pt idx="792">
                  <c:v>44943</c:v>
                </c:pt>
                <c:pt idx="793">
                  <c:v>44942</c:v>
                </c:pt>
                <c:pt idx="794">
                  <c:v>44939</c:v>
                </c:pt>
                <c:pt idx="795">
                  <c:v>44938</c:v>
                </c:pt>
                <c:pt idx="796">
                  <c:v>44937</c:v>
                </c:pt>
                <c:pt idx="797">
                  <c:v>44936</c:v>
                </c:pt>
                <c:pt idx="798">
                  <c:v>44935</c:v>
                </c:pt>
                <c:pt idx="799">
                  <c:v>44932</c:v>
                </c:pt>
                <c:pt idx="800">
                  <c:v>44931</c:v>
                </c:pt>
                <c:pt idx="801">
                  <c:v>44930</c:v>
                </c:pt>
                <c:pt idx="802">
                  <c:v>44929</c:v>
                </c:pt>
                <c:pt idx="803">
                  <c:v>44928</c:v>
                </c:pt>
                <c:pt idx="804">
                  <c:v>44925</c:v>
                </c:pt>
                <c:pt idx="805">
                  <c:v>44924</c:v>
                </c:pt>
                <c:pt idx="806">
                  <c:v>44923</c:v>
                </c:pt>
                <c:pt idx="807">
                  <c:v>44922</c:v>
                </c:pt>
                <c:pt idx="808">
                  <c:v>44921</c:v>
                </c:pt>
                <c:pt idx="809">
                  <c:v>44918</c:v>
                </c:pt>
                <c:pt idx="810">
                  <c:v>44917</c:v>
                </c:pt>
                <c:pt idx="811">
                  <c:v>44916</c:v>
                </c:pt>
                <c:pt idx="812">
                  <c:v>44915</c:v>
                </c:pt>
                <c:pt idx="813">
                  <c:v>44914</c:v>
                </c:pt>
                <c:pt idx="814">
                  <c:v>44911</c:v>
                </c:pt>
                <c:pt idx="815">
                  <c:v>44910</c:v>
                </c:pt>
                <c:pt idx="816">
                  <c:v>44909</c:v>
                </c:pt>
                <c:pt idx="817">
                  <c:v>44908</c:v>
                </c:pt>
                <c:pt idx="818">
                  <c:v>44907</c:v>
                </c:pt>
                <c:pt idx="819">
                  <c:v>44904</c:v>
                </c:pt>
                <c:pt idx="820">
                  <c:v>44903</c:v>
                </c:pt>
                <c:pt idx="821">
                  <c:v>44902</c:v>
                </c:pt>
                <c:pt idx="822">
                  <c:v>44901</c:v>
                </c:pt>
                <c:pt idx="823">
                  <c:v>44900</c:v>
                </c:pt>
                <c:pt idx="824">
                  <c:v>44897</c:v>
                </c:pt>
                <c:pt idx="825">
                  <c:v>44896</c:v>
                </c:pt>
                <c:pt idx="826">
                  <c:v>44895</c:v>
                </c:pt>
                <c:pt idx="827">
                  <c:v>44894</c:v>
                </c:pt>
                <c:pt idx="828">
                  <c:v>44893</c:v>
                </c:pt>
                <c:pt idx="829">
                  <c:v>44890</c:v>
                </c:pt>
                <c:pt idx="830">
                  <c:v>44889</c:v>
                </c:pt>
                <c:pt idx="831">
                  <c:v>44888</c:v>
                </c:pt>
                <c:pt idx="832">
                  <c:v>44887</c:v>
                </c:pt>
                <c:pt idx="833">
                  <c:v>44886</c:v>
                </c:pt>
                <c:pt idx="834">
                  <c:v>44883</c:v>
                </c:pt>
                <c:pt idx="835">
                  <c:v>44882</c:v>
                </c:pt>
                <c:pt idx="836">
                  <c:v>44881</c:v>
                </c:pt>
                <c:pt idx="837">
                  <c:v>44880</c:v>
                </c:pt>
                <c:pt idx="838">
                  <c:v>44879</c:v>
                </c:pt>
                <c:pt idx="839">
                  <c:v>44876</c:v>
                </c:pt>
                <c:pt idx="840">
                  <c:v>44875</c:v>
                </c:pt>
                <c:pt idx="841">
                  <c:v>44874</c:v>
                </c:pt>
                <c:pt idx="842">
                  <c:v>44872</c:v>
                </c:pt>
                <c:pt idx="843">
                  <c:v>44869</c:v>
                </c:pt>
                <c:pt idx="844">
                  <c:v>44868</c:v>
                </c:pt>
                <c:pt idx="845">
                  <c:v>44867</c:v>
                </c:pt>
                <c:pt idx="846">
                  <c:v>44866</c:v>
                </c:pt>
                <c:pt idx="847">
                  <c:v>44865</c:v>
                </c:pt>
                <c:pt idx="848">
                  <c:v>44862</c:v>
                </c:pt>
                <c:pt idx="849">
                  <c:v>44861</c:v>
                </c:pt>
                <c:pt idx="850">
                  <c:v>44859</c:v>
                </c:pt>
                <c:pt idx="851">
                  <c:v>44858</c:v>
                </c:pt>
                <c:pt idx="852">
                  <c:v>44855</c:v>
                </c:pt>
                <c:pt idx="853">
                  <c:v>44854</c:v>
                </c:pt>
                <c:pt idx="854">
                  <c:v>44853</c:v>
                </c:pt>
                <c:pt idx="855">
                  <c:v>44852</c:v>
                </c:pt>
                <c:pt idx="856">
                  <c:v>44851</c:v>
                </c:pt>
                <c:pt idx="857">
                  <c:v>44848</c:v>
                </c:pt>
                <c:pt idx="858">
                  <c:v>44847</c:v>
                </c:pt>
                <c:pt idx="859">
                  <c:v>44846</c:v>
                </c:pt>
                <c:pt idx="860">
                  <c:v>44845</c:v>
                </c:pt>
                <c:pt idx="861">
                  <c:v>44844</c:v>
                </c:pt>
                <c:pt idx="862">
                  <c:v>44841</c:v>
                </c:pt>
                <c:pt idx="863">
                  <c:v>44840</c:v>
                </c:pt>
                <c:pt idx="864">
                  <c:v>44838</c:v>
                </c:pt>
                <c:pt idx="865">
                  <c:v>44837</c:v>
                </c:pt>
                <c:pt idx="866">
                  <c:v>44834</c:v>
                </c:pt>
                <c:pt idx="867">
                  <c:v>44833</c:v>
                </c:pt>
                <c:pt idx="868">
                  <c:v>44832</c:v>
                </c:pt>
                <c:pt idx="869">
                  <c:v>44831</c:v>
                </c:pt>
                <c:pt idx="870">
                  <c:v>44830</c:v>
                </c:pt>
                <c:pt idx="871">
                  <c:v>44827</c:v>
                </c:pt>
                <c:pt idx="872">
                  <c:v>44826</c:v>
                </c:pt>
                <c:pt idx="873">
                  <c:v>44825</c:v>
                </c:pt>
                <c:pt idx="874">
                  <c:v>44824</c:v>
                </c:pt>
                <c:pt idx="875">
                  <c:v>44823</c:v>
                </c:pt>
                <c:pt idx="876">
                  <c:v>44820</c:v>
                </c:pt>
                <c:pt idx="877">
                  <c:v>44819</c:v>
                </c:pt>
                <c:pt idx="878">
                  <c:v>44818</c:v>
                </c:pt>
                <c:pt idx="879">
                  <c:v>44817</c:v>
                </c:pt>
                <c:pt idx="880">
                  <c:v>44816</c:v>
                </c:pt>
                <c:pt idx="881">
                  <c:v>44813</c:v>
                </c:pt>
                <c:pt idx="882">
                  <c:v>44812</c:v>
                </c:pt>
                <c:pt idx="883">
                  <c:v>44811</c:v>
                </c:pt>
                <c:pt idx="884">
                  <c:v>44810</c:v>
                </c:pt>
                <c:pt idx="885">
                  <c:v>44809</c:v>
                </c:pt>
                <c:pt idx="886">
                  <c:v>44806</c:v>
                </c:pt>
                <c:pt idx="887">
                  <c:v>44805</c:v>
                </c:pt>
                <c:pt idx="888">
                  <c:v>44803</c:v>
                </c:pt>
                <c:pt idx="889">
                  <c:v>44802</c:v>
                </c:pt>
                <c:pt idx="890">
                  <c:v>44799</c:v>
                </c:pt>
                <c:pt idx="891">
                  <c:v>44798</c:v>
                </c:pt>
                <c:pt idx="892">
                  <c:v>44797</c:v>
                </c:pt>
                <c:pt idx="893">
                  <c:v>44796</c:v>
                </c:pt>
                <c:pt idx="894">
                  <c:v>44795</c:v>
                </c:pt>
                <c:pt idx="895">
                  <c:v>44792</c:v>
                </c:pt>
                <c:pt idx="896">
                  <c:v>44791</c:v>
                </c:pt>
                <c:pt idx="897">
                  <c:v>44790</c:v>
                </c:pt>
                <c:pt idx="898">
                  <c:v>44789</c:v>
                </c:pt>
                <c:pt idx="899">
                  <c:v>44785</c:v>
                </c:pt>
                <c:pt idx="900">
                  <c:v>44784</c:v>
                </c:pt>
                <c:pt idx="901">
                  <c:v>44783</c:v>
                </c:pt>
                <c:pt idx="902">
                  <c:v>44781</c:v>
                </c:pt>
                <c:pt idx="903">
                  <c:v>44778</c:v>
                </c:pt>
                <c:pt idx="904">
                  <c:v>44777</c:v>
                </c:pt>
                <c:pt idx="905">
                  <c:v>44776</c:v>
                </c:pt>
                <c:pt idx="906">
                  <c:v>44775</c:v>
                </c:pt>
                <c:pt idx="907">
                  <c:v>44774</c:v>
                </c:pt>
                <c:pt idx="908">
                  <c:v>44771</c:v>
                </c:pt>
                <c:pt idx="909">
                  <c:v>44770</c:v>
                </c:pt>
                <c:pt idx="910">
                  <c:v>44769</c:v>
                </c:pt>
                <c:pt idx="911">
                  <c:v>44768</c:v>
                </c:pt>
                <c:pt idx="912">
                  <c:v>44767</c:v>
                </c:pt>
                <c:pt idx="913">
                  <c:v>44764</c:v>
                </c:pt>
                <c:pt idx="914">
                  <c:v>44763</c:v>
                </c:pt>
                <c:pt idx="915">
                  <c:v>44762</c:v>
                </c:pt>
                <c:pt idx="916">
                  <c:v>44761</c:v>
                </c:pt>
                <c:pt idx="917">
                  <c:v>44760</c:v>
                </c:pt>
                <c:pt idx="918">
                  <c:v>44757</c:v>
                </c:pt>
                <c:pt idx="919">
                  <c:v>44756</c:v>
                </c:pt>
                <c:pt idx="920">
                  <c:v>44755</c:v>
                </c:pt>
                <c:pt idx="921">
                  <c:v>44754</c:v>
                </c:pt>
                <c:pt idx="922">
                  <c:v>44753</c:v>
                </c:pt>
                <c:pt idx="923">
                  <c:v>44750</c:v>
                </c:pt>
                <c:pt idx="924">
                  <c:v>44749</c:v>
                </c:pt>
                <c:pt idx="925">
                  <c:v>44748</c:v>
                </c:pt>
                <c:pt idx="926">
                  <c:v>44747</c:v>
                </c:pt>
                <c:pt idx="927">
                  <c:v>44746</c:v>
                </c:pt>
                <c:pt idx="928">
                  <c:v>44743</c:v>
                </c:pt>
                <c:pt idx="929">
                  <c:v>44742</c:v>
                </c:pt>
                <c:pt idx="930">
                  <c:v>44741</c:v>
                </c:pt>
                <c:pt idx="931">
                  <c:v>44740</c:v>
                </c:pt>
                <c:pt idx="932">
                  <c:v>44739</c:v>
                </c:pt>
                <c:pt idx="933">
                  <c:v>44736</c:v>
                </c:pt>
                <c:pt idx="934">
                  <c:v>44735</c:v>
                </c:pt>
                <c:pt idx="935">
                  <c:v>44734</c:v>
                </c:pt>
                <c:pt idx="936">
                  <c:v>44733</c:v>
                </c:pt>
                <c:pt idx="937">
                  <c:v>44732</c:v>
                </c:pt>
                <c:pt idx="938">
                  <c:v>44729</c:v>
                </c:pt>
                <c:pt idx="939">
                  <c:v>44728</c:v>
                </c:pt>
                <c:pt idx="940">
                  <c:v>44727</c:v>
                </c:pt>
                <c:pt idx="941">
                  <c:v>44726</c:v>
                </c:pt>
                <c:pt idx="942">
                  <c:v>44725</c:v>
                </c:pt>
                <c:pt idx="943">
                  <c:v>44722</c:v>
                </c:pt>
                <c:pt idx="944">
                  <c:v>44721</c:v>
                </c:pt>
                <c:pt idx="945">
                  <c:v>44720</c:v>
                </c:pt>
                <c:pt idx="946">
                  <c:v>44719</c:v>
                </c:pt>
                <c:pt idx="947">
                  <c:v>44718</c:v>
                </c:pt>
                <c:pt idx="948">
                  <c:v>44715</c:v>
                </c:pt>
                <c:pt idx="949">
                  <c:v>44714</c:v>
                </c:pt>
                <c:pt idx="950">
                  <c:v>44713</c:v>
                </c:pt>
                <c:pt idx="951">
                  <c:v>44712</c:v>
                </c:pt>
                <c:pt idx="952">
                  <c:v>44711</c:v>
                </c:pt>
                <c:pt idx="953">
                  <c:v>44708</c:v>
                </c:pt>
                <c:pt idx="954">
                  <c:v>44707</c:v>
                </c:pt>
                <c:pt idx="955">
                  <c:v>44706</c:v>
                </c:pt>
                <c:pt idx="956">
                  <c:v>44705</c:v>
                </c:pt>
                <c:pt idx="957">
                  <c:v>44704</c:v>
                </c:pt>
                <c:pt idx="958">
                  <c:v>44701</c:v>
                </c:pt>
                <c:pt idx="959">
                  <c:v>44700</c:v>
                </c:pt>
                <c:pt idx="960">
                  <c:v>44699</c:v>
                </c:pt>
                <c:pt idx="961">
                  <c:v>44698</c:v>
                </c:pt>
                <c:pt idx="962">
                  <c:v>44697</c:v>
                </c:pt>
                <c:pt idx="963">
                  <c:v>44694</c:v>
                </c:pt>
                <c:pt idx="964">
                  <c:v>44693</c:v>
                </c:pt>
                <c:pt idx="965">
                  <c:v>44692</c:v>
                </c:pt>
                <c:pt idx="966">
                  <c:v>44691</c:v>
                </c:pt>
                <c:pt idx="967">
                  <c:v>44690</c:v>
                </c:pt>
                <c:pt idx="968">
                  <c:v>44687</c:v>
                </c:pt>
                <c:pt idx="969">
                  <c:v>44686</c:v>
                </c:pt>
                <c:pt idx="970">
                  <c:v>44685</c:v>
                </c:pt>
                <c:pt idx="971">
                  <c:v>44683</c:v>
                </c:pt>
                <c:pt idx="972">
                  <c:v>44680</c:v>
                </c:pt>
                <c:pt idx="973">
                  <c:v>44679</c:v>
                </c:pt>
                <c:pt idx="974">
                  <c:v>44678</c:v>
                </c:pt>
                <c:pt idx="975">
                  <c:v>44677</c:v>
                </c:pt>
                <c:pt idx="976">
                  <c:v>44676</c:v>
                </c:pt>
                <c:pt idx="977">
                  <c:v>44673</c:v>
                </c:pt>
                <c:pt idx="978">
                  <c:v>44672</c:v>
                </c:pt>
                <c:pt idx="979">
                  <c:v>44671</c:v>
                </c:pt>
                <c:pt idx="980">
                  <c:v>44670</c:v>
                </c:pt>
                <c:pt idx="981">
                  <c:v>44669</c:v>
                </c:pt>
                <c:pt idx="982">
                  <c:v>44664</c:v>
                </c:pt>
                <c:pt idx="983">
                  <c:v>44663</c:v>
                </c:pt>
                <c:pt idx="984">
                  <c:v>44662</c:v>
                </c:pt>
                <c:pt idx="985">
                  <c:v>44659</c:v>
                </c:pt>
                <c:pt idx="986">
                  <c:v>44658</c:v>
                </c:pt>
                <c:pt idx="987">
                  <c:v>44657</c:v>
                </c:pt>
                <c:pt idx="988">
                  <c:v>44656</c:v>
                </c:pt>
                <c:pt idx="989">
                  <c:v>44655</c:v>
                </c:pt>
                <c:pt idx="990">
                  <c:v>44652</c:v>
                </c:pt>
                <c:pt idx="991">
                  <c:v>44651</c:v>
                </c:pt>
                <c:pt idx="992">
                  <c:v>44650</c:v>
                </c:pt>
                <c:pt idx="993">
                  <c:v>44649</c:v>
                </c:pt>
                <c:pt idx="994">
                  <c:v>44648</c:v>
                </c:pt>
                <c:pt idx="995">
                  <c:v>44645</c:v>
                </c:pt>
                <c:pt idx="996">
                  <c:v>44644</c:v>
                </c:pt>
                <c:pt idx="997">
                  <c:v>44643</c:v>
                </c:pt>
                <c:pt idx="998">
                  <c:v>44642</c:v>
                </c:pt>
                <c:pt idx="999">
                  <c:v>44641</c:v>
                </c:pt>
                <c:pt idx="1000">
                  <c:v>44637</c:v>
                </c:pt>
                <c:pt idx="1001">
                  <c:v>44636</c:v>
                </c:pt>
                <c:pt idx="1002">
                  <c:v>44635</c:v>
                </c:pt>
                <c:pt idx="1003">
                  <c:v>44634</c:v>
                </c:pt>
                <c:pt idx="1004">
                  <c:v>44631</c:v>
                </c:pt>
                <c:pt idx="1005">
                  <c:v>44630</c:v>
                </c:pt>
                <c:pt idx="1006">
                  <c:v>44629</c:v>
                </c:pt>
                <c:pt idx="1007">
                  <c:v>44628</c:v>
                </c:pt>
                <c:pt idx="1008">
                  <c:v>44627</c:v>
                </c:pt>
                <c:pt idx="1009">
                  <c:v>44624</c:v>
                </c:pt>
                <c:pt idx="1010">
                  <c:v>44623</c:v>
                </c:pt>
                <c:pt idx="1011">
                  <c:v>44622</c:v>
                </c:pt>
                <c:pt idx="1012">
                  <c:v>44620</c:v>
                </c:pt>
                <c:pt idx="1013">
                  <c:v>44617</c:v>
                </c:pt>
                <c:pt idx="1014">
                  <c:v>44616</c:v>
                </c:pt>
                <c:pt idx="1015">
                  <c:v>44615</c:v>
                </c:pt>
                <c:pt idx="1016">
                  <c:v>44614</c:v>
                </c:pt>
                <c:pt idx="1017">
                  <c:v>44613</c:v>
                </c:pt>
                <c:pt idx="1018">
                  <c:v>44610</c:v>
                </c:pt>
                <c:pt idx="1019">
                  <c:v>44609</c:v>
                </c:pt>
                <c:pt idx="1020">
                  <c:v>44608</c:v>
                </c:pt>
                <c:pt idx="1021">
                  <c:v>44607</c:v>
                </c:pt>
                <c:pt idx="1022">
                  <c:v>44606</c:v>
                </c:pt>
                <c:pt idx="1023">
                  <c:v>44603</c:v>
                </c:pt>
                <c:pt idx="1024">
                  <c:v>44602</c:v>
                </c:pt>
                <c:pt idx="1025">
                  <c:v>44601</c:v>
                </c:pt>
                <c:pt idx="1026">
                  <c:v>44600</c:v>
                </c:pt>
                <c:pt idx="1027">
                  <c:v>44599</c:v>
                </c:pt>
                <c:pt idx="1028">
                  <c:v>44596</c:v>
                </c:pt>
                <c:pt idx="1029">
                  <c:v>44595</c:v>
                </c:pt>
                <c:pt idx="1030">
                  <c:v>44594</c:v>
                </c:pt>
                <c:pt idx="1031">
                  <c:v>44593</c:v>
                </c:pt>
                <c:pt idx="1032">
                  <c:v>44592</c:v>
                </c:pt>
                <c:pt idx="1033">
                  <c:v>44589</c:v>
                </c:pt>
                <c:pt idx="1034">
                  <c:v>44588</c:v>
                </c:pt>
                <c:pt idx="1035">
                  <c:v>44586</c:v>
                </c:pt>
                <c:pt idx="1036">
                  <c:v>44585</c:v>
                </c:pt>
                <c:pt idx="1037">
                  <c:v>44582</c:v>
                </c:pt>
                <c:pt idx="1038">
                  <c:v>44581</c:v>
                </c:pt>
                <c:pt idx="1039">
                  <c:v>44580</c:v>
                </c:pt>
                <c:pt idx="1040">
                  <c:v>44579</c:v>
                </c:pt>
                <c:pt idx="1041">
                  <c:v>44578</c:v>
                </c:pt>
                <c:pt idx="1042">
                  <c:v>44575</c:v>
                </c:pt>
                <c:pt idx="1043">
                  <c:v>44574</c:v>
                </c:pt>
                <c:pt idx="1044">
                  <c:v>44573</c:v>
                </c:pt>
                <c:pt idx="1045">
                  <c:v>44572</c:v>
                </c:pt>
                <c:pt idx="1046">
                  <c:v>44571</c:v>
                </c:pt>
                <c:pt idx="1047">
                  <c:v>44568</c:v>
                </c:pt>
                <c:pt idx="1048">
                  <c:v>44567</c:v>
                </c:pt>
                <c:pt idx="1049">
                  <c:v>44566</c:v>
                </c:pt>
                <c:pt idx="1050">
                  <c:v>44565</c:v>
                </c:pt>
                <c:pt idx="1051">
                  <c:v>44564</c:v>
                </c:pt>
                <c:pt idx="1052">
                  <c:v>44561</c:v>
                </c:pt>
                <c:pt idx="1053">
                  <c:v>44560</c:v>
                </c:pt>
                <c:pt idx="1054">
                  <c:v>44559</c:v>
                </c:pt>
                <c:pt idx="1055">
                  <c:v>44558</c:v>
                </c:pt>
                <c:pt idx="1056">
                  <c:v>44557</c:v>
                </c:pt>
                <c:pt idx="1057">
                  <c:v>44554</c:v>
                </c:pt>
                <c:pt idx="1058">
                  <c:v>44553</c:v>
                </c:pt>
                <c:pt idx="1059">
                  <c:v>44552</c:v>
                </c:pt>
                <c:pt idx="1060">
                  <c:v>44551</c:v>
                </c:pt>
                <c:pt idx="1061">
                  <c:v>44550</c:v>
                </c:pt>
                <c:pt idx="1062">
                  <c:v>44547</c:v>
                </c:pt>
                <c:pt idx="1063">
                  <c:v>44546</c:v>
                </c:pt>
                <c:pt idx="1064">
                  <c:v>44545</c:v>
                </c:pt>
                <c:pt idx="1065">
                  <c:v>44544</c:v>
                </c:pt>
                <c:pt idx="1066">
                  <c:v>44543</c:v>
                </c:pt>
                <c:pt idx="1067">
                  <c:v>44540</c:v>
                </c:pt>
                <c:pt idx="1068">
                  <c:v>44539</c:v>
                </c:pt>
                <c:pt idx="1069">
                  <c:v>44538</c:v>
                </c:pt>
                <c:pt idx="1070">
                  <c:v>44537</c:v>
                </c:pt>
                <c:pt idx="1071">
                  <c:v>44536</c:v>
                </c:pt>
                <c:pt idx="1072">
                  <c:v>44533</c:v>
                </c:pt>
                <c:pt idx="1073">
                  <c:v>44532</c:v>
                </c:pt>
                <c:pt idx="1074">
                  <c:v>44531</c:v>
                </c:pt>
                <c:pt idx="1075">
                  <c:v>44530</c:v>
                </c:pt>
                <c:pt idx="1076">
                  <c:v>44529</c:v>
                </c:pt>
                <c:pt idx="1077">
                  <c:v>44526</c:v>
                </c:pt>
                <c:pt idx="1078">
                  <c:v>44525</c:v>
                </c:pt>
                <c:pt idx="1079">
                  <c:v>44524</c:v>
                </c:pt>
                <c:pt idx="1080">
                  <c:v>44523</c:v>
                </c:pt>
                <c:pt idx="1081">
                  <c:v>44522</c:v>
                </c:pt>
                <c:pt idx="1082">
                  <c:v>44518</c:v>
                </c:pt>
                <c:pt idx="1083">
                  <c:v>44517</c:v>
                </c:pt>
                <c:pt idx="1084">
                  <c:v>44516</c:v>
                </c:pt>
                <c:pt idx="1085">
                  <c:v>44515</c:v>
                </c:pt>
                <c:pt idx="1086">
                  <c:v>44512</c:v>
                </c:pt>
                <c:pt idx="1087">
                  <c:v>44511</c:v>
                </c:pt>
                <c:pt idx="1088">
                  <c:v>44510</c:v>
                </c:pt>
                <c:pt idx="1089">
                  <c:v>44509</c:v>
                </c:pt>
                <c:pt idx="1090">
                  <c:v>44508</c:v>
                </c:pt>
                <c:pt idx="1091">
                  <c:v>44504</c:v>
                </c:pt>
                <c:pt idx="1092">
                  <c:v>44503</c:v>
                </c:pt>
                <c:pt idx="1093">
                  <c:v>44502</c:v>
                </c:pt>
                <c:pt idx="1094">
                  <c:v>44501</c:v>
                </c:pt>
                <c:pt idx="1095">
                  <c:v>44498</c:v>
                </c:pt>
                <c:pt idx="1096">
                  <c:v>44497</c:v>
                </c:pt>
                <c:pt idx="1097">
                  <c:v>44496</c:v>
                </c:pt>
                <c:pt idx="1098">
                  <c:v>44495</c:v>
                </c:pt>
                <c:pt idx="1099">
                  <c:v>44494</c:v>
                </c:pt>
                <c:pt idx="1100">
                  <c:v>44491</c:v>
                </c:pt>
                <c:pt idx="1101">
                  <c:v>44490</c:v>
                </c:pt>
                <c:pt idx="1102">
                  <c:v>44489</c:v>
                </c:pt>
                <c:pt idx="1103">
                  <c:v>44488</c:v>
                </c:pt>
                <c:pt idx="1104">
                  <c:v>44487</c:v>
                </c:pt>
                <c:pt idx="1105">
                  <c:v>44483</c:v>
                </c:pt>
                <c:pt idx="1106">
                  <c:v>44482</c:v>
                </c:pt>
                <c:pt idx="1107">
                  <c:v>44481</c:v>
                </c:pt>
                <c:pt idx="1108">
                  <c:v>44480</c:v>
                </c:pt>
                <c:pt idx="1109">
                  <c:v>44477</c:v>
                </c:pt>
                <c:pt idx="1110">
                  <c:v>44476</c:v>
                </c:pt>
                <c:pt idx="1111">
                  <c:v>44475</c:v>
                </c:pt>
                <c:pt idx="1112">
                  <c:v>44474</c:v>
                </c:pt>
                <c:pt idx="1113">
                  <c:v>44473</c:v>
                </c:pt>
                <c:pt idx="1114">
                  <c:v>44470</c:v>
                </c:pt>
                <c:pt idx="1115">
                  <c:v>44469</c:v>
                </c:pt>
                <c:pt idx="1116">
                  <c:v>44468</c:v>
                </c:pt>
                <c:pt idx="1117">
                  <c:v>44467</c:v>
                </c:pt>
                <c:pt idx="1118">
                  <c:v>44466</c:v>
                </c:pt>
                <c:pt idx="1119">
                  <c:v>44463</c:v>
                </c:pt>
                <c:pt idx="1120">
                  <c:v>44462</c:v>
                </c:pt>
                <c:pt idx="1121">
                  <c:v>44461</c:v>
                </c:pt>
                <c:pt idx="1122">
                  <c:v>44460</c:v>
                </c:pt>
                <c:pt idx="1123">
                  <c:v>44459</c:v>
                </c:pt>
                <c:pt idx="1124">
                  <c:v>44456</c:v>
                </c:pt>
                <c:pt idx="1125">
                  <c:v>44455</c:v>
                </c:pt>
                <c:pt idx="1126">
                  <c:v>44454</c:v>
                </c:pt>
                <c:pt idx="1127">
                  <c:v>44453</c:v>
                </c:pt>
                <c:pt idx="1128">
                  <c:v>44452</c:v>
                </c:pt>
                <c:pt idx="1129">
                  <c:v>44448</c:v>
                </c:pt>
                <c:pt idx="1130">
                  <c:v>44447</c:v>
                </c:pt>
                <c:pt idx="1131">
                  <c:v>44446</c:v>
                </c:pt>
                <c:pt idx="1132">
                  <c:v>44445</c:v>
                </c:pt>
                <c:pt idx="1133">
                  <c:v>44442</c:v>
                </c:pt>
                <c:pt idx="1134">
                  <c:v>44441</c:v>
                </c:pt>
                <c:pt idx="1135">
                  <c:v>44440</c:v>
                </c:pt>
                <c:pt idx="1136">
                  <c:v>44439</c:v>
                </c:pt>
                <c:pt idx="1137">
                  <c:v>44438</c:v>
                </c:pt>
                <c:pt idx="1138">
                  <c:v>44435</c:v>
                </c:pt>
                <c:pt idx="1139">
                  <c:v>44434</c:v>
                </c:pt>
                <c:pt idx="1140">
                  <c:v>44433</c:v>
                </c:pt>
                <c:pt idx="1141">
                  <c:v>44432</c:v>
                </c:pt>
                <c:pt idx="1142">
                  <c:v>44431</c:v>
                </c:pt>
                <c:pt idx="1143">
                  <c:v>44428</c:v>
                </c:pt>
                <c:pt idx="1144">
                  <c:v>44426</c:v>
                </c:pt>
                <c:pt idx="1145">
                  <c:v>44425</c:v>
                </c:pt>
                <c:pt idx="1146">
                  <c:v>44424</c:v>
                </c:pt>
                <c:pt idx="1147">
                  <c:v>44421</c:v>
                </c:pt>
                <c:pt idx="1148">
                  <c:v>44420</c:v>
                </c:pt>
                <c:pt idx="1149">
                  <c:v>44419</c:v>
                </c:pt>
                <c:pt idx="1150">
                  <c:v>44418</c:v>
                </c:pt>
                <c:pt idx="1151">
                  <c:v>44417</c:v>
                </c:pt>
                <c:pt idx="1152">
                  <c:v>44414</c:v>
                </c:pt>
                <c:pt idx="1153">
                  <c:v>44413</c:v>
                </c:pt>
                <c:pt idx="1154">
                  <c:v>44412</c:v>
                </c:pt>
                <c:pt idx="1155">
                  <c:v>44411</c:v>
                </c:pt>
                <c:pt idx="1156">
                  <c:v>44410</c:v>
                </c:pt>
                <c:pt idx="1157">
                  <c:v>44407</c:v>
                </c:pt>
                <c:pt idx="1158">
                  <c:v>44406</c:v>
                </c:pt>
                <c:pt idx="1159">
                  <c:v>44405</c:v>
                </c:pt>
                <c:pt idx="1160">
                  <c:v>44404</c:v>
                </c:pt>
                <c:pt idx="1161">
                  <c:v>44403</c:v>
                </c:pt>
                <c:pt idx="1162">
                  <c:v>44400</c:v>
                </c:pt>
                <c:pt idx="1163">
                  <c:v>44399</c:v>
                </c:pt>
                <c:pt idx="1164">
                  <c:v>44397</c:v>
                </c:pt>
                <c:pt idx="1165">
                  <c:v>44396</c:v>
                </c:pt>
                <c:pt idx="1166">
                  <c:v>44393</c:v>
                </c:pt>
                <c:pt idx="1167">
                  <c:v>44392</c:v>
                </c:pt>
                <c:pt idx="1168">
                  <c:v>44391</c:v>
                </c:pt>
                <c:pt idx="1169">
                  <c:v>44390</c:v>
                </c:pt>
                <c:pt idx="1170">
                  <c:v>44389</c:v>
                </c:pt>
                <c:pt idx="1171">
                  <c:v>44386</c:v>
                </c:pt>
                <c:pt idx="1172">
                  <c:v>44385</c:v>
                </c:pt>
                <c:pt idx="1173">
                  <c:v>44384</c:v>
                </c:pt>
                <c:pt idx="1174">
                  <c:v>44383</c:v>
                </c:pt>
                <c:pt idx="1175">
                  <c:v>44382</c:v>
                </c:pt>
                <c:pt idx="1176">
                  <c:v>44379</c:v>
                </c:pt>
                <c:pt idx="1177">
                  <c:v>44378</c:v>
                </c:pt>
                <c:pt idx="1178">
                  <c:v>44377</c:v>
                </c:pt>
                <c:pt idx="1179">
                  <c:v>44376</c:v>
                </c:pt>
                <c:pt idx="1180">
                  <c:v>44375</c:v>
                </c:pt>
                <c:pt idx="1181">
                  <c:v>44372</c:v>
                </c:pt>
                <c:pt idx="1182">
                  <c:v>44371</c:v>
                </c:pt>
                <c:pt idx="1183">
                  <c:v>44370</c:v>
                </c:pt>
                <c:pt idx="1184">
                  <c:v>44369</c:v>
                </c:pt>
                <c:pt idx="1185">
                  <c:v>44368</c:v>
                </c:pt>
                <c:pt idx="1186">
                  <c:v>44365</c:v>
                </c:pt>
                <c:pt idx="1187">
                  <c:v>44364</c:v>
                </c:pt>
                <c:pt idx="1188">
                  <c:v>44363</c:v>
                </c:pt>
                <c:pt idx="1189">
                  <c:v>44362</c:v>
                </c:pt>
                <c:pt idx="1190">
                  <c:v>44361</c:v>
                </c:pt>
                <c:pt idx="1191">
                  <c:v>44358</c:v>
                </c:pt>
                <c:pt idx="1192">
                  <c:v>44357</c:v>
                </c:pt>
                <c:pt idx="1193">
                  <c:v>44356</c:v>
                </c:pt>
                <c:pt idx="1194">
                  <c:v>44355</c:v>
                </c:pt>
                <c:pt idx="1195">
                  <c:v>44354</c:v>
                </c:pt>
                <c:pt idx="1196">
                  <c:v>44351</c:v>
                </c:pt>
                <c:pt idx="1197">
                  <c:v>44350</c:v>
                </c:pt>
                <c:pt idx="1198">
                  <c:v>44349</c:v>
                </c:pt>
                <c:pt idx="1199">
                  <c:v>44348</c:v>
                </c:pt>
                <c:pt idx="1200">
                  <c:v>44347</c:v>
                </c:pt>
                <c:pt idx="1201">
                  <c:v>44344</c:v>
                </c:pt>
                <c:pt idx="1202">
                  <c:v>44343</c:v>
                </c:pt>
                <c:pt idx="1203">
                  <c:v>44342</c:v>
                </c:pt>
                <c:pt idx="1204">
                  <c:v>44341</c:v>
                </c:pt>
                <c:pt idx="1205">
                  <c:v>44340</c:v>
                </c:pt>
                <c:pt idx="1206">
                  <c:v>44337</c:v>
                </c:pt>
                <c:pt idx="1207">
                  <c:v>44336</c:v>
                </c:pt>
                <c:pt idx="1208">
                  <c:v>44335</c:v>
                </c:pt>
                <c:pt idx="1209">
                  <c:v>44334</c:v>
                </c:pt>
                <c:pt idx="1210">
                  <c:v>44333</c:v>
                </c:pt>
                <c:pt idx="1211">
                  <c:v>44330</c:v>
                </c:pt>
                <c:pt idx="1212">
                  <c:v>44328</c:v>
                </c:pt>
                <c:pt idx="1213">
                  <c:v>44327</c:v>
                </c:pt>
                <c:pt idx="1214">
                  <c:v>44326</c:v>
                </c:pt>
                <c:pt idx="1215">
                  <c:v>44323</c:v>
                </c:pt>
                <c:pt idx="1216">
                  <c:v>44322</c:v>
                </c:pt>
                <c:pt idx="1217">
                  <c:v>44321</c:v>
                </c:pt>
                <c:pt idx="1218">
                  <c:v>44320</c:v>
                </c:pt>
                <c:pt idx="1219">
                  <c:v>44319</c:v>
                </c:pt>
                <c:pt idx="1220">
                  <c:v>44316</c:v>
                </c:pt>
                <c:pt idx="1221">
                  <c:v>44315</c:v>
                </c:pt>
                <c:pt idx="1222">
                  <c:v>44314</c:v>
                </c:pt>
                <c:pt idx="1223">
                  <c:v>44313</c:v>
                </c:pt>
                <c:pt idx="1224">
                  <c:v>44312</c:v>
                </c:pt>
                <c:pt idx="1225">
                  <c:v>44309</c:v>
                </c:pt>
                <c:pt idx="1226">
                  <c:v>44308</c:v>
                </c:pt>
                <c:pt idx="1227">
                  <c:v>44306</c:v>
                </c:pt>
                <c:pt idx="1228">
                  <c:v>44305</c:v>
                </c:pt>
                <c:pt idx="1229">
                  <c:v>44302</c:v>
                </c:pt>
                <c:pt idx="1230">
                  <c:v>44301</c:v>
                </c:pt>
                <c:pt idx="1231">
                  <c:v>44299</c:v>
                </c:pt>
                <c:pt idx="1232">
                  <c:v>44298</c:v>
                </c:pt>
                <c:pt idx="1233">
                  <c:v>44295</c:v>
                </c:pt>
                <c:pt idx="1234">
                  <c:v>44294</c:v>
                </c:pt>
                <c:pt idx="1235">
                  <c:v>44293</c:v>
                </c:pt>
                <c:pt idx="1236">
                  <c:v>44292</c:v>
                </c:pt>
                <c:pt idx="1237">
                  <c:v>44291</c:v>
                </c:pt>
                <c:pt idx="1238">
                  <c:v>44287</c:v>
                </c:pt>
              </c:numCache>
            </c:numRef>
          </c:cat>
          <c:val>
            <c:numRef>
              <c:f>'share Price'!$E$3:$E$1241</c:f>
              <c:numCache>
                <c:formatCode>General</c:formatCode>
                <c:ptCount val="1239"/>
                <c:pt idx="0">
                  <c:v>141.1</c:v>
                </c:pt>
                <c:pt idx="1">
                  <c:v>130.9</c:v>
                </c:pt>
                <c:pt idx="2">
                  <c:v>108.2</c:v>
                </c:pt>
                <c:pt idx="3">
                  <c:v>136.1</c:v>
                </c:pt>
                <c:pt idx="4">
                  <c:v>124.2</c:v>
                </c:pt>
                <c:pt idx="5">
                  <c:v>273</c:v>
                </c:pt>
                <c:pt idx="6">
                  <c:v>91.6</c:v>
                </c:pt>
                <c:pt idx="7">
                  <c:v>123.7</c:v>
                </c:pt>
                <c:pt idx="8">
                  <c:v>112.2</c:v>
                </c:pt>
                <c:pt idx="9">
                  <c:v>123.1</c:v>
                </c:pt>
                <c:pt idx="10">
                  <c:v>73.7</c:v>
                </c:pt>
                <c:pt idx="11">
                  <c:v>76</c:v>
                </c:pt>
                <c:pt idx="12">
                  <c:v>78.7</c:v>
                </c:pt>
                <c:pt idx="13">
                  <c:v>96</c:v>
                </c:pt>
                <c:pt idx="14">
                  <c:v>100.7</c:v>
                </c:pt>
                <c:pt idx="15">
                  <c:v>87.2</c:v>
                </c:pt>
                <c:pt idx="16">
                  <c:v>103.6</c:v>
                </c:pt>
                <c:pt idx="17">
                  <c:v>151.5</c:v>
                </c:pt>
                <c:pt idx="18">
                  <c:v>97</c:v>
                </c:pt>
                <c:pt idx="19">
                  <c:v>231.4</c:v>
                </c:pt>
                <c:pt idx="20">
                  <c:v>114.9</c:v>
                </c:pt>
                <c:pt idx="21">
                  <c:v>166.70000000000002</c:v>
                </c:pt>
                <c:pt idx="22">
                  <c:v>278.39999999999998</c:v>
                </c:pt>
                <c:pt idx="23">
                  <c:v>128.9</c:v>
                </c:pt>
                <c:pt idx="24">
                  <c:v>126.3</c:v>
                </c:pt>
                <c:pt idx="25">
                  <c:v>145.69999999999999</c:v>
                </c:pt>
                <c:pt idx="26">
                  <c:v>202.4</c:v>
                </c:pt>
                <c:pt idx="27">
                  <c:v>253.5</c:v>
                </c:pt>
                <c:pt idx="28">
                  <c:v>146.19999999999999</c:v>
                </c:pt>
                <c:pt idx="29">
                  <c:v>457.9</c:v>
                </c:pt>
                <c:pt idx="30">
                  <c:v>260.5</c:v>
                </c:pt>
                <c:pt idx="31">
                  <c:v>79.3</c:v>
                </c:pt>
                <c:pt idx="32">
                  <c:v>86.6</c:v>
                </c:pt>
                <c:pt idx="33">
                  <c:v>82.899999999999991</c:v>
                </c:pt>
                <c:pt idx="34">
                  <c:v>139</c:v>
                </c:pt>
                <c:pt idx="35">
                  <c:v>106.3</c:v>
                </c:pt>
                <c:pt idx="36">
                  <c:v>288.3</c:v>
                </c:pt>
                <c:pt idx="37">
                  <c:v>88.1</c:v>
                </c:pt>
                <c:pt idx="38">
                  <c:v>67.8</c:v>
                </c:pt>
                <c:pt idx="39">
                  <c:v>62.4</c:v>
                </c:pt>
                <c:pt idx="40">
                  <c:v>92.1</c:v>
                </c:pt>
                <c:pt idx="41">
                  <c:v>47.5</c:v>
                </c:pt>
                <c:pt idx="42">
                  <c:v>85.9</c:v>
                </c:pt>
                <c:pt idx="43">
                  <c:v>106.7</c:v>
                </c:pt>
                <c:pt idx="44">
                  <c:v>58.7</c:v>
                </c:pt>
                <c:pt idx="45">
                  <c:v>62.3</c:v>
                </c:pt>
                <c:pt idx="46">
                  <c:v>62.2</c:v>
                </c:pt>
                <c:pt idx="47">
                  <c:v>64.099999999999994</c:v>
                </c:pt>
                <c:pt idx="48">
                  <c:v>51</c:v>
                </c:pt>
                <c:pt idx="49">
                  <c:v>193.4</c:v>
                </c:pt>
                <c:pt idx="50">
                  <c:v>75.599999999999994</c:v>
                </c:pt>
                <c:pt idx="51">
                  <c:v>80.8</c:v>
                </c:pt>
                <c:pt idx="52">
                  <c:v>69.900000000000006</c:v>
                </c:pt>
                <c:pt idx="53">
                  <c:v>68.2</c:v>
                </c:pt>
                <c:pt idx="54">
                  <c:v>39.4</c:v>
                </c:pt>
                <c:pt idx="55">
                  <c:v>45.1</c:v>
                </c:pt>
                <c:pt idx="56">
                  <c:v>44.7</c:v>
                </c:pt>
                <c:pt idx="57">
                  <c:v>59.2</c:v>
                </c:pt>
                <c:pt idx="58">
                  <c:v>25.2</c:v>
                </c:pt>
                <c:pt idx="59">
                  <c:v>36.6</c:v>
                </c:pt>
                <c:pt idx="60">
                  <c:v>65.400000000000006</c:v>
                </c:pt>
                <c:pt idx="61">
                  <c:v>94</c:v>
                </c:pt>
                <c:pt idx="62">
                  <c:v>40.599999999999994</c:v>
                </c:pt>
                <c:pt idx="63">
                  <c:v>20.099999999999998</c:v>
                </c:pt>
                <c:pt idx="64">
                  <c:v>42.7</c:v>
                </c:pt>
                <c:pt idx="65">
                  <c:v>65.900000000000006</c:v>
                </c:pt>
                <c:pt idx="66">
                  <c:v>231</c:v>
                </c:pt>
                <c:pt idx="67">
                  <c:v>131.5</c:v>
                </c:pt>
                <c:pt idx="68">
                  <c:v>65.8</c:v>
                </c:pt>
                <c:pt idx="69">
                  <c:v>48.2</c:v>
                </c:pt>
                <c:pt idx="70">
                  <c:v>55</c:v>
                </c:pt>
                <c:pt idx="71">
                  <c:v>41.900000000000006</c:v>
                </c:pt>
                <c:pt idx="72">
                  <c:v>46.3</c:v>
                </c:pt>
                <c:pt idx="73">
                  <c:v>51.6</c:v>
                </c:pt>
                <c:pt idx="74">
                  <c:v>51.2</c:v>
                </c:pt>
                <c:pt idx="75">
                  <c:v>69.599999999999994</c:v>
                </c:pt>
                <c:pt idx="76">
                  <c:v>75.5</c:v>
                </c:pt>
                <c:pt idx="77">
                  <c:v>103.4</c:v>
                </c:pt>
                <c:pt idx="78">
                  <c:v>126.1</c:v>
                </c:pt>
                <c:pt idx="79">
                  <c:v>129</c:v>
                </c:pt>
                <c:pt idx="80">
                  <c:v>63.4</c:v>
                </c:pt>
                <c:pt idx="81">
                  <c:v>53.4</c:v>
                </c:pt>
                <c:pt idx="82">
                  <c:v>44.5</c:v>
                </c:pt>
                <c:pt idx="83">
                  <c:v>75.5</c:v>
                </c:pt>
                <c:pt idx="84">
                  <c:v>75.8</c:v>
                </c:pt>
                <c:pt idx="85">
                  <c:v>81.099999999999994</c:v>
                </c:pt>
                <c:pt idx="86">
                  <c:v>192.7</c:v>
                </c:pt>
                <c:pt idx="87">
                  <c:v>91.9</c:v>
                </c:pt>
                <c:pt idx="88">
                  <c:v>73.900000000000006</c:v>
                </c:pt>
                <c:pt idx="89">
                  <c:v>109.8</c:v>
                </c:pt>
                <c:pt idx="90">
                  <c:v>75.3</c:v>
                </c:pt>
                <c:pt idx="91">
                  <c:v>79.099999999999994</c:v>
                </c:pt>
                <c:pt idx="92">
                  <c:v>97.4</c:v>
                </c:pt>
                <c:pt idx="93">
                  <c:v>196.6</c:v>
                </c:pt>
                <c:pt idx="94">
                  <c:v>146.4</c:v>
                </c:pt>
                <c:pt idx="95">
                  <c:v>136.9</c:v>
                </c:pt>
                <c:pt idx="96">
                  <c:v>97.9</c:v>
                </c:pt>
                <c:pt idx="97">
                  <c:v>87.7</c:v>
                </c:pt>
                <c:pt idx="98">
                  <c:v>79.400000000000006</c:v>
                </c:pt>
                <c:pt idx="99">
                  <c:v>86.9</c:v>
                </c:pt>
                <c:pt idx="100">
                  <c:v>54.7</c:v>
                </c:pt>
                <c:pt idx="101">
                  <c:v>48.2</c:v>
                </c:pt>
                <c:pt idx="102">
                  <c:v>56.1</c:v>
                </c:pt>
                <c:pt idx="103">
                  <c:v>48.8</c:v>
                </c:pt>
                <c:pt idx="104">
                  <c:v>82.100000000000009</c:v>
                </c:pt>
                <c:pt idx="105">
                  <c:v>72.7</c:v>
                </c:pt>
                <c:pt idx="106">
                  <c:v>86.5</c:v>
                </c:pt>
                <c:pt idx="107">
                  <c:v>203.6</c:v>
                </c:pt>
                <c:pt idx="108">
                  <c:v>17</c:v>
                </c:pt>
                <c:pt idx="109">
                  <c:v>69.900000000000006</c:v>
                </c:pt>
                <c:pt idx="110">
                  <c:v>169.6</c:v>
                </c:pt>
                <c:pt idx="111">
                  <c:v>80.099999999999994</c:v>
                </c:pt>
                <c:pt idx="112">
                  <c:v>69.900000000000006</c:v>
                </c:pt>
                <c:pt idx="113">
                  <c:v>56</c:v>
                </c:pt>
                <c:pt idx="114">
                  <c:v>58.6</c:v>
                </c:pt>
                <c:pt idx="115">
                  <c:v>37.4</c:v>
                </c:pt>
                <c:pt idx="116">
                  <c:v>70.3</c:v>
                </c:pt>
                <c:pt idx="117">
                  <c:v>46.6</c:v>
                </c:pt>
                <c:pt idx="118">
                  <c:v>55.7</c:v>
                </c:pt>
                <c:pt idx="119">
                  <c:v>46.3</c:v>
                </c:pt>
                <c:pt idx="120">
                  <c:v>68.8</c:v>
                </c:pt>
                <c:pt idx="121">
                  <c:v>62.5</c:v>
                </c:pt>
                <c:pt idx="122">
                  <c:v>75.599999999999994</c:v>
                </c:pt>
                <c:pt idx="123">
                  <c:v>105.1</c:v>
                </c:pt>
                <c:pt idx="124">
                  <c:v>86</c:v>
                </c:pt>
                <c:pt idx="125">
                  <c:v>94.9</c:v>
                </c:pt>
                <c:pt idx="126">
                  <c:v>49.4</c:v>
                </c:pt>
                <c:pt idx="127">
                  <c:v>98.3</c:v>
                </c:pt>
                <c:pt idx="128">
                  <c:v>156.6</c:v>
                </c:pt>
                <c:pt idx="129">
                  <c:v>129.9</c:v>
                </c:pt>
                <c:pt idx="130">
                  <c:v>93.3</c:v>
                </c:pt>
                <c:pt idx="131">
                  <c:v>48</c:v>
                </c:pt>
                <c:pt idx="132">
                  <c:v>89.2</c:v>
                </c:pt>
                <c:pt idx="133">
                  <c:v>61.7</c:v>
                </c:pt>
                <c:pt idx="134">
                  <c:v>128.6</c:v>
                </c:pt>
                <c:pt idx="135">
                  <c:v>80</c:v>
                </c:pt>
                <c:pt idx="136">
                  <c:v>72.8</c:v>
                </c:pt>
                <c:pt idx="137">
                  <c:v>130.69999999999999</c:v>
                </c:pt>
                <c:pt idx="138">
                  <c:v>38.1</c:v>
                </c:pt>
                <c:pt idx="139">
                  <c:v>54.7</c:v>
                </c:pt>
                <c:pt idx="140">
                  <c:v>57.9</c:v>
                </c:pt>
                <c:pt idx="141">
                  <c:v>46.2</c:v>
                </c:pt>
                <c:pt idx="142">
                  <c:v>52.2</c:v>
                </c:pt>
                <c:pt idx="143">
                  <c:v>45.5</c:v>
                </c:pt>
                <c:pt idx="144">
                  <c:v>81.7</c:v>
                </c:pt>
                <c:pt idx="145">
                  <c:v>54.4</c:v>
                </c:pt>
                <c:pt idx="146">
                  <c:v>159.9</c:v>
                </c:pt>
                <c:pt idx="147">
                  <c:v>106.9</c:v>
                </c:pt>
                <c:pt idx="148">
                  <c:v>55.4</c:v>
                </c:pt>
                <c:pt idx="149">
                  <c:v>65.7</c:v>
                </c:pt>
                <c:pt idx="150">
                  <c:v>104.1</c:v>
                </c:pt>
                <c:pt idx="151">
                  <c:v>39.9</c:v>
                </c:pt>
                <c:pt idx="152">
                  <c:v>72.5</c:v>
                </c:pt>
                <c:pt idx="153">
                  <c:v>129</c:v>
                </c:pt>
                <c:pt idx="154">
                  <c:v>103.2</c:v>
                </c:pt>
                <c:pt idx="155">
                  <c:v>99</c:v>
                </c:pt>
                <c:pt idx="156">
                  <c:v>66.3</c:v>
                </c:pt>
                <c:pt idx="157">
                  <c:v>100.5</c:v>
                </c:pt>
                <c:pt idx="158">
                  <c:v>98.9</c:v>
                </c:pt>
                <c:pt idx="159">
                  <c:v>105.7</c:v>
                </c:pt>
                <c:pt idx="160">
                  <c:v>102.1</c:v>
                </c:pt>
                <c:pt idx="161">
                  <c:v>86.1</c:v>
                </c:pt>
                <c:pt idx="162">
                  <c:v>87</c:v>
                </c:pt>
                <c:pt idx="163">
                  <c:v>68.5</c:v>
                </c:pt>
                <c:pt idx="164">
                  <c:v>57.2</c:v>
                </c:pt>
                <c:pt idx="165">
                  <c:v>70.7</c:v>
                </c:pt>
                <c:pt idx="166">
                  <c:v>64.400000000000006</c:v>
                </c:pt>
                <c:pt idx="167">
                  <c:v>108.5</c:v>
                </c:pt>
                <c:pt idx="168">
                  <c:v>141.69999999999999</c:v>
                </c:pt>
                <c:pt idx="169">
                  <c:v>80.399999999999991</c:v>
                </c:pt>
                <c:pt idx="170">
                  <c:v>84.7</c:v>
                </c:pt>
                <c:pt idx="171">
                  <c:v>36.799999999999997</c:v>
                </c:pt>
                <c:pt idx="172">
                  <c:v>51.6</c:v>
                </c:pt>
                <c:pt idx="173">
                  <c:v>73.7</c:v>
                </c:pt>
                <c:pt idx="174">
                  <c:v>62.2</c:v>
                </c:pt>
                <c:pt idx="175">
                  <c:v>76.099999999999994</c:v>
                </c:pt>
                <c:pt idx="176">
                  <c:v>91.7</c:v>
                </c:pt>
                <c:pt idx="177">
                  <c:v>113.9</c:v>
                </c:pt>
                <c:pt idx="178">
                  <c:v>53.3</c:v>
                </c:pt>
                <c:pt idx="179">
                  <c:v>45.8</c:v>
                </c:pt>
                <c:pt idx="180">
                  <c:v>45.9</c:v>
                </c:pt>
                <c:pt idx="181">
                  <c:v>32.9</c:v>
                </c:pt>
                <c:pt idx="182">
                  <c:v>44.1</c:v>
                </c:pt>
                <c:pt idx="183">
                  <c:v>52.6</c:v>
                </c:pt>
                <c:pt idx="184">
                  <c:v>86.5</c:v>
                </c:pt>
                <c:pt idx="185">
                  <c:v>41.8</c:v>
                </c:pt>
                <c:pt idx="186">
                  <c:v>62.9</c:v>
                </c:pt>
                <c:pt idx="187">
                  <c:v>89.1</c:v>
                </c:pt>
                <c:pt idx="188">
                  <c:v>65.2</c:v>
                </c:pt>
                <c:pt idx="189">
                  <c:v>78.099999999999994</c:v>
                </c:pt>
                <c:pt idx="190">
                  <c:v>80.8</c:v>
                </c:pt>
                <c:pt idx="191">
                  <c:v>79.400000000000006</c:v>
                </c:pt>
                <c:pt idx="192">
                  <c:v>92</c:v>
                </c:pt>
                <c:pt idx="193">
                  <c:v>51.5</c:v>
                </c:pt>
                <c:pt idx="194">
                  <c:v>56.3</c:v>
                </c:pt>
                <c:pt idx="195">
                  <c:v>76.2</c:v>
                </c:pt>
                <c:pt idx="196">
                  <c:v>55.9</c:v>
                </c:pt>
                <c:pt idx="197">
                  <c:v>69.7</c:v>
                </c:pt>
                <c:pt idx="198">
                  <c:v>104.8</c:v>
                </c:pt>
                <c:pt idx="199">
                  <c:v>106</c:v>
                </c:pt>
                <c:pt idx="200">
                  <c:v>85.9</c:v>
                </c:pt>
                <c:pt idx="201">
                  <c:v>29</c:v>
                </c:pt>
                <c:pt idx="202">
                  <c:v>39.6</c:v>
                </c:pt>
                <c:pt idx="203">
                  <c:v>69.5</c:v>
                </c:pt>
                <c:pt idx="204">
                  <c:v>45.5</c:v>
                </c:pt>
                <c:pt idx="205">
                  <c:v>68.5</c:v>
                </c:pt>
                <c:pt idx="206">
                  <c:v>43.7</c:v>
                </c:pt>
                <c:pt idx="207">
                  <c:v>131.5</c:v>
                </c:pt>
                <c:pt idx="208">
                  <c:v>86.1</c:v>
                </c:pt>
                <c:pt idx="209">
                  <c:v>36.200000000000003</c:v>
                </c:pt>
                <c:pt idx="210">
                  <c:v>77.8</c:v>
                </c:pt>
                <c:pt idx="211">
                  <c:v>31.7</c:v>
                </c:pt>
                <c:pt idx="212">
                  <c:v>50.4</c:v>
                </c:pt>
                <c:pt idx="213">
                  <c:v>61.6</c:v>
                </c:pt>
                <c:pt idx="214">
                  <c:v>41.6</c:v>
                </c:pt>
                <c:pt idx="215">
                  <c:v>71.400000000000006</c:v>
                </c:pt>
                <c:pt idx="216">
                  <c:v>88.6</c:v>
                </c:pt>
                <c:pt idx="217">
                  <c:v>45.8</c:v>
                </c:pt>
                <c:pt idx="218">
                  <c:v>111.5</c:v>
                </c:pt>
                <c:pt idx="219">
                  <c:v>48.7</c:v>
                </c:pt>
                <c:pt idx="220">
                  <c:v>128.5</c:v>
                </c:pt>
                <c:pt idx="221">
                  <c:v>113.7</c:v>
                </c:pt>
                <c:pt idx="222">
                  <c:v>44.8</c:v>
                </c:pt>
                <c:pt idx="223">
                  <c:v>84.2</c:v>
                </c:pt>
                <c:pt idx="224">
                  <c:v>56.9</c:v>
                </c:pt>
                <c:pt idx="225">
                  <c:v>42.7</c:v>
                </c:pt>
                <c:pt idx="226">
                  <c:v>42.8</c:v>
                </c:pt>
                <c:pt idx="227">
                  <c:v>87.3</c:v>
                </c:pt>
                <c:pt idx="228">
                  <c:v>77</c:v>
                </c:pt>
                <c:pt idx="229">
                  <c:v>80.600000000000009</c:v>
                </c:pt>
                <c:pt idx="230">
                  <c:v>58.9</c:v>
                </c:pt>
                <c:pt idx="231">
                  <c:v>83.3</c:v>
                </c:pt>
                <c:pt idx="232">
                  <c:v>71.099999999999994</c:v>
                </c:pt>
                <c:pt idx="233">
                  <c:v>111.4</c:v>
                </c:pt>
                <c:pt idx="234">
                  <c:v>94</c:v>
                </c:pt>
                <c:pt idx="235">
                  <c:v>156.5</c:v>
                </c:pt>
                <c:pt idx="236">
                  <c:v>142.6</c:v>
                </c:pt>
                <c:pt idx="237">
                  <c:v>120.2</c:v>
                </c:pt>
                <c:pt idx="238">
                  <c:v>101.8</c:v>
                </c:pt>
                <c:pt idx="239">
                  <c:v>125.7</c:v>
                </c:pt>
                <c:pt idx="240">
                  <c:v>85.5</c:v>
                </c:pt>
                <c:pt idx="241">
                  <c:v>128.1</c:v>
                </c:pt>
                <c:pt idx="242">
                  <c:v>217.2</c:v>
                </c:pt>
                <c:pt idx="243">
                  <c:v>95.9</c:v>
                </c:pt>
                <c:pt idx="244">
                  <c:v>104.6</c:v>
                </c:pt>
                <c:pt idx="245">
                  <c:v>61.9</c:v>
                </c:pt>
                <c:pt idx="246">
                  <c:v>126.8</c:v>
                </c:pt>
                <c:pt idx="247">
                  <c:v>68</c:v>
                </c:pt>
                <c:pt idx="248">
                  <c:v>94.3</c:v>
                </c:pt>
                <c:pt idx="249">
                  <c:v>66.5</c:v>
                </c:pt>
                <c:pt idx="250">
                  <c:v>98.9</c:v>
                </c:pt>
                <c:pt idx="251">
                  <c:v>88.6</c:v>
                </c:pt>
                <c:pt idx="252">
                  <c:v>100.7</c:v>
                </c:pt>
                <c:pt idx="253">
                  <c:v>71.900000000000006</c:v>
                </c:pt>
                <c:pt idx="254">
                  <c:v>73.900000000000006</c:v>
                </c:pt>
                <c:pt idx="255">
                  <c:v>63</c:v>
                </c:pt>
                <c:pt idx="256">
                  <c:v>75.3</c:v>
                </c:pt>
                <c:pt idx="257">
                  <c:v>78.2</c:v>
                </c:pt>
                <c:pt idx="258">
                  <c:v>148.69999999999999</c:v>
                </c:pt>
                <c:pt idx="259">
                  <c:v>126.7</c:v>
                </c:pt>
                <c:pt idx="260">
                  <c:v>75.599999999999994</c:v>
                </c:pt>
                <c:pt idx="261">
                  <c:v>80.2</c:v>
                </c:pt>
                <c:pt idx="262">
                  <c:v>106.1</c:v>
                </c:pt>
                <c:pt idx="263">
                  <c:v>81.8</c:v>
                </c:pt>
                <c:pt idx="264">
                  <c:v>67.599999999999994</c:v>
                </c:pt>
                <c:pt idx="265">
                  <c:v>75</c:v>
                </c:pt>
                <c:pt idx="266">
                  <c:v>121.8</c:v>
                </c:pt>
                <c:pt idx="267">
                  <c:v>57.6</c:v>
                </c:pt>
                <c:pt idx="268">
                  <c:v>50.9</c:v>
                </c:pt>
                <c:pt idx="269">
                  <c:v>75.900000000000006</c:v>
                </c:pt>
                <c:pt idx="270">
                  <c:v>33.799999999999997</c:v>
                </c:pt>
                <c:pt idx="271">
                  <c:v>22.2</c:v>
                </c:pt>
                <c:pt idx="272">
                  <c:v>46.1</c:v>
                </c:pt>
                <c:pt idx="273">
                  <c:v>43.7</c:v>
                </c:pt>
                <c:pt idx="274">
                  <c:v>44.3</c:v>
                </c:pt>
                <c:pt idx="275">
                  <c:v>52.9</c:v>
                </c:pt>
                <c:pt idx="276">
                  <c:v>52.4</c:v>
                </c:pt>
                <c:pt idx="277">
                  <c:v>56.3</c:v>
                </c:pt>
                <c:pt idx="278">
                  <c:v>44.1</c:v>
                </c:pt>
                <c:pt idx="279">
                  <c:v>38.299999999999997</c:v>
                </c:pt>
                <c:pt idx="280">
                  <c:v>41.3</c:v>
                </c:pt>
                <c:pt idx="281">
                  <c:v>47.7</c:v>
                </c:pt>
                <c:pt idx="282">
                  <c:v>50</c:v>
                </c:pt>
                <c:pt idx="283">
                  <c:v>73.3</c:v>
                </c:pt>
                <c:pt idx="284">
                  <c:v>48.2</c:v>
                </c:pt>
                <c:pt idx="285">
                  <c:v>17</c:v>
                </c:pt>
                <c:pt idx="286">
                  <c:v>58.2</c:v>
                </c:pt>
                <c:pt idx="287">
                  <c:v>73.400000000000006</c:v>
                </c:pt>
                <c:pt idx="288">
                  <c:v>51.5</c:v>
                </c:pt>
                <c:pt idx="289">
                  <c:v>70</c:v>
                </c:pt>
                <c:pt idx="290">
                  <c:v>76.5</c:v>
                </c:pt>
                <c:pt idx="291">
                  <c:v>48.9</c:v>
                </c:pt>
                <c:pt idx="292">
                  <c:v>59.1</c:v>
                </c:pt>
                <c:pt idx="293">
                  <c:v>83.699999999999989</c:v>
                </c:pt>
                <c:pt idx="294">
                  <c:v>71.7</c:v>
                </c:pt>
                <c:pt idx="295">
                  <c:v>43.3</c:v>
                </c:pt>
                <c:pt idx="296">
                  <c:v>164.1</c:v>
                </c:pt>
                <c:pt idx="297">
                  <c:v>75.3</c:v>
                </c:pt>
                <c:pt idx="298">
                  <c:v>29.9</c:v>
                </c:pt>
                <c:pt idx="299">
                  <c:v>57.9</c:v>
                </c:pt>
                <c:pt idx="300">
                  <c:v>58</c:v>
                </c:pt>
                <c:pt idx="301">
                  <c:v>80.399999999999991</c:v>
                </c:pt>
                <c:pt idx="302">
                  <c:v>68.3</c:v>
                </c:pt>
                <c:pt idx="303">
                  <c:v>54.8</c:v>
                </c:pt>
                <c:pt idx="304">
                  <c:v>42.9</c:v>
                </c:pt>
                <c:pt idx="305">
                  <c:v>71.599999999999994</c:v>
                </c:pt>
                <c:pt idx="306">
                  <c:v>62.2</c:v>
                </c:pt>
                <c:pt idx="307">
                  <c:v>70.8</c:v>
                </c:pt>
                <c:pt idx="308">
                  <c:v>18.399999999999999</c:v>
                </c:pt>
                <c:pt idx="309">
                  <c:v>36.1</c:v>
                </c:pt>
                <c:pt idx="310">
                  <c:v>77.900000000000006</c:v>
                </c:pt>
                <c:pt idx="311">
                  <c:v>39.4</c:v>
                </c:pt>
                <c:pt idx="312">
                  <c:v>36.200000000000003</c:v>
                </c:pt>
                <c:pt idx="313">
                  <c:v>23.6</c:v>
                </c:pt>
                <c:pt idx="314">
                  <c:v>27.8</c:v>
                </c:pt>
                <c:pt idx="315">
                  <c:v>110.6</c:v>
                </c:pt>
                <c:pt idx="316">
                  <c:v>53.2</c:v>
                </c:pt>
                <c:pt idx="317">
                  <c:v>30.6</c:v>
                </c:pt>
                <c:pt idx="318">
                  <c:v>58.1</c:v>
                </c:pt>
                <c:pt idx="319">
                  <c:v>31.2</c:v>
                </c:pt>
                <c:pt idx="320">
                  <c:v>53.6</c:v>
                </c:pt>
                <c:pt idx="321">
                  <c:v>64.599999999999994</c:v>
                </c:pt>
                <c:pt idx="322">
                  <c:v>50.3</c:v>
                </c:pt>
                <c:pt idx="323">
                  <c:v>61.7</c:v>
                </c:pt>
                <c:pt idx="324">
                  <c:v>42.7</c:v>
                </c:pt>
                <c:pt idx="325">
                  <c:v>35.700000000000003</c:v>
                </c:pt>
                <c:pt idx="326">
                  <c:v>90.5</c:v>
                </c:pt>
                <c:pt idx="327">
                  <c:v>47.1</c:v>
                </c:pt>
                <c:pt idx="328">
                  <c:v>47.2</c:v>
                </c:pt>
                <c:pt idx="329">
                  <c:v>28.7</c:v>
                </c:pt>
                <c:pt idx="330">
                  <c:v>52.4</c:v>
                </c:pt>
                <c:pt idx="331">
                  <c:v>84.7</c:v>
                </c:pt>
                <c:pt idx="332">
                  <c:v>44.5</c:v>
                </c:pt>
                <c:pt idx="333">
                  <c:v>68.5</c:v>
                </c:pt>
                <c:pt idx="334">
                  <c:v>127.6</c:v>
                </c:pt>
                <c:pt idx="335">
                  <c:v>63</c:v>
                </c:pt>
                <c:pt idx="336">
                  <c:v>54.4</c:v>
                </c:pt>
                <c:pt idx="337">
                  <c:v>46.7</c:v>
                </c:pt>
                <c:pt idx="338">
                  <c:v>48.4</c:v>
                </c:pt>
                <c:pt idx="339">
                  <c:v>43.1</c:v>
                </c:pt>
                <c:pt idx="340">
                  <c:v>42.6</c:v>
                </c:pt>
                <c:pt idx="341">
                  <c:v>50.1</c:v>
                </c:pt>
                <c:pt idx="342">
                  <c:v>38</c:v>
                </c:pt>
                <c:pt idx="343">
                  <c:v>42.1</c:v>
                </c:pt>
                <c:pt idx="344">
                  <c:v>45.5</c:v>
                </c:pt>
                <c:pt idx="345">
                  <c:v>104.2</c:v>
                </c:pt>
                <c:pt idx="346">
                  <c:v>31.6</c:v>
                </c:pt>
                <c:pt idx="347">
                  <c:v>73.400000000000006</c:v>
                </c:pt>
                <c:pt idx="348">
                  <c:v>3.7197</c:v>
                </c:pt>
                <c:pt idx="349">
                  <c:v>74</c:v>
                </c:pt>
                <c:pt idx="350">
                  <c:v>59.2</c:v>
                </c:pt>
                <c:pt idx="351">
                  <c:v>46.2</c:v>
                </c:pt>
                <c:pt idx="352">
                  <c:v>70.2</c:v>
                </c:pt>
                <c:pt idx="353">
                  <c:v>46.9</c:v>
                </c:pt>
                <c:pt idx="354">
                  <c:v>29.1</c:v>
                </c:pt>
                <c:pt idx="355">
                  <c:v>43.1</c:v>
                </c:pt>
                <c:pt idx="356">
                  <c:v>41.3</c:v>
                </c:pt>
                <c:pt idx="357">
                  <c:v>46.5</c:v>
                </c:pt>
                <c:pt idx="358">
                  <c:v>105.3</c:v>
                </c:pt>
                <c:pt idx="359">
                  <c:v>81.599999999999994</c:v>
                </c:pt>
                <c:pt idx="360">
                  <c:v>31.1</c:v>
                </c:pt>
                <c:pt idx="361">
                  <c:v>53.5</c:v>
                </c:pt>
                <c:pt idx="362">
                  <c:v>37.5</c:v>
                </c:pt>
                <c:pt idx="363">
                  <c:v>47.1</c:v>
                </c:pt>
                <c:pt idx="364">
                  <c:v>47.8</c:v>
                </c:pt>
                <c:pt idx="365">
                  <c:v>48.6</c:v>
                </c:pt>
                <c:pt idx="366">
                  <c:v>56.4</c:v>
                </c:pt>
                <c:pt idx="367">
                  <c:v>61.1</c:v>
                </c:pt>
                <c:pt idx="368">
                  <c:v>100</c:v>
                </c:pt>
                <c:pt idx="369">
                  <c:v>75</c:v>
                </c:pt>
                <c:pt idx="370">
                  <c:v>40.300000000000004</c:v>
                </c:pt>
                <c:pt idx="371">
                  <c:v>69.900000000000006</c:v>
                </c:pt>
                <c:pt idx="372">
                  <c:v>149.1</c:v>
                </c:pt>
                <c:pt idx="373">
                  <c:v>89.5</c:v>
                </c:pt>
                <c:pt idx="374">
                  <c:v>42.7</c:v>
                </c:pt>
                <c:pt idx="375">
                  <c:v>72.8</c:v>
                </c:pt>
                <c:pt idx="376">
                  <c:v>36.4</c:v>
                </c:pt>
                <c:pt idx="377">
                  <c:v>152.4</c:v>
                </c:pt>
                <c:pt idx="378">
                  <c:v>79.8</c:v>
                </c:pt>
                <c:pt idx="379">
                  <c:v>63.9</c:v>
                </c:pt>
                <c:pt idx="380">
                  <c:v>27.9</c:v>
                </c:pt>
                <c:pt idx="381">
                  <c:v>15.7</c:v>
                </c:pt>
                <c:pt idx="382">
                  <c:v>38.4</c:v>
                </c:pt>
                <c:pt idx="383">
                  <c:v>85.6</c:v>
                </c:pt>
                <c:pt idx="384">
                  <c:v>53.1</c:v>
                </c:pt>
                <c:pt idx="385">
                  <c:v>69.099999999999994</c:v>
                </c:pt>
                <c:pt idx="386">
                  <c:v>47.7</c:v>
                </c:pt>
                <c:pt idx="387">
                  <c:v>58.5</c:v>
                </c:pt>
                <c:pt idx="388">
                  <c:v>40.799999999999997</c:v>
                </c:pt>
                <c:pt idx="389">
                  <c:v>47.8</c:v>
                </c:pt>
                <c:pt idx="390">
                  <c:v>46.9</c:v>
                </c:pt>
                <c:pt idx="391">
                  <c:v>55.7</c:v>
                </c:pt>
                <c:pt idx="392">
                  <c:v>134.69999999999999</c:v>
                </c:pt>
                <c:pt idx="393">
                  <c:v>72.3</c:v>
                </c:pt>
                <c:pt idx="394">
                  <c:v>65.099999999999994</c:v>
                </c:pt>
                <c:pt idx="395">
                  <c:v>38.299999999999997</c:v>
                </c:pt>
                <c:pt idx="396">
                  <c:v>37.299999999999997</c:v>
                </c:pt>
                <c:pt idx="397">
                  <c:v>50.2</c:v>
                </c:pt>
                <c:pt idx="398">
                  <c:v>43</c:v>
                </c:pt>
                <c:pt idx="399">
                  <c:v>19.7</c:v>
                </c:pt>
                <c:pt idx="400">
                  <c:v>38.700000000000003</c:v>
                </c:pt>
                <c:pt idx="401">
                  <c:v>25.9</c:v>
                </c:pt>
                <c:pt idx="402">
                  <c:v>73.400000000000006</c:v>
                </c:pt>
                <c:pt idx="403">
                  <c:v>74.5</c:v>
                </c:pt>
                <c:pt idx="404">
                  <c:v>41.8</c:v>
                </c:pt>
                <c:pt idx="405">
                  <c:v>43.2</c:v>
                </c:pt>
                <c:pt idx="406">
                  <c:v>42.6</c:v>
                </c:pt>
                <c:pt idx="407">
                  <c:v>62.3</c:v>
                </c:pt>
                <c:pt idx="408">
                  <c:v>50.9</c:v>
                </c:pt>
                <c:pt idx="409">
                  <c:v>76.900000000000006</c:v>
                </c:pt>
                <c:pt idx="410">
                  <c:v>107.4</c:v>
                </c:pt>
                <c:pt idx="411">
                  <c:v>74</c:v>
                </c:pt>
                <c:pt idx="412">
                  <c:v>74.8</c:v>
                </c:pt>
                <c:pt idx="413">
                  <c:v>50</c:v>
                </c:pt>
                <c:pt idx="414">
                  <c:v>27.2</c:v>
                </c:pt>
                <c:pt idx="415">
                  <c:v>46.4</c:v>
                </c:pt>
                <c:pt idx="416">
                  <c:v>113.7</c:v>
                </c:pt>
                <c:pt idx="417">
                  <c:v>58.2</c:v>
                </c:pt>
                <c:pt idx="418">
                  <c:v>60</c:v>
                </c:pt>
                <c:pt idx="419">
                  <c:v>71.099999999999994</c:v>
                </c:pt>
                <c:pt idx="420">
                  <c:v>84.6</c:v>
                </c:pt>
                <c:pt idx="421">
                  <c:v>298.2</c:v>
                </c:pt>
                <c:pt idx="422">
                  <c:v>112.5</c:v>
                </c:pt>
                <c:pt idx="423">
                  <c:v>68.900000000000006</c:v>
                </c:pt>
                <c:pt idx="424">
                  <c:v>69.400000000000006</c:v>
                </c:pt>
                <c:pt idx="425">
                  <c:v>170.8</c:v>
                </c:pt>
                <c:pt idx="426">
                  <c:v>88.6</c:v>
                </c:pt>
                <c:pt idx="427">
                  <c:v>98.5</c:v>
                </c:pt>
                <c:pt idx="428">
                  <c:v>51.9</c:v>
                </c:pt>
                <c:pt idx="429">
                  <c:v>58.8</c:v>
                </c:pt>
                <c:pt idx="430">
                  <c:v>70.7</c:v>
                </c:pt>
                <c:pt idx="431">
                  <c:v>80.099999999999994</c:v>
                </c:pt>
                <c:pt idx="432">
                  <c:v>72.7</c:v>
                </c:pt>
                <c:pt idx="433">
                  <c:v>104.9</c:v>
                </c:pt>
                <c:pt idx="434">
                  <c:v>68</c:v>
                </c:pt>
                <c:pt idx="435">
                  <c:v>81.999999999999986</c:v>
                </c:pt>
                <c:pt idx="436">
                  <c:v>147.6</c:v>
                </c:pt>
                <c:pt idx="437">
                  <c:v>48.5</c:v>
                </c:pt>
                <c:pt idx="438">
                  <c:v>45.5</c:v>
                </c:pt>
                <c:pt idx="439">
                  <c:v>55.6</c:v>
                </c:pt>
                <c:pt idx="440">
                  <c:v>173</c:v>
                </c:pt>
                <c:pt idx="441">
                  <c:v>79.3</c:v>
                </c:pt>
                <c:pt idx="442">
                  <c:v>54.9</c:v>
                </c:pt>
                <c:pt idx="443">
                  <c:v>54.2</c:v>
                </c:pt>
                <c:pt idx="444">
                  <c:v>42.4</c:v>
                </c:pt>
                <c:pt idx="445">
                  <c:v>73.099999999999994</c:v>
                </c:pt>
                <c:pt idx="446">
                  <c:v>95.6</c:v>
                </c:pt>
                <c:pt idx="447">
                  <c:v>48.5</c:v>
                </c:pt>
                <c:pt idx="448">
                  <c:v>68.099999999999994</c:v>
                </c:pt>
                <c:pt idx="449">
                  <c:v>240.8</c:v>
                </c:pt>
                <c:pt idx="450">
                  <c:v>126.6</c:v>
                </c:pt>
                <c:pt idx="451">
                  <c:v>92.3</c:v>
                </c:pt>
                <c:pt idx="452">
                  <c:v>137.4</c:v>
                </c:pt>
                <c:pt idx="453">
                  <c:v>105.9</c:v>
                </c:pt>
                <c:pt idx="454">
                  <c:v>371.1</c:v>
                </c:pt>
                <c:pt idx="455">
                  <c:v>96.6</c:v>
                </c:pt>
                <c:pt idx="456">
                  <c:v>74</c:v>
                </c:pt>
                <c:pt idx="457">
                  <c:v>61.9</c:v>
                </c:pt>
                <c:pt idx="458">
                  <c:v>58.2</c:v>
                </c:pt>
                <c:pt idx="459">
                  <c:v>52.8</c:v>
                </c:pt>
                <c:pt idx="460">
                  <c:v>86.4</c:v>
                </c:pt>
                <c:pt idx="461">
                  <c:v>71.7</c:v>
                </c:pt>
                <c:pt idx="462">
                  <c:v>67.5</c:v>
                </c:pt>
                <c:pt idx="463">
                  <c:v>3.1827999999999999</c:v>
                </c:pt>
                <c:pt idx="464">
                  <c:v>75.400000000000006</c:v>
                </c:pt>
                <c:pt idx="465">
                  <c:v>92.5</c:v>
                </c:pt>
                <c:pt idx="466">
                  <c:v>43.3</c:v>
                </c:pt>
                <c:pt idx="467">
                  <c:v>34.6</c:v>
                </c:pt>
                <c:pt idx="468">
                  <c:v>37.4</c:v>
                </c:pt>
                <c:pt idx="469">
                  <c:v>87.8</c:v>
                </c:pt>
                <c:pt idx="470">
                  <c:v>60.9</c:v>
                </c:pt>
                <c:pt idx="471">
                  <c:v>62.3</c:v>
                </c:pt>
                <c:pt idx="472">
                  <c:v>60.8</c:v>
                </c:pt>
                <c:pt idx="473">
                  <c:v>64.5</c:v>
                </c:pt>
                <c:pt idx="474">
                  <c:v>88.4</c:v>
                </c:pt>
                <c:pt idx="475">
                  <c:v>100.8</c:v>
                </c:pt>
                <c:pt idx="476">
                  <c:v>69.400000000000006</c:v>
                </c:pt>
                <c:pt idx="477">
                  <c:v>50.6</c:v>
                </c:pt>
                <c:pt idx="478">
                  <c:v>80.600000000000009</c:v>
                </c:pt>
                <c:pt idx="479">
                  <c:v>90.9</c:v>
                </c:pt>
                <c:pt idx="480">
                  <c:v>42.7</c:v>
                </c:pt>
                <c:pt idx="481">
                  <c:v>48.6</c:v>
                </c:pt>
                <c:pt idx="482">
                  <c:v>58.6</c:v>
                </c:pt>
                <c:pt idx="483">
                  <c:v>206</c:v>
                </c:pt>
                <c:pt idx="484">
                  <c:v>221.1</c:v>
                </c:pt>
                <c:pt idx="485">
                  <c:v>161.70000000000002</c:v>
                </c:pt>
                <c:pt idx="486">
                  <c:v>85.3</c:v>
                </c:pt>
                <c:pt idx="487">
                  <c:v>122.8</c:v>
                </c:pt>
                <c:pt idx="488">
                  <c:v>67.400000000000006</c:v>
                </c:pt>
                <c:pt idx="489">
                  <c:v>94.2</c:v>
                </c:pt>
                <c:pt idx="490">
                  <c:v>66.099999999999994</c:v>
                </c:pt>
                <c:pt idx="491">
                  <c:v>50.7</c:v>
                </c:pt>
                <c:pt idx="492">
                  <c:v>111.9</c:v>
                </c:pt>
                <c:pt idx="493">
                  <c:v>87.4</c:v>
                </c:pt>
                <c:pt idx="494">
                  <c:v>72.8</c:v>
                </c:pt>
                <c:pt idx="495">
                  <c:v>65.8</c:v>
                </c:pt>
                <c:pt idx="496">
                  <c:v>125</c:v>
                </c:pt>
                <c:pt idx="497">
                  <c:v>68.599999999999994</c:v>
                </c:pt>
                <c:pt idx="498">
                  <c:v>83.5</c:v>
                </c:pt>
                <c:pt idx="499">
                  <c:v>146.69999999999999</c:v>
                </c:pt>
                <c:pt idx="500">
                  <c:v>110.6</c:v>
                </c:pt>
                <c:pt idx="501">
                  <c:v>47.6</c:v>
                </c:pt>
                <c:pt idx="502">
                  <c:v>68.7</c:v>
                </c:pt>
                <c:pt idx="503">
                  <c:v>49.6</c:v>
                </c:pt>
                <c:pt idx="504">
                  <c:v>118.1</c:v>
                </c:pt>
                <c:pt idx="505">
                  <c:v>88</c:v>
                </c:pt>
                <c:pt idx="506">
                  <c:v>56.9</c:v>
                </c:pt>
                <c:pt idx="507">
                  <c:v>46.1</c:v>
                </c:pt>
                <c:pt idx="508">
                  <c:v>67.5</c:v>
                </c:pt>
                <c:pt idx="509">
                  <c:v>63.5</c:v>
                </c:pt>
                <c:pt idx="510">
                  <c:v>64.2</c:v>
                </c:pt>
                <c:pt idx="511">
                  <c:v>46</c:v>
                </c:pt>
                <c:pt idx="512">
                  <c:v>44.5</c:v>
                </c:pt>
                <c:pt idx="513">
                  <c:v>2.9215</c:v>
                </c:pt>
                <c:pt idx="514">
                  <c:v>63.9</c:v>
                </c:pt>
                <c:pt idx="515">
                  <c:v>78.099999999999994</c:v>
                </c:pt>
                <c:pt idx="516">
                  <c:v>31.9</c:v>
                </c:pt>
                <c:pt idx="517">
                  <c:v>51.6</c:v>
                </c:pt>
                <c:pt idx="518">
                  <c:v>27.8</c:v>
                </c:pt>
                <c:pt idx="519">
                  <c:v>53.7</c:v>
                </c:pt>
                <c:pt idx="520">
                  <c:v>58.4</c:v>
                </c:pt>
                <c:pt idx="521">
                  <c:v>43</c:v>
                </c:pt>
                <c:pt idx="522">
                  <c:v>37.1</c:v>
                </c:pt>
                <c:pt idx="523">
                  <c:v>36.9</c:v>
                </c:pt>
                <c:pt idx="524">
                  <c:v>48.8</c:v>
                </c:pt>
                <c:pt idx="525">
                  <c:v>48.3</c:v>
                </c:pt>
                <c:pt idx="526">
                  <c:v>37.700000000000003</c:v>
                </c:pt>
                <c:pt idx="527">
                  <c:v>27</c:v>
                </c:pt>
                <c:pt idx="528">
                  <c:v>35.6</c:v>
                </c:pt>
                <c:pt idx="529">
                  <c:v>46</c:v>
                </c:pt>
                <c:pt idx="530">
                  <c:v>59.2</c:v>
                </c:pt>
                <c:pt idx="531">
                  <c:v>46.1</c:v>
                </c:pt>
                <c:pt idx="532">
                  <c:v>76.900000000000006</c:v>
                </c:pt>
                <c:pt idx="533">
                  <c:v>36.299999999999997</c:v>
                </c:pt>
                <c:pt idx="534">
                  <c:v>78.599999999999994</c:v>
                </c:pt>
                <c:pt idx="535">
                  <c:v>57.6</c:v>
                </c:pt>
                <c:pt idx="536">
                  <c:v>67.599999999999994</c:v>
                </c:pt>
                <c:pt idx="537">
                  <c:v>50</c:v>
                </c:pt>
                <c:pt idx="538">
                  <c:v>42.5</c:v>
                </c:pt>
                <c:pt idx="539">
                  <c:v>88.7</c:v>
                </c:pt>
                <c:pt idx="540">
                  <c:v>90</c:v>
                </c:pt>
                <c:pt idx="541">
                  <c:v>94</c:v>
                </c:pt>
                <c:pt idx="542">
                  <c:v>11.6</c:v>
                </c:pt>
                <c:pt idx="543">
                  <c:v>45.2</c:v>
                </c:pt>
                <c:pt idx="544">
                  <c:v>63.8</c:v>
                </c:pt>
                <c:pt idx="545">
                  <c:v>92.1</c:v>
                </c:pt>
                <c:pt idx="546">
                  <c:v>65</c:v>
                </c:pt>
                <c:pt idx="547">
                  <c:v>132.30000000000001</c:v>
                </c:pt>
                <c:pt idx="548">
                  <c:v>267.5</c:v>
                </c:pt>
                <c:pt idx="549">
                  <c:v>113</c:v>
                </c:pt>
                <c:pt idx="550">
                  <c:v>40.999999999999993</c:v>
                </c:pt>
                <c:pt idx="551">
                  <c:v>44.1</c:v>
                </c:pt>
                <c:pt idx="552">
                  <c:v>44.4</c:v>
                </c:pt>
                <c:pt idx="553">
                  <c:v>89</c:v>
                </c:pt>
                <c:pt idx="554">
                  <c:v>70.599999999999994</c:v>
                </c:pt>
                <c:pt idx="555">
                  <c:v>75.5</c:v>
                </c:pt>
                <c:pt idx="556">
                  <c:v>54</c:v>
                </c:pt>
                <c:pt idx="557">
                  <c:v>28.1</c:v>
                </c:pt>
                <c:pt idx="558">
                  <c:v>43.9</c:v>
                </c:pt>
                <c:pt idx="559">
                  <c:v>57</c:v>
                </c:pt>
                <c:pt idx="560">
                  <c:v>42.3</c:v>
                </c:pt>
                <c:pt idx="561">
                  <c:v>68.8</c:v>
                </c:pt>
                <c:pt idx="562">
                  <c:v>67.400000000000006</c:v>
                </c:pt>
                <c:pt idx="563">
                  <c:v>53.2</c:v>
                </c:pt>
                <c:pt idx="564">
                  <c:v>65.900000000000006</c:v>
                </c:pt>
                <c:pt idx="565">
                  <c:v>42.2</c:v>
                </c:pt>
                <c:pt idx="566">
                  <c:v>64.7</c:v>
                </c:pt>
                <c:pt idx="567">
                  <c:v>184</c:v>
                </c:pt>
                <c:pt idx="568">
                  <c:v>124.9</c:v>
                </c:pt>
                <c:pt idx="569">
                  <c:v>85.5</c:v>
                </c:pt>
                <c:pt idx="570">
                  <c:v>61</c:v>
                </c:pt>
                <c:pt idx="571">
                  <c:v>38.6</c:v>
                </c:pt>
                <c:pt idx="572">
                  <c:v>63.2</c:v>
                </c:pt>
                <c:pt idx="573">
                  <c:v>44.2</c:v>
                </c:pt>
                <c:pt idx="574">
                  <c:v>52.7</c:v>
                </c:pt>
                <c:pt idx="575">
                  <c:v>51.2</c:v>
                </c:pt>
                <c:pt idx="576">
                  <c:v>55.1</c:v>
                </c:pt>
                <c:pt idx="577">
                  <c:v>34.9</c:v>
                </c:pt>
                <c:pt idx="578">
                  <c:v>101.2</c:v>
                </c:pt>
                <c:pt idx="579">
                  <c:v>38.799999999999997</c:v>
                </c:pt>
                <c:pt idx="580">
                  <c:v>37.6</c:v>
                </c:pt>
                <c:pt idx="581">
                  <c:v>29.7</c:v>
                </c:pt>
                <c:pt idx="582">
                  <c:v>31.9</c:v>
                </c:pt>
                <c:pt idx="583">
                  <c:v>31.1</c:v>
                </c:pt>
                <c:pt idx="584">
                  <c:v>37.9</c:v>
                </c:pt>
                <c:pt idx="585">
                  <c:v>35.799999999999997</c:v>
                </c:pt>
                <c:pt idx="586">
                  <c:v>49</c:v>
                </c:pt>
                <c:pt idx="587">
                  <c:v>66.7</c:v>
                </c:pt>
                <c:pt idx="588">
                  <c:v>85.5</c:v>
                </c:pt>
                <c:pt idx="589">
                  <c:v>34.6</c:v>
                </c:pt>
                <c:pt idx="590">
                  <c:v>5.7224000000000004</c:v>
                </c:pt>
                <c:pt idx="591">
                  <c:v>29.4</c:v>
                </c:pt>
                <c:pt idx="592">
                  <c:v>55</c:v>
                </c:pt>
                <c:pt idx="593">
                  <c:v>35.5</c:v>
                </c:pt>
                <c:pt idx="594">
                  <c:v>22.7</c:v>
                </c:pt>
                <c:pt idx="595">
                  <c:v>27.4</c:v>
                </c:pt>
                <c:pt idx="596">
                  <c:v>33.5</c:v>
                </c:pt>
                <c:pt idx="597">
                  <c:v>37.6</c:v>
                </c:pt>
                <c:pt idx="598">
                  <c:v>30.9</c:v>
                </c:pt>
                <c:pt idx="599">
                  <c:v>34.5</c:v>
                </c:pt>
                <c:pt idx="600">
                  <c:v>26.7</c:v>
                </c:pt>
                <c:pt idx="601">
                  <c:v>46.3</c:v>
                </c:pt>
                <c:pt idx="602">
                  <c:v>63.6</c:v>
                </c:pt>
                <c:pt idx="603">
                  <c:v>69.400000000000006</c:v>
                </c:pt>
                <c:pt idx="604">
                  <c:v>26.4</c:v>
                </c:pt>
                <c:pt idx="605">
                  <c:v>39.299999999999997</c:v>
                </c:pt>
                <c:pt idx="606">
                  <c:v>68</c:v>
                </c:pt>
                <c:pt idx="607">
                  <c:v>42.6</c:v>
                </c:pt>
                <c:pt idx="608">
                  <c:v>39.200000000000003</c:v>
                </c:pt>
                <c:pt idx="609">
                  <c:v>48.5</c:v>
                </c:pt>
                <c:pt idx="610">
                  <c:v>179.7</c:v>
                </c:pt>
                <c:pt idx="611">
                  <c:v>110.8</c:v>
                </c:pt>
                <c:pt idx="612">
                  <c:v>72.2</c:v>
                </c:pt>
                <c:pt idx="613">
                  <c:v>56.9</c:v>
                </c:pt>
                <c:pt idx="614">
                  <c:v>35.700000000000003</c:v>
                </c:pt>
                <c:pt idx="615">
                  <c:v>36</c:v>
                </c:pt>
                <c:pt idx="616">
                  <c:v>73.8</c:v>
                </c:pt>
                <c:pt idx="617">
                  <c:v>45.1</c:v>
                </c:pt>
                <c:pt idx="618">
                  <c:v>41.8</c:v>
                </c:pt>
                <c:pt idx="619">
                  <c:v>60.7</c:v>
                </c:pt>
                <c:pt idx="620">
                  <c:v>58.1</c:v>
                </c:pt>
                <c:pt idx="621">
                  <c:v>38.6</c:v>
                </c:pt>
                <c:pt idx="622">
                  <c:v>40</c:v>
                </c:pt>
                <c:pt idx="623">
                  <c:v>42.2</c:v>
                </c:pt>
                <c:pt idx="624">
                  <c:v>54.6</c:v>
                </c:pt>
                <c:pt idx="625">
                  <c:v>67.8</c:v>
                </c:pt>
                <c:pt idx="626">
                  <c:v>41.7</c:v>
                </c:pt>
                <c:pt idx="627">
                  <c:v>39.9</c:v>
                </c:pt>
                <c:pt idx="628">
                  <c:v>86.6</c:v>
                </c:pt>
                <c:pt idx="629">
                  <c:v>64.400000000000006</c:v>
                </c:pt>
                <c:pt idx="630">
                  <c:v>48</c:v>
                </c:pt>
                <c:pt idx="631">
                  <c:v>67.900000000000006</c:v>
                </c:pt>
                <c:pt idx="632">
                  <c:v>41.8</c:v>
                </c:pt>
                <c:pt idx="633">
                  <c:v>31.3</c:v>
                </c:pt>
                <c:pt idx="634">
                  <c:v>44.1</c:v>
                </c:pt>
                <c:pt idx="635">
                  <c:v>50.8</c:v>
                </c:pt>
                <c:pt idx="636">
                  <c:v>55</c:v>
                </c:pt>
                <c:pt idx="637">
                  <c:v>46.1</c:v>
                </c:pt>
                <c:pt idx="638">
                  <c:v>35.799999999999997</c:v>
                </c:pt>
                <c:pt idx="639">
                  <c:v>97.9</c:v>
                </c:pt>
                <c:pt idx="640">
                  <c:v>30.7</c:v>
                </c:pt>
                <c:pt idx="641">
                  <c:v>30.7</c:v>
                </c:pt>
                <c:pt idx="642">
                  <c:v>31.3</c:v>
                </c:pt>
                <c:pt idx="643">
                  <c:v>43.1</c:v>
                </c:pt>
                <c:pt idx="644">
                  <c:v>51.7</c:v>
                </c:pt>
                <c:pt idx="645">
                  <c:v>25.6</c:v>
                </c:pt>
                <c:pt idx="646">
                  <c:v>28.9</c:v>
                </c:pt>
                <c:pt idx="647">
                  <c:v>30.3</c:v>
                </c:pt>
                <c:pt idx="648">
                  <c:v>51.3</c:v>
                </c:pt>
                <c:pt idx="649">
                  <c:v>56.2</c:v>
                </c:pt>
                <c:pt idx="650">
                  <c:v>77.400000000000006</c:v>
                </c:pt>
                <c:pt idx="651">
                  <c:v>43</c:v>
                </c:pt>
                <c:pt idx="652">
                  <c:v>57.8</c:v>
                </c:pt>
                <c:pt idx="653">
                  <c:v>38.700000000000003</c:v>
                </c:pt>
                <c:pt idx="654">
                  <c:v>40.9</c:v>
                </c:pt>
                <c:pt idx="655">
                  <c:v>41.6</c:v>
                </c:pt>
                <c:pt idx="656">
                  <c:v>37.299999999999997</c:v>
                </c:pt>
                <c:pt idx="657">
                  <c:v>57.1</c:v>
                </c:pt>
                <c:pt idx="658">
                  <c:v>65</c:v>
                </c:pt>
                <c:pt idx="659">
                  <c:v>74.2</c:v>
                </c:pt>
                <c:pt idx="660">
                  <c:v>60.6</c:v>
                </c:pt>
                <c:pt idx="661">
                  <c:v>79</c:v>
                </c:pt>
                <c:pt idx="662">
                  <c:v>61.2</c:v>
                </c:pt>
                <c:pt idx="663">
                  <c:v>91.9</c:v>
                </c:pt>
                <c:pt idx="664">
                  <c:v>55.3</c:v>
                </c:pt>
                <c:pt idx="665">
                  <c:v>68</c:v>
                </c:pt>
                <c:pt idx="666">
                  <c:v>88.6</c:v>
                </c:pt>
                <c:pt idx="667">
                  <c:v>455.5</c:v>
                </c:pt>
                <c:pt idx="668">
                  <c:v>83.5</c:v>
                </c:pt>
                <c:pt idx="669">
                  <c:v>136.9</c:v>
                </c:pt>
                <c:pt idx="670">
                  <c:v>167.39999999999998</c:v>
                </c:pt>
                <c:pt idx="671">
                  <c:v>115.7</c:v>
                </c:pt>
                <c:pt idx="672">
                  <c:v>128.30000000000001</c:v>
                </c:pt>
                <c:pt idx="673">
                  <c:v>99.8</c:v>
                </c:pt>
                <c:pt idx="674">
                  <c:v>81</c:v>
                </c:pt>
                <c:pt idx="675">
                  <c:v>61.3</c:v>
                </c:pt>
                <c:pt idx="676">
                  <c:v>39.4</c:v>
                </c:pt>
                <c:pt idx="677">
                  <c:v>63</c:v>
                </c:pt>
                <c:pt idx="678">
                  <c:v>59.6</c:v>
                </c:pt>
                <c:pt idx="679">
                  <c:v>54.1</c:v>
                </c:pt>
                <c:pt idx="680">
                  <c:v>58</c:v>
                </c:pt>
                <c:pt idx="681">
                  <c:v>77.3</c:v>
                </c:pt>
                <c:pt idx="682">
                  <c:v>128.19999999999999</c:v>
                </c:pt>
                <c:pt idx="683">
                  <c:v>56.6</c:v>
                </c:pt>
                <c:pt idx="684">
                  <c:v>32.4</c:v>
                </c:pt>
                <c:pt idx="685">
                  <c:v>34</c:v>
                </c:pt>
                <c:pt idx="686">
                  <c:v>72.400000000000006</c:v>
                </c:pt>
                <c:pt idx="687">
                  <c:v>66.8</c:v>
                </c:pt>
                <c:pt idx="688">
                  <c:v>40.4</c:v>
                </c:pt>
                <c:pt idx="689">
                  <c:v>40.1</c:v>
                </c:pt>
                <c:pt idx="690">
                  <c:v>44.5</c:v>
                </c:pt>
                <c:pt idx="691">
                  <c:v>85.4</c:v>
                </c:pt>
                <c:pt idx="692">
                  <c:v>61.6</c:v>
                </c:pt>
                <c:pt idx="693">
                  <c:v>34.6</c:v>
                </c:pt>
                <c:pt idx="694">
                  <c:v>48.5</c:v>
                </c:pt>
                <c:pt idx="695">
                  <c:v>47.9</c:v>
                </c:pt>
                <c:pt idx="696">
                  <c:v>53.4</c:v>
                </c:pt>
                <c:pt idx="697">
                  <c:v>50.3</c:v>
                </c:pt>
                <c:pt idx="698">
                  <c:v>54</c:v>
                </c:pt>
                <c:pt idx="699">
                  <c:v>100.1</c:v>
                </c:pt>
                <c:pt idx="700">
                  <c:v>50</c:v>
                </c:pt>
                <c:pt idx="701">
                  <c:v>109.1</c:v>
                </c:pt>
                <c:pt idx="702">
                  <c:v>42.8</c:v>
                </c:pt>
                <c:pt idx="703">
                  <c:v>178</c:v>
                </c:pt>
                <c:pt idx="704">
                  <c:v>62.7</c:v>
                </c:pt>
                <c:pt idx="705">
                  <c:v>44.2</c:v>
                </c:pt>
                <c:pt idx="706">
                  <c:v>55.2</c:v>
                </c:pt>
                <c:pt idx="707">
                  <c:v>43.3</c:v>
                </c:pt>
                <c:pt idx="708">
                  <c:v>48.2</c:v>
                </c:pt>
                <c:pt idx="709">
                  <c:v>74.400000000000006</c:v>
                </c:pt>
                <c:pt idx="710">
                  <c:v>76.3</c:v>
                </c:pt>
                <c:pt idx="711">
                  <c:v>110.9</c:v>
                </c:pt>
                <c:pt idx="712">
                  <c:v>69.5</c:v>
                </c:pt>
                <c:pt idx="713">
                  <c:v>104.7</c:v>
                </c:pt>
                <c:pt idx="714">
                  <c:v>52.4</c:v>
                </c:pt>
                <c:pt idx="715">
                  <c:v>55.3</c:v>
                </c:pt>
                <c:pt idx="716">
                  <c:v>82.899999999999991</c:v>
                </c:pt>
                <c:pt idx="717">
                  <c:v>68.900000000000006</c:v>
                </c:pt>
                <c:pt idx="718">
                  <c:v>65.2</c:v>
                </c:pt>
                <c:pt idx="719">
                  <c:v>49.7</c:v>
                </c:pt>
                <c:pt idx="720">
                  <c:v>52.6</c:v>
                </c:pt>
                <c:pt idx="721">
                  <c:v>53.7</c:v>
                </c:pt>
                <c:pt idx="722">
                  <c:v>45.1</c:v>
                </c:pt>
                <c:pt idx="723">
                  <c:v>55.5</c:v>
                </c:pt>
                <c:pt idx="724">
                  <c:v>88.9</c:v>
                </c:pt>
                <c:pt idx="725">
                  <c:v>101.2</c:v>
                </c:pt>
                <c:pt idx="726">
                  <c:v>80.2</c:v>
                </c:pt>
                <c:pt idx="727">
                  <c:v>56.8</c:v>
                </c:pt>
                <c:pt idx="728">
                  <c:v>68.099999999999994</c:v>
                </c:pt>
                <c:pt idx="729">
                  <c:v>83.100000000000009</c:v>
                </c:pt>
                <c:pt idx="730">
                  <c:v>86.9</c:v>
                </c:pt>
                <c:pt idx="731">
                  <c:v>86.2</c:v>
                </c:pt>
                <c:pt idx="732">
                  <c:v>113.1</c:v>
                </c:pt>
                <c:pt idx="733">
                  <c:v>124.3</c:v>
                </c:pt>
                <c:pt idx="734">
                  <c:v>531.70000000000005</c:v>
                </c:pt>
                <c:pt idx="735">
                  <c:v>112.7</c:v>
                </c:pt>
                <c:pt idx="736">
                  <c:v>58.3</c:v>
                </c:pt>
                <c:pt idx="737">
                  <c:v>69.400000000000006</c:v>
                </c:pt>
                <c:pt idx="738">
                  <c:v>49.9</c:v>
                </c:pt>
                <c:pt idx="739">
                  <c:v>69.5</c:v>
                </c:pt>
                <c:pt idx="740">
                  <c:v>75.099999999999994</c:v>
                </c:pt>
                <c:pt idx="741">
                  <c:v>52.4</c:v>
                </c:pt>
                <c:pt idx="742">
                  <c:v>87.1</c:v>
                </c:pt>
                <c:pt idx="743">
                  <c:v>88.1</c:v>
                </c:pt>
                <c:pt idx="744">
                  <c:v>66.3</c:v>
                </c:pt>
                <c:pt idx="745">
                  <c:v>41.7</c:v>
                </c:pt>
                <c:pt idx="746">
                  <c:v>75.599999999999994</c:v>
                </c:pt>
                <c:pt idx="747">
                  <c:v>76.099999999999994</c:v>
                </c:pt>
                <c:pt idx="748">
                  <c:v>83.6</c:v>
                </c:pt>
                <c:pt idx="749">
                  <c:v>85.4</c:v>
                </c:pt>
                <c:pt idx="750">
                  <c:v>82.2</c:v>
                </c:pt>
                <c:pt idx="751">
                  <c:v>90.9</c:v>
                </c:pt>
                <c:pt idx="752">
                  <c:v>73.2</c:v>
                </c:pt>
                <c:pt idx="753">
                  <c:v>75.599999999999994</c:v>
                </c:pt>
                <c:pt idx="754">
                  <c:v>74</c:v>
                </c:pt>
                <c:pt idx="755">
                  <c:v>88</c:v>
                </c:pt>
                <c:pt idx="756">
                  <c:v>37</c:v>
                </c:pt>
                <c:pt idx="757">
                  <c:v>51</c:v>
                </c:pt>
                <c:pt idx="758">
                  <c:v>41.4</c:v>
                </c:pt>
                <c:pt idx="759">
                  <c:v>65.599999999999994</c:v>
                </c:pt>
                <c:pt idx="760">
                  <c:v>46.2</c:v>
                </c:pt>
                <c:pt idx="761">
                  <c:v>46.4</c:v>
                </c:pt>
                <c:pt idx="762">
                  <c:v>51.3</c:v>
                </c:pt>
                <c:pt idx="763">
                  <c:v>96.8</c:v>
                </c:pt>
                <c:pt idx="764">
                  <c:v>49.2</c:v>
                </c:pt>
                <c:pt idx="765">
                  <c:v>27.9</c:v>
                </c:pt>
                <c:pt idx="766">
                  <c:v>47.7</c:v>
                </c:pt>
                <c:pt idx="767">
                  <c:v>36.6</c:v>
                </c:pt>
                <c:pt idx="768">
                  <c:v>27.2</c:v>
                </c:pt>
                <c:pt idx="769">
                  <c:v>24.2</c:v>
                </c:pt>
                <c:pt idx="770">
                  <c:v>28.6</c:v>
                </c:pt>
                <c:pt idx="771">
                  <c:v>42.9</c:v>
                </c:pt>
                <c:pt idx="772">
                  <c:v>34.700000000000003</c:v>
                </c:pt>
                <c:pt idx="773">
                  <c:v>50.4</c:v>
                </c:pt>
                <c:pt idx="774">
                  <c:v>40</c:v>
                </c:pt>
                <c:pt idx="775">
                  <c:v>47.9</c:v>
                </c:pt>
                <c:pt idx="776">
                  <c:v>69</c:v>
                </c:pt>
                <c:pt idx="777">
                  <c:v>79.8</c:v>
                </c:pt>
                <c:pt idx="778">
                  <c:v>43.4</c:v>
                </c:pt>
                <c:pt idx="779">
                  <c:v>45.7</c:v>
                </c:pt>
                <c:pt idx="780">
                  <c:v>70.400000000000006</c:v>
                </c:pt>
                <c:pt idx="781">
                  <c:v>69.2</c:v>
                </c:pt>
                <c:pt idx="782">
                  <c:v>61.9</c:v>
                </c:pt>
                <c:pt idx="783">
                  <c:v>94.5</c:v>
                </c:pt>
                <c:pt idx="784">
                  <c:v>69.599999999999994</c:v>
                </c:pt>
                <c:pt idx="785">
                  <c:v>62.1</c:v>
                </c:pt>
                <c:pt idx="786">
                  <c:v>41.6</c:v>
                </c:pt>
                <c:pt idx="787">
                  <c:v>52</c:v>
                </c:pt>
                <c:pt idx="788">
                  <c:v>48.6</c:v>
                </c:pt>
                <c:pt idx="789">
                  <c:v>65</c:v>
                </c:pt>
                <c:pt idx="790">
                  <c:v>61.7</c:v>
                </c:pt>
                <c:pt idx="791">
                  <c:v>58.4</c:v>
                </c:pt>
                <c:pt idx="792">
                  <c:v>59.2</c:v>
                </c:pt>
                <c:pt idx="793">
                  <c:v>60.7</c:v>
                </c:pt>
                <c:pt idx="794">
                  <c:v>116.1</c:v>
                </c:pt>
                <c:pt idx="795">
                  <c:v>65.900000000000006</c:v>
                </c:pt>
                <c:pt idx="796">
                  <c:v>61.7</c:v>
                </c:pt>
                <c:pt idx="797">
                  <c:v>71.599999999999994</c:v>
                </c:pt>
                <c:pt idx="798">
                  <c:v>115</c:v>
                </c:pt>
                <c:pt idx="799">
                  <c:v>64.400000000000006</c:v>
                </c:pt>
                <c:pt idx="800">
                  <c:v>98.7</c:v>
                </c:pt>
                <c:pt idx="801">
                  <c:v>70.599999999999994</c:v>
                </c:pt>
                <c:pt idx="802">
                  <c:v>45.5</c:v>
                </c:pt>
                <c:pt idx="803">
                  <c:v>38</c:v>
                </c:pt>
                <c:pt idx="804">
                  <c:v>50.6</c:v>
                </c:pt>
                <c:pt idx="805">
                  <c:v>46.2</c:v>
                </c:pt>
                <c:pt idx="806">
                  <c:v>50.3</c:v>
                </c:pt>
                <c:pt idx="807">
                  <c:v>48.6</c:v>
                </c:pt>
                <c:pt idx="808">
                  <c:v>41.2</c:v>
                </c:pt>
                <c:pt idx="809">
                  <c:v>62.8</c:v>
                </c:pt>
                <c:pt idx="810">
                  <c:v>63</c:v>
                </c:pt>
                <c:pt idx="811">
                  <c:v>62.4</c:v>
                </c:pt>
                <c:pt idx="812">
                  <c:v>74</c:v>
                </c:pt>
                <c:pt idx="813">
                  <c:v>62.2</c:v>
                </c:pt>
                <c:pt idx="814">
                  <c:v>96.3</c:v>
                </c:pt>
                <c:pt idx="815">
                  <c:v>64.400000000000006</c:v>
                </c:pt>
                <c:pt idx="816">
                  <c:v>49.8</c:v>
                </c:pt>
                <c:pt idx="817">
                  <c:v>61.4</c:v>
                </c:pt>
                <c:pt idx="818">
                  <c:v>80.399999999999991</c:v>
                </c:pt>
                <c:pt idx="819">
                  <c:v>88.8</c:v>
                </c:pt>
                <c:pt idx="820">
                  <c:v>42.1</c:v>
                </c:pt>
                <c:pt idx="821">
                  <c:v>49</c:v>
                </c:pt>
                <c:pt idx="822">
                  <c:v>48.2</c:v>
                </c:pt>
                <c:pt idx="823">
                  <c:v>38.200000000000003</c:v>
                </c:pt>
                <c:pt idx="824">
                  <c:v>42.8</c:v>
                </c:pt>
                <c:pt idx="825">
                  <c:v>54.1</c:v>
                </c:pt>
                <c:pt idx="826">
                  <c:v>118.7</c:v>
                </c:pt>
                <c:pt idx="827">
                  <c:v>31.3</c:v>
                </c:pt>
                <c:pt idx="828">
                  <c:v>38.299999999999997</c:v>
                </c:pt>
                <c:pt idx="829">
                  <c:v>45.6</c:v>
                </c:pt>
                <c:pt idx="830">
                  <c:v>52.8</c:v>
                </c:pt>
                <c:pt idx="831">
                  <c:v>32.5</c:v>
                </c:pt>
                <c:pt idx="832">
                  <c:v>34</c:v>
                </c:pt>
                <c:pt idx="833">
                  <c:v>30.7</c:v>
                </c:pt>
                <c:pt idx="834">
                  <c:v>31.3</c:v>
                </c:pt>
                <c:pt idx="835">
                  <c:v>34.700000000000003</c:v>
                </c:pt>
                <c:pt idx="836">
                  <c:v>45</c:v>
                </c:pt>
                <c:pt idx="837">
                  <c:v>35</c:v>
                </c:pt>
                <c:pt idx="838">
                  <c:v>49.1</c:v>
                </c:pt>
                <c:pt idx="839">
                  <c:v>72.099999999999994</c:v>
                </c:pt>
                <c:pt idx="840">
                  <c:v>34.4</c:v>
                </c:pt>
                <c:pt idx="841">
                  <c:v>33.299999999999997</c:v>
                </c:pt>
                <c:pt idx="842">
                  <c:v>49</c:v>
                </c:pt>
                <c:pt idx="843">
                  <c:v>45.1</c:v>
                </c:pt>
                <c:pt idx="844">
                  <c:v>31.7</c:v>
                </c:pt>
                <c:pt idx="845">
                  <c:v>29.4</c:v>
                </c:pt>
                <c:pt idx="846">
                  <c:v>45.4</c:v>
                </c:pt>
                <c:pt idx="847">
                  <c:v>45.4</c:v>
                </c:pt>
                <c:pt idx="848">
                  <c:v>30.5</c:v>
                </c:pt>
                <c:pt idx="849">
                  <c:v>67.599999999999994</c:v>
                </c:pt>
                <c:pt idx="850">
                  <c:v>39.1</c:v>
                </c:pt>
                <c:pt idx="851">
                  <c:v>9.8284000000000002</c:v>
                </c:pt>
                <c:pt idx="852">
                  <c:v>35.9</c:v>
                </c:pt>
                <c:pt idx="853">
                  <c:v>45.8</c:v>
                </c:pt>
                <c:pt idx="854">
                  <c:v>35.5</c:v>
                </c:pt>
                <c:pt idx="855">
                  <c:v>46.9</c:v>
                </c:pt>
                <c:pt idx="856">
                  <c:v>42.9</c:v>
                </c:pt>
                <c:pt idx="857">
                  <c:v>149.9</c:v>
                </c:pt>
                <c:pt idx="858">
                  <c:v>48.2</c:v>
                </c:pt>
                <c:pt idx="859">
                  <c:v>54.8</c:v>
                </c:pt>
                <c:pt idx="860">
                  <c:v>128.19999999999999</c:v>
                </c:pt>
                <c:pt idx="861">
                  <c:v>52.7</c:v>
                </c:pt>
                <c:pt idx="862">
                  <c:v>39.9</c:v>
                </c:pt>
                <c:pt idx="863">
                  <c:v>61.8</c:v>
                </c:pt>
                <c:pt idx="864">
                  <c:v>66.3</c:v>
                </c:pt>
                <c:pt idx="865">
                  <c:v>49.4</c:v>
                </c:pt>
                <c:pt idx="866">
                  <c:v>81.199999999999989</c:v>
                </c:pt>
                <c:pt idx="867">
                  <c:v>61.2</c:v>
                </c:pt>
                <c:pt idx="868">
                  <c:v>70.2</c:v>
                </c:pt>
                <c:pt idx="869">
                  <c:v>85.6</c:v>
                </c:pt>
                <c:pt idx="870">
                  <c:v>94.1</c:v>
                </c:pt>
                <c:pt idx="871">
                  <c:v>104.3</c:v>
                </c:pt>
                <c:pt idx="872">
                  <c:v>91.7</c:v>
                </c:pt>
                <c:pt idx="873">
                  <c:v>79.2</c:v>
                </c:pt>
                <c:pt idx="874">
                  <c:v>72.2</c:v>
                </c:pt>
                <c:pt idx="875">
                  <c:v>66</c:v>
                </c:pt>
                <c:pt idx="876">
                  <c:v>204.6</c:v>
                </c:pt>
                <c:pt idx="877">
                  <c:v>127.8</c:v>
                </c:pt>
                <c:pt idx="878">
                  <c:v>143.30000000000001</c:v>
                </c:pt>
                <c:pt idx="879">
                  <c:v>49.5</c:v>
                </c:pt>
                <c:pt idx="880">
                  <c:v>54.9</c:v>
                </c:pt>
                <c:pt idx="881">
                  <c:v>48.2</c:v>
                </c:pt>
                <c:pt idx="882">
                  <c:v>40.599999999999994</c:v>
                </c:pt>
                <c:pt idx="883">
                  <c:v>36</c:v>
                </c:pt>
                <c:pt idx="884">
                  <c:v>34.299999999999997</c:v>
                </c:pt>
                <c:pt idx="885">
                  <c:v>36.700000000000003</c:v>
                </c:pt>
                <c:pt idx="886">
                  <c:v>51.8</c:v>
                </c:pt>
                <c:pt idx="887">
                  <c:v>81.400000000000006</c:v>
                </c:pt>
                <c:pt idx="888">
                  <c:v>67.3</c:v>
                </c:pt>
                <c:pt idx="889">
                  <c:v>80.8</c:v>
                </c:pt>
                <c:pt idx="890">
                  <c:v>30.8</c:v>
                </c:pt>
                <c:pt idx="891">
                  <c:v>43.3</c:v>
                </c:pt>
                <c:pt idx="892">
                  <c:v>28.9</c:v>
                </c:pt>
                <c:pt idx="893">
                  <c:v>55.5</c:v>
                </c:pt>
                <c:pt idx="894">
                  <c:v>39.5</c:v>
                </c:pt>
                <c:pt idx="895">
                  <c:v>47.4</c:v>
                </c:pt>
                <c:pt idx="896">
                  <c:v>46.4</c:v>
                </c:pt>
                <c:pt idx="897">
                  <c:v>40.700000000000003</c:v>
                </c:pt>
                <c:pt idx="898">
                  <c:v>30</c:v>
                </c:pt>
                <c:pt idx="899">
                  <c:v>35.6</c:v>
                </c:pt>
                <c:pt idx="900">
                  <c:v>34.6</c:v>
                </c:pt>
                <c:pt idx="901">
                  <c:v>44.2</c:v>
                </c:pt>
                <c:pt idx="902">
                  <c:v>37.6</c:v>
                </c:pt>
                <c:pt idx="903">
                  <c:v>53.6</c:v>
                </c:pt>
                <c:pt idx="904">
                  <c:v>74</c:v>
                </c:pt>
                <c:pt idx="905">
                  <c:v>60.1</c:v>
                </c:pt>
                <c:pt idx="906">
                  <c:v>43.7</c:v>
                </c:pt>
                <c:pt idx="907">
                  <c:v>29.8</c:v>
                </c:pt>
                <c:pt idx="908">
                  <c:v>70.099999999999994</c:v>
                </c:pt>
                <c:pt idx="909">
                  <c:v>66.400000000000006</c:v>
                </c:pt>
                <c:pt idx="910">
                  <c:v>45.2</c:v>
                </c:pt>
                <c:pt idx="911">
                  <c:v>72.7</c:v>
                </c:pt>
                <c:pt idx="912">
                  <c:v>78.599999999999994</c:v>
                </c:pt>
                <c:pt idx="913">
                  <c:v>70.2</c:v>
                </c:pt>
                <c:pt idx="914">
                  <c:v>50.1</c:v>
                </c:pt>
                <c:pt idx="915">
                  <c:v>50.8</c:v>
                </c:pt>
                <c:pt idx="916">
                  <c:v>34.200000000000003</c:v>
                </c:pt>
                <c:pt idx="917">
                  <c:v>58.4</c:v>
                </c:pt>
                <c:pt idx="918">
                  <c:v>56.2</c:v>
                </c:pt>
                <c:pt idx="919">
                  <c:v>61.6</c:v>
                </c:pt>
                <c:pt idx="920">
                  <c:v>52.6</c:v>
                </c:pt>
                <c:pt idx="921">
                  <c:v>47.1</c:v>
                </c:pt>
                <c:pt idx="922">
                  <c:v>47</c:v>
                </c:pt>
                <c:pt idx="923">
                  <c:v>36.5</c:v>
                </c:pt>
                <c:pt idx="924">
                  <c:v>33.200000000000003</c:v>
                </c:pt>
                <c:pt idx="925">
                  <c:v>52.1</c:v>
                </c:pt>
                <c:pt idx="926">
                  <c:v>73.8</c:v>
                </c:pt>
                <c:pt idx="927">
                  <c:v>48</c:v>
                </c:pt>
                <c:pt idx="928">
                  <c:v>46.5</c:v>
                </c:pt>
                <c:pt idx="929">
                  <c:v>91.7</c:v>
                </c:pt>
                <c:pt idx="930">
                  <c:v>50.6</c:v>
                </c:pt>
                <c:pt idx="931">
                  <c:v>44.1</c:v>
                </c:pt>
                <c:pt idx="932">
                  <c:v>45.1</c:v>
                </c:pt>
                <c:pt idx="933">
                  <c:v>61.1</c:v>
                </c:pt>
                <c:pt idx="934">
                  <c:v>62.5</c:v>
                </c:pt>
                <c:pt idx="935">
                  <c:v>62.5</c:v>
                </c:pt>
                <c:pt idx="936">
                  <c:v>62.7</c:v>
                </c:pt>
                <c:pt idx="937">
                  <c:v>46</c:v>
                </c:pt>
                <c:pt idx="938">
                  <c:v>96.9</c:v>
                </c:pt>
                <c:pt idx="939">
                  <c:v>66.400000000000006</c:v>
                </c:pt>
                <c:pt idx="940">
                  <c:v>46.5</c:v>
                </c:pt>
                <c:pt idx="941">
                  <c:v>60.9</c:v>
                </c:pt>
                <c:pt idx="942">
                  <c:v>69.900000000000006</c:v>
                </c:pt>
                <c:pt idx="943">
                  <c:v>65.2</c:v>
                </c:pt>
                <c:pt idx="944">
                  <c:v>43.6</c:v>
                </c:pt>
                <c:pt idx="945">
                  <c:v>47</c:v>
                </c:pt>
                <c:pt idx="946">
                  <c:v>49</c:v>
                </c:pt>
                <c:pt idx="947">
                  <c:v>66.2</c:v>
                </c:pt>
                <c:pt idx="948">
                  <c:v>94</c:v>
                </c:pt>
                <c:pt idx="949">
                  <c:v>72.099999999999994</c:v>
                </c:pt>
                <c:pt idx="950">
                  <c:v>87.4</c:v>
                </c:pt>
                <c:pt idx="951">
                  <c:v>160.30000000000001</c:v>
                </c:pt>
                <c:pt idx="952">
                  <c:v>109</c:v>
                </c:pt>
                <c:pt idx="953">
                  <c:v>82.8</c:v>
                </c:pt>
                <c:pt idx="954">
                  <c:v>130.4</c:v>
                </c:pt>
                <c:pt idx="955">
                  <c:v>96.3</c:v>
                </c:pt>
                <c:pt idx="956">
                  <c:v>56.9</c:v>
                </c:pt>
                <c:pt idx="957">
                  <c:v>58.9</c:v>
                </c:pt>
                <c:pt idx="958">
                  <c:v>104.9</c:v>
                </c:pt>
                <c:pt idx="959">
                  <c:v>165.6</c:v>
                </c:pt>
                <c:pt idx="960">
                  <c:v>65.900000000000006</c:v>
                </c:pt>
                <c:pt idx="961">
                  <c:v>65.2</c:v>
                </c:pt>
                <c:pt idx="962">
                  <c:v>61.5</c:v>
                </c:pt>
                <c:pt idx="963">
                  <c:v>67.2</c:v>
                </c:pt>
                <c:pt idx="964">
                  <c:v>70.3</c:v>
                </c:pt>
                <c:pt idx="965">
                  <c:v>78.5</c:v>
                </c:pt>
                <c:pt idx="966">
                  <c:v>62.1</c:v>
                </c:pt>
                <c:pt idx="967">
                  <c:v>68.3</c:v>
                </c:pt>
                <c:pt idx="968">
                  <c:v>61.7</c:v>
                </c:pt>
                <c:pt idx="969">
                  <c:v>61.4</c:v>
                </c:pt>
                <c:pt idx="970">
                  <c:v>62.2</c:v>
                </c:pt>
                <c:pt idx="971">
                  <c:v>70.7</c:v>
                </c:pt>
                <c:pt idx="972">
                  <c:v>98.3</c:v>
                </c:pt>
                <c:pt idx="973">
                  <c:v>92.5</c:v>
                </c:pt>
                <c:pt idx="974">
                  <c:v>88.2</c:v>
                </c:pt>
                <c:pt idx="975">
                  <c:v>53.5</c:v>
                </c:pt>
                <c:pt idx="976">
                  <c:v>70</c:v>
                </c:pt>
                <c:pt idx="977">
                  <c:v>81.300000000000011</c:v>
                </c:pt>
                <c:pt idx="978">
                  <c:v>77.7</c:v>
                </c:pt>
                <c:pt idx="979">
                  <c:v>106.8</c:v>
                </c:pt>
                <c:pt idx="980">
                  <c:v>170.4</c:v>
                </c:pt>
                <c:pt idx="981">
                  <c:v>305.2</c:v>
                </c:pt>
                <c:pt idx="982">
                  <c:v>62.6</c:v>
                </c:pt>
                <c:pt idx="983">
                  <c:v>64.599999999999994</c:v>
                </c:pt>
                <c:pt idx="984">
                  <c:v>82.5</c:v>
                </c:pt>
                <c:pt idx="985">
                  <c:v>51.3</c:v>
                </c:pt>
                <c:pt idx="986">
                  <c:v>58</c:v>
                </c:pt>
                <c:pt idx="987">
                  <c:v>54.1</c:v>
                </c:pt>
                <c:pt idx="988">
                  <c:v>54.7</c:v>
                </c:pt>
                <c:pt idx="989">
                  <c:v>73.599999999999994</c:v>
                </c:pt>
                <c:pt idx="990">
                  <c:v>61.7</c:v>
                </c:pt>
                <c:pt idx="991">
                  <c:v>54</c:v>
                </c:pt>
                <c:pt idx="992">
                  <c:v>78</c:v>
                </c:pt>
                <c:pt idx="993">
                  <c:v>39.200000000000003</c:v>
                </c:pt>
                <c:pt idx="994">
                  <c:v>40.1</c:v>
                </c:pt>
                <c:pt idx="995">
                  <c:v>34.4</c:v>
                </c:pt>
                <c:pt idx="996">
                  <c:v>37.799999999999997</c:v>
                </c:pt>
                <c:pt idx="997">
                  <c:v>61.9</c:v>
                </c:pt>
                <c:pt idx="998">
                  <c:v>57.1</c:v>
                </c:pt>
                <c:pt idx="999">
                  <c:v>83.6</c:v>
                </c:pt>
                <c:pt idx="1000">
                  <c:v>177.3</c:v>
                </c:pt>
                <c:pt idx="1001">
                  <c:v>52.3</c:v>
                </c:pt>
                <c:pt idx="1002">
                  <c:v>71.400000000000006</c:v>
                </c:pt>
                <c:pt idx="1003">
                  <c:v>102.9</c:v>
                </c:pt>
                <c:pt idx="1004">
                  <c:v>47.6</c:v>
                </c:pt>
                <c:pt idx="1005">
                  <c:v>65.5</c:v>
                </c:pt>
                <c:pt idx="1006">
                  <c:v>101.9</c:v>
                </c:pt>
                <c:pt idx="1007">
                  <c:v>109.8</c:v>
                </c:pt>
                <c:pt idx="1008">
                  <c:v>97.4</c:v>
                </c:pt>
                <c:pt idx="1009">
                  <c:v>90.7</c:v>
                </c:pt>
                <c:pt idx="1010">
                  <c:v>73.400000000000006</c:v>
                </c:pt>
                <c:pt idx="1011">
                  <c:v>67.7</c:v>
                </c:pt>
                <c:pt idx="1012">
                  <c:v>150.80000000000001</c:v>
                </c:pt>
                <c:pt idx="1013">
                  <c:v>97.4</c:v>
                </c:pt>
                <c:pt idx="1014">
                  <c:v>135.9</c:v>
                </c:pt>
                <c:pt idx="1015">
                  <c:v>54.8</c:v>
                </c:pt>
                <c:pt idx="1016">
                  <c:v>88.8</c:v>
                </c:pt>
                <c:pt idx="1017">
                  <c:v>51.2</c:v>
                </c:pt>
                <c:pt idx="1018">
                  <c:v>56</c:v>
                </c:pt>
                <c:pt idx="1019">
                  <c:v>39.4</c:v>
                </c:pt>
                <c:pt idx="1020">
                  <c:v>53.5</c:v>
                </c:pt>
                <c:pt idx="1021">
                  <c:v>46.7</c:v>
                </c:pt>
                <c:pt idx="1022">
                  <c:v>74.599999999999994</c:v>
                </c:pt>
                <c:pt idx="1023">
                  <c:v>75.5</c:v>
                </c:pt>
                <c:pt idx="1024">
                  <c:v>43.3</c:v>
                </c:pt>
                <c:pt idx="1025">
                  <c:v>38.700000000000003</c:v>
                </c:pt>
                <c:pt idx="1026">
                  <c:v>60.5</c:v>
                </c:pt>
                <c:pt idx="1027">
                  <c:v>43.1</c:v>
                </c:pt>
                <c:pt idx="1028">
                  <c:v>47</c:v>
                </c:pt>
                <c:pt idx="1029">
                  <c:v>38.299999999999997</c:v>
                </c:pt>
                <c:pt idx="1030">
                  <c:v>42.5</c:v>
                </c:pt>
                <c:pt idx="1031">
                  <c:v>51.2</c:v>
                </c:pt>
                <c:pt idx="1032">
                  <c:v>87.9</c:v>
                </c:pt>
                <c:pt idx="1033">
                  <c:v>110</c:v>
                </c:pt>
                <c:pt idx="1034">
                  <c:v>112.3</c:v>
                </c:pt>
                <c:pt idx="1035">
                  <c:v>91.4</c:v>
                </c:pt>
                <c:pt idx="1036">
                  <c:v>71.2</c:v>
                </c:pt>
                <c:pt idx="1037">
                  <c:v>82.5</c:v>
                </c:pt>
                <c:pt idx="1038">
                  <c:v>55.3</c:v>
                </c:pt>
                <c:pt idx="1039">
                  <c:v>57.5</c:v>
                </c:pt>
                <c:pt idx="1040">
                  <c:v>36.9</c:v>
                </c:pt>
                <c:pt idx="1041">
                  <c:v>52.6</c:v>
                </c:pt>
                <c:pt idx="1042">
                  <c:v>76.900000000000006</c:v>
                </c:pt>
                <c:pt idx="1043">
                  <c:v>142.80000000000001</c:v>
                </c:pt>
                <c:pt idx="1044">
                  <c:v>53.6</c:v>
                </c:pt>
                <c:pt idx="1045">
                  <c:v>51.4</c:v>
                </c:pt>
                <c:pt idx="1046">
                  <c:v>78.599999999999994</c:v>
                </c:pt>
                <c:pt idx="1047">
                  <c:v>48.3</c:v>
                </c:pt>
                <c:pt idx="1048">
                  <c:v>64.5</c:v>
                </c:pt>
                <c:pt idx="1049">
                  <c:v>70</c:v>
                </c:pt>
                <c:pt idx="1050">
                  <c:v>39.200000000000003</c:v>
                </c:pt>
                <c:pt idx="1051">
                  <c:v>33.299999999999997</c:v>
                </c:pt>
                <c:pt idx="1052">
                  <c:v>46.2</c:v>
                </c:pt>
                <c:pt idx="1053">
                  <c:v>45.8</c:v>
                </c:pt>
                <c:pt idx="1054">
                  <c:v>32.4</c:v>
                </c:pt>
                <c:pt idx="1055">
                  <c:v>33.4</c:v>
                </c:pt>
                <c:pt idx="1056">
                  <c:v>26.5</c:v>
                </c:pt>
                <c:pt idx="1057">
                  <c:v>37.799999999999997</c:v>
                </c:pt>
                <c:pt idx="1058">
                  <c:v>41.1</c:v>
                </c:pt>
                <c:pt idx="1059">
                  <c:v>41.6</c:v>
                </c:pt>
                <c:pt idx="1060">
                  <c:v>53.5</c:v>
                </c:pt>
                <c:pt idx="1061">
                  <c:v>57.7</c:v>
                </c:pt>
                <c:pt idx="1062">
                  <c:v>188.9</c:v>
                </c:pt>
                <c:pt idx="1063">
                  <c:v>44.8</c:v>
                </c:pt>
                <c:pt idx="1064">
                  <c:v>30.5</c:v>
                </c:pt>
                <c:pt idx="1065">
                  <c:v>47.7</c:v>
                </c:pt>
                <c:pt idx="1066">
                  <c:v>40.4</c:v>
                </c:pt>
                <c:pt idx="1067">
                  <c:v>18.2</c:v>
                </c:pt>
                <c:pt idx="1068">
                  <c:v>20.8</c:v>
                </c:pt>
                <c:pt idx="1069">
                  <c:v>30.3</c:v>
                </c:pt>
                <c:pt idx="1070">
                  <c:v>42</c:v>
                </c:pt>
                <c:pt idx="1071">
                  <c:v>39.9</c:v>
                </c:pt>
                <c:pt idx="1072">
                  <c:v>67.5</c:v>
                </c:pt>
                <c:pt idx="1073">
                  <c:v>55.6</c:v>
                </c:pt>
                <c:pt idx="1074">
                  <c:v>51.9</c:v>
                </c:pt>
                <c:pt idx="1075">
                  <c:v>148.1</c:v>
                </c:pt>
                <c:pt idx="1076">
                  <c:v>39.4</c:v>
                </c:pt>
                <c:pt idx="1077">
                  <c:v>44.9</c:v>
                </c:pt>
                <c:pt idx="1078">
                  <c:v>44.8</c:v>
                </c:pt>
                <c:pt idx="1079">
                  <c:v>73.3</c:v>
                </c:pt>
                <c:pt idx="1080">
                  <c:v>84.4</c:v>
                </c:pt>
                <c:pt idx="1081">
                  <c:v>66.2</c:v>
                </c:pt>
                <c:pt idx="1082">
                  <c:v>43.3</c:v>
                </c:pt>
                <c:pt idx="1083">
                  <c:v>47.3</c:v>
                </c:pt>
                <c:pt idx="1084">
                  <c:v>60.3</c:v>
                </c:pt>
                <c:pt idx="1085">
                  <c:v>43.5</c:v>
                </c:pt>
                <c:pt idx="1086">
                  <c:v>50.7</c:v>
                </c:pt>
                <c:pt idx="1087">
                  <c:v>47.3</c:v>
                </c:pt>
                <c:pt idx="1088">
                  <c:v>47.8</c:v>
                </c:pt>
                <c:pt idx="1089">
                  <c:v>40.199999999999996</c:v>
                </c:pt>
                <c:pt idx="1090">
                  <c:v>52.5</c:v>
                </c:pt>
                <c:pt idx="1091">
                  <c:v>4.8341000000000003</c:v>
                </c:pt>
                <c:pt idx="1092">
                  <c:v>35.299999999999997</c:v>
                </c:pt>
                <c:pt idx="1093">
                  <c:v>34.700000000000003</c:v>
                </c:pt>
                <c:pt idx="1094">
                  <c:v>36.4</c:v>
                </c:pt>
                <c:pt idx="1095">
                  <c:v>58.8</c:v>
                </c:pt>
                <c:pt idx="1096">
                  <c:v>53.3</c:v>
                </c:pt>
                <c:pt idx="1097">
                  <c:v>50.9</c:v>
                </c:pt>
                <c:pt idx="1098">
                  <c:v>58.7</c:v>
                </c:pt>
                <c:pt idx="1099">
                  <c:v>59.1</c:v>
                </c:pt>
                <c:pt idx="1100">
                  <c:v>73.7</c:v>
                </c:pt>
                <c:pt idx="1101">
                  <c:v>87.8</c:v>
                </c:pt>
                <c:pt idx="1102">
                  <c:v>58.8</c:v>
                </c:pt>
                <c:pt idx="1103">
                  <c:v>103.2</c:v>
                </c:pt>
                <c:pt idx="1104">
                  <c:v>134.4</c:v>
                </c:pt>
                <c:pt idx="1105">
                  <c:v>196.6</c:v>
                </c:pt>
                <c:pt idx="1106">
                  <c:v>71</c:v>
                </c:pt>
                <c:pt idx="1107">
                  <c:v>74.400000000000006</c:v>
                </c:pt>
                <c:pt idx="1108">
                  <c:v>88.4</c:v>
                </c:pt>
                <c:pt idx="1109">
                  <c:v>47.4</c:v>
                </c:pt>
                <c:pt idx="1110">
                  <c:v>54.8</c:v>
                </c:pt>
                <c:pt idx="1111">
                  <c:v>42.7</c:v>
                </c:pt>
                <c:pt idx="1112">
                  <c:v>43.7</c:v>
                </c:pt>
                <c:pt idx="1113">
                  <c:v>29.5</c:v>
                </c:pt>
                <c:pt idx="1114">
                  <c:v>57.3</c:v>
                </c:pt>
                <c:pt idx="1115">
                  <c:v>69.099999999999994</c:v>
                </c:pt>
                <c:pt idx="1116">
                  <c:v>77.900000000000006</c:v>
                </c:pt>
                <c:pt idx="1117">
                  <c:v>65.599999999999994</c:v>
                </c:pt>
                <c:pt idx="1118">
                  <c:v>50.5</c:v>
                </c:pt>
                <c:pt idx="1119">
                  <c:v>82.8</c:v>
                </c:pt>
                <c:pt idx="1120">
                  <c:v>38.299999999999997</c:v>
                </c:pt>
                <c:pt idx="1121">
                  <c:v>45.5</c:v>
                </c:pt>
                <c:pt idx="1122">
                  <c:v>46.7</c:v>
                </c:pt>
                <c:pt idx="1123">
                  <c:v>56.6</c:v>
                </c:pt>
                <c:pt idx="1124">
                  <c:v>74.5</c:v>
                </c:pt>
                <c:pt idx="1125">
                  <c:v>32.5</c:v>
                </c:pt>
                <c:pt idx="1126">
                  <c:v>40.599999999999994</c:v>
                </c:pt>
                <c:pt idx="1127">
                  <c:v>49.5</c:v>
                </c:pt>
                <c:pt idx="1128">
                  <c:v>46.6</c:v>
                </c:pt>
                <c:pt idx="1129">
                  <c:v>33.299999999999997</c:v>
                </c:pt>
                <c:pt idx="1130">
                  <c:v>45.8</c:v>
                </c:pt>
                <c:pt idx="1131">
                  <c:v>35.200000000000003</c:v>
                </c:pt>
                <c:pt idx="1132">
                  <c:v>48.8</c:v>
                </c:pt>
                <c:pt idx="1133">
                  <c:v>53.4</c:v>
                </c:pt>
                <c:pt idx="1134">
                  <c:v>68.3</c:v>
                </c:pt>
                <c:pt idx="1135">
                  <c:v>78</c:v>
                </c:pt>
                <c:pt idx="1136">
                  <c:v>122.6</c:v>
                </c:pt>
                <c:pt idx="1137">
                  <c:v>65.599999999999994</c:v>
                </c:pt>
                <c:pt idx="1138">
                  <c:v>67</c:v>
                </c:pt>
                <c:pt idx="1139">
                  <c:v>53</c:v>
                </c:pt>
                <c:pt idx="1140">
                  <c:v>61.5</c:v>
                </c:pt>
                <c:pt idx="1141">
                  <c:v>76</c:v>
                </c:pt>
                <c:pt idx="1142">
                  <c:v>61.9</c:v>
                </c:pt>
                <c:pt idx="1143">
                  <c:v>62.1</c:v>
                </c:pt>
                <c:pt idx="1144">
                  <c:v>66.900000000000006</c:v>
                </c:pt>
                <c:pt idx="1145">
                  <c:v>95.1</c:v>
                </c:pt>
                <c:pt idx="1146">
                  <c:v>45.6</c:v>
                </c:pt>
                <c:pt idx="1147">
                  <c:v>56.1</c:v>
                </c:pt>
                <c:pt idx="1148">
                  <c:v>56.6</c:v>
                </c:pt>
                <c:pt idx="1149">
                  <c:v>49</c:v>
                </c:pt>
                <c:pt idx="1150">
                  <c:v>68.5</c:v>
                </c:pt>
                <c:pt idx="1151">
                  <c:v>50.2</c:v>
                </c:pt>
                <c:pt idx="1152">
                  <c:v>37.5</c:v>
                </c:pt>
                <c:pt idx="1153">
                  <c:v>54.2</c:v>
                </c:pt>
                <c:pt idx="1154">
                  <c:v>67.400000000000006</c:v>
                </c:pt>
                <c:pt idx="1155">
                  <c:v>55.1</c:v>
                </c:pt>
                <c:pt idx="1156">
                  <c:v>55.5</c:v>
                </c:pt>
                <c:pt idx="1157">
                  <c:v>62.3</c:v>
                </c:pt>
                <c:pt idx="1158">
                  <c:v>46.6</c:v>
                </c:pt>
                <c:pt idx="1159">
                  <c:v>46.9</c:v>
                </c:pt>
                <c:pt idx="1160">
                  <c:v>58.9</c:v>
                </c:pt>
                <c:pt idx="1161">
                  <c:v>45.9</c:v>
                </c:pt>
                <c:pt idx="1162">
                  <c:v>41.8</c:v>
                </c:pt>
                <c:pt idx="1163">
                  <c:v>78.5</c:v>
                </c:pt>
                <c:pt idx="1164">
                  <c:v>50.7</c:v>
                </c:pt>
                <c:pt idx="1165">
                  <c:v>56.7</c:v>
                </c:pt>
                <c:pt idx="1166">
                  <c:v>62.7</c:v>
                </c:pt>
                <c:pt idx="1167">
                  <c:v>100.2</c:v>
                </c:pt>
                <c:pt idx="1168">
                  <c:v>56.6</c:v>
                </c:pt>
                <c:pt idx="1169">
                  <c:v>44.6</c:v>
                </c:pt>
                <c:pt idx="1170">
                  <c:v>45.9</c:v>
                </c:pt>
                <c:pt idx="1171">
                  <c:v>34.4</c:v>
                </c:pt>
                <c:pt idx="1172">
                  <c:v>33.299999999999997</c:v>
                </c:pt>
                <c:pt idx="1173">
                  <c:v>48</c:v>
                </c:pt>
                <c:pt idx="1174">
                  <c:v>40.9</c:v>
                </c:pt>
                <c:pt idx="1175">
                  <c:v>40.599999999999994</c:v>
                </c:pt>
                <c:pt idx="1176">
                  <c:v>51.7</c:v>
                </c:pt>
                <c:pt idx="1177">
                  <c:v>48.1</c:v>
                </c:pt>
                <c:pt idx="1178">
                  <c:v>60.6</c:v>
                </c:pt>
                <c:pt idx="1179">
                  <c:v>59.1</c:v>
                </c:pt>
                <c:pt idx="1180">
                  <c:v>50.2</c:v>
                </c:pt>
                <c:pt idx="1181">
                  <c:v>97.8</c:v>
                </c:pt>
                <c:pt idx="1182">
                  <c:v>107.9</c:v>
                </c:pt>
                <c:pt idx="1183">
                  <c:v>55.3</c:v>
                </c:pt>
                <c:pt idx="1184">
                  <c:v>64.3</c:v>
                </c:pt>
                <c:pt idx="1185">
                  <c:v>54.5</c:v>
                </c:pt>
                <c:pt idx="1186">
                  <c:v>135.30000000000001</c:v>
                </c:pt>
                <c:pt idx="1187">
                  <c:v>76.8</c:v>
                </c:pt>
                <c:pt idx="1188">
                  <c:v>76.599999999999994</c:v>
                </c:pt>
                <c:pt idx="1189">
                  <c:v>54</c:v>
                </c:pt>
                <c:pt idx="1190">
                  <c:v>71.3</c:v>
                </c:pt>
                <c:pt idx="1191">
                  <c:v>61.4</c:v>
                </c:pt>
                <c:pt idx="1192">
                  <c:v>35</c:v>
                </c:pt>
                <c:pt idx="1193">
                  <c:v>53.9</c:v>
                </c:pt>
                <c:pt idx="1194">
                  <c:v>73.599999999999994</c:v>
                </c:pt>
                <c:pt idx="1195">
                  <c:v>51.5</c:v>
                </c:pt>
                <c:pt idx="1196">
                  <c:v>41.900000000000006</c:v>
                </c:pt>
                <c:pt idx="1197">
                  <c:v>51.2</c:v>
                </c:pt>
                <c:pt idx="1198">
                  <c:v>92.7</c:v>
                </c:pt>
                <c:pt idx="1199">
                  <c:v>47.9</c:v>
                </c:pt>
                <c:pt idx="1200">
                  <c:v>44.3</c:v>
                </c:pt>
                <c:pt idx="1201">
                  <c:v>42.6</c:v>
                </c:pt>
                <c:pt idx="1202">
                  <c:v>153.69999999999999</c:v>
                </c:pt>
                <c:pt idx="1203">
                  <c:v>68.5</c:v>
                </c:pt>
                <c:pt idx="1204">
                  <c:v>40.999999999999993</c:v>
                </c:pt>
                <c:pt idx="1205">
                  <c:v>42.3</c:v>
                </c:pt>
                <c:pt idx="1206">
                  <c:v>49.7</c:v>
                </c:pt>
                <c:pt idx="1207">
                  <c:v>44.9</c:v>
                </c:pt>
                <c:pt idx="1208">
                  <c:v>44.4</c:v>
                </c:pt>
                <c:pt idx="1209">
                  <c:v>56.2</c:v>
                </c:pt>
                <c:pt idx="1210">
                  <c:v>50.2</c:v>
                </c:pt>
                <c:pt idx="1211">
                  <c:v>48.2</c:v>
                </c:pt>
                <c:pt idx="1212">
                  <c:v>52.4</c:v>
                </c:pt>
                <c:pt idx="1213">
                  <c:v>64.2</c:v>
                </c:pt>
                <c:pt idx="1214">
                  <c:v>72</c:v>
                </c:pt>
                <c:pt idx="1215">
                  <c:v>49.9</c:v>
                </c:pt>
                <c:pt idx="1216">
                  <c:v>48.1</c:v>
                </c:pt>
                <c:pt idx="1217">
                  <c:v>39.4</c:v>
                </c:pt>
                <c:pt idx="1218">
                  <c:v>48.9</c:v>
                </c:pt>
                <c:pt idx="1219">
                  <c:v>45.6</c:v>
                </c:pt>
                <c:pt idx="1220">
                  <c:v>83.5</c:v>
                </c:pt>
                <c:pt idx="1221">
                  <c:v>54.1</c:v>
                </c:pt>
                <c:pt idx="1222">
                  <c:v>48.8</c:v>
                </c:pt>
                <c:pt idx="1223">
                  <c:v>36.4</c:v>
                </c:pt>
                <c:pt idx="1224">
                  <c:v>70.900000000000006</c:v>
                </c:pt>
                <c:pt idx="1225">
                  <c:v>73.2</c:v>
                </c:pt>
                <c:pt idx="1226">
                  <c:v>66.2</c:v>
                </c:pt>
                <c:pt idx="1227">
                  <c:v>85.6</c:v>
                </c:pt>
                <c:pt idx="1228">
                  <c:v>125.1</c:v>
                </c:pt>
                <c:pt idx="1229">
                  <c:v>108.8</c:v>
                </c:pt>
                <c:pt idx="1230">
                  <c:v>253.4</c:v>
                </c:pt>
                <c:pt idx="1231">
                  <c:v>148.6</c:v>
                </c:pt>
                <c:pt idx="1232">
                  <c:v>203.8</c:v>
                </c:pt>
                <c:pt idx="1233">
                  <c:v>60.5</c:v>
                </c:pt>
                <c:pt idx="1234">
                  <c:v>56.5</c:v>
                </c:pt>
                <c:pt idx="1235">
                  <c:v>58.8</c:v>
                </c:pt>
                <c:pt idx="1236">
                  <c:v>57.9</c:v>
                </c:pt>
                <c:pt idx="1237">
                  <c:v>94.8</c:v>
                </c:pt>
                <c:pt idx="1238">
                  <c:v>56.8</c:v>
                </c:pt>
              </c:numCache>
            </c:numRef>
          </c:val>
          <c:extLst>
            <c:ext xmlns:c16="http://schemas.microsoft.com/office/drawing/2014/chart" uri="{C3380CC4-5D6E-409C-BE32-E72D297353CC}">
              <c16:uniqueId val="{00000000-1D13-4056-8760-D2BF8B80D3FF}"/>
            </c:ext>
          </c:extLst>
        </c:ser>
        <c:dLbls>
          <c:showLegendKey val="0"/>
          <c:showVal val="0"/>
          <c:showCatName val="0"/>
          <c:showSerName val="0"/>
          <c:showPercent val="0"/>
          <c:showBubbleSize val="0"/>
        </c:dLbls>
        <c:axId val="130692592"/>
        <c:axId val="130706992"/>
      </c:areaChart>
      <c:dateAx>
        <c:axId val="13069259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t"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0706992"/>
        <c:crosses val="autoZero"/>
        <c:auto val="1"/>
        <c:lblOffset val="100"/>
        <c:baseTimeUnit val="days"/>
      </c:dateAx>
      <c:valAx>
        <c:axId val="13070699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692592"/>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5">
                <a:lumMod val="50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2-33A3-46CC-BCDA-A1D90E9E1A50}"/>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33A3-46CC-BCDA-A1D90E9E1A50}"/>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33A3-46CC-BCDA-A1D90E9E1A50}"/>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CF'!$D$43:$D$46</c:f>
              <c:strCache>
                <c:ptCount val="4"/>
                <c:pt idx="0">
                  <c:v>Promotors</c:v>
                </c:pt>
                <c:pt idx="1">
                  <c:v>FII</c:v>
                </c:pt>
                <c:pt idx="2">
                  <c:v>DII</c:v>
                </c:pt>
                <c:pt idx="3">
                  <c:v>Government, Public &amp; Others</c:v>
                </c:pt>
              </c:strCache>
            </c:strRef>
          </c:cat>
          <c:val>
            <c:numRef>
              <c:f>'Raw CF'!$E$43:$E$46</c:f>
              <c:numCache>
                <c:formatCode>0.00%</c:formatCode>
                <c:ptCount val="4"/>
                <c:pt idx="0">
                  <c:v>0.1452</c:v>
                </c:pt>
                <c:pt idx="1">
                  <c:v>0.30270000000000002</c:v>
                </c:pt>
                <c:pt idx="2">
                  <c:v>0.4108</c:v>
                </c:pt>
                <c:pt idx="3">
                  <c:v>0.14130000000000001</c:v>
                </c:pt>
              </c:numCache>
            </c:numRef>
          </c:val>
          <c:extLst>
            <c:ext xmlns:c16="http://schemas.microsoft.com/office/drawing/2014/chart" uri="{C3380CC4-5D6E-409C-BE32-E72D297353CC}">
              <c16:uniqueId val="{00000000-33A3-46CC-BCDA-A1D90E9E1A50}"/>
            </c:ext>
          </c:extLst>
        </c:ser>
        <c:dLbls>
          <c:showLegendKey val="0"/>
          <c:showVal val="0"/>
          <c:showCatName val="0"/>
          <c:showSerName val="0"/>
          <c:showPercent val="0"/>
          <c:showBubbleSize val="0"/>
        </c:dLbls>
        <c:gapWidth val="182"/>
        <c:axId val="130676272"/>
        <c:axId val="130662352"/>
      </c:barChart>
      <c:catAx>
        <c:axId val="13067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0662352"/>
        <c:crosses val="autoZero"/>
        <c:auto val="1"/>
        <c:lblAlgn val="ctr"/>
        <c:lblOffset val="100"/>
        <c:noMultiLvlLbl val="0"/>
      </c:catAx>
      <c:valAx>
        <c:axId val="130662352"/>
        <c:scaling>
          <c:orientation val="minMax"/>
        </c:scaling>
        <c:delete val="1"/>
        <c:axPos val="b"/>
        <c:numFmt formatCode="0.00%" sourceLinked="1"/>
        <c:majorTickMark val="none"/>
        <c:minorTickMark val="none"/>
        <c:tickLblPos val="nextTo"/>
        <c:crossAx val="1306762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Forecasting</a:t>
            </a:r>
            <a:endParaRPr lang="en-IN" b="1"/>
          </a:p>
        </c:rich>
      </c:tx>
      <c:layout>
        <c:manualLayout>
          <c:xMode val="edge"/>
          <c:yMode val="edge"/>
          <c:x val="0.38691956885674467"/>
          <c:y val="4.6070958470875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spPr>
            <a:solidFill>
              <a:schemeClr val="accent4"/>
            </a:solidFill>
            <a:ln>
              <a:solidFill>
                <a:schemeClr val="tx1"/>
              </a:solidFill>
            </a:ln>
            <a:effectLst/>
          </c:spPr>
          <c:invertIfNegative val="0"/>
          <c:dPt>
            <c:idx val="10"/>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0-EA8C-4800-B564-DB006C1D4825}"/>
              </c:ext>
            </c:extLst>
          </c:dPt>
          <c:dPt>
            <c:idx val="11"/>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2-EA8C-4800-B564-DB006C1D4825}"/>
              </c:ext>
            </c:extLst>
          </c:dPt>
          <c:dPt>
            <c:idx val="12"/>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5-EA8C-4800-B564-DB006C1D4825}"/>
              </c:ext>
            </c:extLst>
          </c:dPt>
          <c:dPt>
            <c:idx val="13"/>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4-EA8C-4800-B564-DB006C1D4825}"/>
              </c:ext>
            </c:extLst>
          </c:dPt>
          <c:dPt>
            <c:idx val="14"/>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3-EA8C-4800-B564-DB006C1D4825}"/>
              </c:ext>
            </c:extLst>
          </c:dPt>
          <c:val>
            <c:numRef>
              <c:f>Forcasting!$D$14:$D$28</c:f>
              <c:numCache>
                <c:formatCode>[$₹-4009]\ #,##0.0;\ \(\₹#,##0.0\)</c:formatCode>
                <c:ptCount val="15"/>
                <c:pt idx="0">
                  <c:v>62441</c:v>
                </c:pt>
                <c:pt idx="1">
                  <c:v>68484</c:v>
                </c:pt>
                <c:pt idx="2">
                  <c:v>70522</c:v>
                </c:pt>
                <c:pt idx="3">
                  <c:v>82675</c:v>
                </c:pt>
                <c:pt idx="4">
                  <c:v>90791</c:v>
                </c:pt>
                <c:pt idx="5">
                  <c:v>100472</c:v>
                </c:pt>
                <c:pt idx="6">
                  <c:v>121641</c:v>
                </c:pt>
                <c:pt idx="7">
                  <c:v>146767</c:v>
                </c:pt>
                <c:pt idx="8">
                  <c:v>153670</c:v>
                </c:pt>
                <c:pt idx="9">
                  <c:v>162990</c:v>
                </c:pt>
                <c:pt idx="10">
                  <c:v>173013.53333333333</c:v>
                </c:pt>
                <c:pt idx="11">
                  <c:v>185189.57575757575</c:v>
                </c:pt>
                <c:pt idx="12">
                  <c:v>197365.61818181816</c:v>
                </c:pt>
                <c:pt idx="13">
                  <c:v>209541.66060606064</c:v>
                </c:pt>
                <c:pt idx="14">
                  <c:v>221717.70303030306</c:v>
                </c:pt>
              </c:numCache>
            </c:numRef>
          </c:val>
          <c:extLst>
            <c:ext xmlns:c16="http://schemas.microsoft.com/office/drawing/2014/chart" uri="{C3380CC4-5D6E-409C-BE32-E72D297353CC}">
              <c16:uniqueId val="{00000000-455F-4419-BBF2-5999771F62E7}"/>
            </c:ext>
          </c:extLst>
        </c:ser>
        <c:dLbls>
          <c:showLegendKey val="0"/>
          <c:showVal val="0"/>
          <c:showCatName val="0"/>
          <c:showSerName val="0"/>
          <c:showPercent val="0"/>
          <c:showBubbleSize val="0"/>
        </c:dLbls>
        <c:gapWidth val="75"/>
        <c:overlap val="100"/>
        <c:axId val="1732650128"/>
        <c:axId val="1732652048"/>
      </c:barChart>
      <c:lineChart>
        <c:grouping val="standard"/>
        <c:varyColors val="0"/>
        <c:ser>
          <c:idx val="1"/>
          <c:order val="1"/>
          <c:spPr>
            <a:ln w="28575" cap="rnd">
              <a:solidFill>
                <a:schemeClr val="accent2"/>
              </a:solidFill>
              <a:round/>
            </a:ln>
            <a:effectLst/>
          </c:spPr>
          <c:marker>
            <c:symbol val="none"/>
          </c:marker>
          <c:val>
            <c:numRef>
              <c:f>Forcasting!$E$14:$E$28</c:f>
              <c:numCache>
                <c:formatCode>0.00%</c:formatCode>
                <c:ptCount val="15"/>
                <c:pt idx="0" formatCode="General">
                  <c:v>0</c:v>
                </c:pt>
                <c:pt idx="1">
                  <c:v>9.67793597155715E-2</c:v>
                </c:pt>
                <c:pt idx="2">
                  <c:v>2.9758775772443125E-2</c:v>
                </c:pt>
                <c:pt idx="3">
                  <c:v>0.17232920223476356</c:v>
                </c:pt>
                <c:pt idx="4">
                  <c:v>9.8167523435137571E-2</c:v>
                </c:pt>
                <c:pt idx="5">
                  <c:v>0.10662951173574475</c:v>
                </c:pt>
                <c:pt idx="6">
                  <c:v>0.21069551715900947</c:v>
                </c:pt>
                <c:pt idx="7">
                  <c:v>0.20655864387829759</c:v>
                </c:pt>
                <c:pt idx="8">
                  <c:v>4.7033733741236095E-2</c:v>
                </c:pt>
                <c:pt idx="9">
                  <c:v>6.0649443612936782E-2</c:v>
                </c:pt>
                <c:pt idx="10">
                  <c:v>6.1497842403419378E-2</c:v>
                </c:pt>
                <c:pt idx="11">
                  <c:v>7.0376242769307984E-2</c:v>
                </c:pt>
                <c:pt idx="12">
                  <c:v>6.5749070240225471E-2</c:v>
                </c:pt>
                <c:pt idx="13">
                  <c:v>6.1692824395714219E-2</c:v>
                </c:pt>
                <c:pt idx="14">
                  <c:v>5.8107979048297453E-2</c:v>
                </c:pt>
              </c:numCache>
            </c:numRef>
          </c:val>
          <c:smooth val="0"/>
          <c:extLst>
            <c:ext xmlns:c16="http://schemas.microsoft.com/office/drawing/2014/chart" uri="{C3380CC4-5D6E-409C-BE32-E72D297353CC}">
              <c16:uniqueId val="{00000001-455F-4419-BBF2-5999771F62E7}"/>
            </c:ext>
          </c:extLst>
        </c:ser>
        <c:dLbls>
          <c:showLegendKey val="0"/>
          <c:showVal val="0"/>
          <c:showCatName val="0"/>
          <c:showSerName val="0"/>
          <c:showPercent val="0"/>
          <c:showBubbleSize val="0"/>
        </c:dLbls>
        <c:marker val="1"/>
        <c:smooth val="0"/>
        <c:axId val="1247522224"/>
        <c:axId val="1247521264"/>
      </c:lineChart>
      <c:catAx>
        <c:axId val="173265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2652048"/>
        <c:crosses val="autoZero"/>
        <c:auto val="1"/>
        <c:lblAlgn val="ctr"/>
        <c:lblOffset val="100"/>
        <c:noMultiLvlLbl val="0"/>
      </c:catAx>
      <c:valAx>
        <c:axId val="1732652048"/>
        <c:scaling>
          <c:orientation val="minMax"/>
        </c:scaling>
        <c:delete val="0"/>
        <c:axPos val="l"/>
        <c:numFmt formatCode="[$₹-4009]\ #,##0.0;\ \(\₹#,##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2650128"/>
        <c:crosses val="autoZero"/>
        <c:crossBetween val="between"/>
      </c:valAx>
      <c:valAx>
        <c:axId val="12475212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7522224"/>
        <c:crosses val="max"/>
        <c:crossBetween val="between"/>
      </c:valAx>
      <c:catAx>
        <c:axId val="1247522224"/>
        <c:scaling>
          <c:orientation val="minMax"/>
        </c:scaling>
        <c:delete val="1"/>
        <c:axPos val="b"/>
        <c:majorTickMark val="out"/>
        <c:minorTickMark val="none"/>
        <c:tickLblPos val="nextTo"/>
        <c:crossAx val="1247521264"/>
        <c:crosses val="autoZero"/>
        <c:auto val="1"/>
        <c:lblAlgn val="ctr"/>
        <c:lblOffset val="100"/>
        <c:noMultiLvlLbl val="0"/>
      </c:cat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EBITDA</a:t>
            </a:r>
            <a:r>
              <a:rPr lang="en-IN" b="1" baseline="0"/>
              <a:t> Forecasting</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4"/>
            </a:solidFill>
            <a:ln>
              <a:solidFill>
                <a:schemeClr val="accent4"/>
              </a:solidFill>
            </a:ln>
            <a:effectLst/>
          </c:spPr>
          <c:invertIfNegative val="0"/>
          <c:dPt>
            <c:idx val="10"/>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2-5313-4B87-9D34-1AAB90A5187D}"/>
              </c:ext>
            </c:extLst>
          </c:dPt>
          <c:dPt>
            <c:idx val="11"/>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3-5313-4B87-9D34-1AAB90A5187D}"/>
              </c:ext>
            </c:extLst>
          </c:dPt>
          <c:dPt>
            <c:idx val="12"/>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4-5313-4B87-9D34-1AAB90A5187D}"/>
              </c:ext>
            </c:extLst>
          </c:dPt>
          <c:dPt>
            <c:idx val="13"/>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5-5313-4B87-9D34-1AAB90A5187D}"/>
              </c:ext>
            </c:extLst>
          </c:dPt>
          <c:dPt>
            <c:idx val="14"/>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6-5313-4B87-9D34-1AAB90A5187D}"/>
              </c:ext>
            </c:extLst>
          </c:dPt>
          <c:val>
            <c:numRef>
              <c:f>Forcasting!$D$32:$D$46</c:f>
              <c:numCache>
                <c:formatCode>[$₹-4009]\ #,##0.0;\ \(\₹#,##0.0\)</c:formatCode>
                <c:ptCount val="15"/>
                <c:pt idx="0">
                  <c:v>17079</c:v>
                </c:pt>
                <c:pt idx="1">
                  <c:v>18604</c:v>
                </c:pt>
                <c:pt idx="2">
                  <c:v>18822</c:v>
                </c:pt>
                <c:pt idx="3">
                  <c:v>20170</c:v>
                </c:pt>
                <c:pt idx="4">
                  <c:v>22267</c:v>
                </c:pt>
                <c:pt idx="5">
                  <c:v>27889</c:v>
                </c:pt>
                <c:pt idx="6">
                  <c:v>31491</c:v>
                </c:pt>
                <c:pt idx="7">
                  <c:v>35130</c:v>
                </c:pt>
                <c:pt idx="8">
                  <c:v>36425</c:v>
                </c:pt>
                <c:pt idx="9">
                  <c:v>39236</c:v>
                </c:pt>
                <c:pt idx="10">
                  <c:v>41554.133333333331</c:v>
                </c:pt>
                <c:pt idx="11">
                  <c:v>44252.8303030303</c:v>
                </c:pt>
                <c:pt idx="12">
                  <c:v>46951.527272727268</c:v>
                </c:pt>
                <c:pt idx="13">
                  <c:v>49650.224242424243</c:v>
                </c:pt>
                <c:pt idx="14">
                  <c:v>52348.921212121211</c:v>
                </c:pt>
              </c:numCache>
            </c:numRef>
          </c:val>
          <c:extLst>
            <c:ext xmlns:c16="http://schemas.microsoft.com/office/drawing/2014/chart" uri="{C3380CC4-5D6E-409C-BE32-E72D297353CC}">
              <c16:uniqueId val="{00000000-5313-4B87-9D34-1AAB90A5187D}"/>
            </c:ext>
          </c:extLst>
        </c:ser>
        <c:dLbls>
          <c:showLegendKey val="0"/>
          <c:showVal val="0"/>
          <c:showCatName val="0"/>
          <c:showSerName val="0"/>
          <c:showPercent val="0"/>
          <c:showBubbleSize val="0"/>
        </c:dLbls>
        <c:gapWidth val="75"/>
        <c:overlap val="-25"/>
        <c:axId val="1840753728"/>
        <c:axId val="1840758048"/>
      </c:barChart>
      <c:lineChart>
        <c:grouping val="standard"/>
        <c:varyColors val="0"/>
        <c:ser>
          <c:idx val="1"/>
          <c:order val="1"/>
          <c:spPr>
            <a:ln w="28575" cap="rnd">
              <a:solidFill>
                <a:schemeClr val="accent2"/>
              </a:solidFill>
              <a:round/>
            </a:ln>
            <a:effectLst/>
          </c:spPr>
          <c:marker>
            <c:symbol val="none"/>
          </c:marker>
          <c:val>
            <c:numRef>
              <c:f>Forcasting!$E$32:$E$46</c:f>
              <c:numCache>
                <c:formatCode>0.00%</c:formatCode>
                <c:ptCount val="15"/>
                <c:pt idx="0" formatCode="General">
                  <c:v>0</c:v>
                </c:pt>
                <c:pt idx="1">
                  <c:v>8.9290942092628445E-2</c:v>
                </c:pt>
                <c:pt idx="2">
                  <c:v>1.1717910126854525E-2</c:v>
                </c:pt>
                <c:pt idx="3">
                  <c:v>7.1618318988417862E-2</c:v>
                </c:pt>
                <c:pt idx="4">
                  <c:v>0.10396628656420437</c:v>
                </c:pt>
                <c:pt idx="5">
                  <c:v>0.25248125028068436</c:v>
                </c:pt>
                <c:pt idx="6">
                  <c:v>0.12915486392484499</c:v>
                </c:pt>
                <c:pt idx="7">
                  <c:v>0.1155568257597408</c:v>
                </c:pt>
                <c:pt idx="8">
                  <c:v>3.6863079988613823E-2</c:v>
                </c:pt>
                <c:pt idx="9">
                  <c:v>7.7172271791352109E-2</c:v>
                </c:pt>
                <c:pt idx="10">
                  <c:v>5.9081795629863709E-2</c:v>
                </c:pt>
                <c:pt idx="11">
                  <c:v>6.4944128374641474E-2</c:v>
                </c:pt>
                <c:pt idx="12">
                  <c:v>6.0983601528243225E-2</c:v>
                </c:pt>
                <c:pt idx="13">
                  <c:v>5.7478363888379125E-2</c:v>
                </c:pt>
                <c:pt idx="14">
                  <c:v>5.4354174847634162E-2</c:v>
                </c:pt>
              </c:numCache>
            </c:numRef>
          </c:val>
          <c:smooth val="0"/>
          <c:extLst>
            <c:ext xmlns:c16="http://schemas.microsoft.com/office/drawing/2014/chart" uri="{C3380CC4-5D6E-409C-BE32-E72D297353CC}">
              <c16:uniqueId val="{00000001-5313-4B87-9D34-1AAB90A5187D}"/>
            </c:ext>
          </c:extLst>
        </c:ser>
        <c:dLbls>
          <c:showLegendKey val="0"/>
          <c:showVal val="0"/>
          <c:showCatName val="0"/>
          <c:showSerName val="0"/>
          <c:showPercent val="0"/>
          <c:showBubbleSize val="0"/>
        </c:dLbls>
        <c:marker val="1"/>
        <c:smooth val="0"/>
        <c:axId val="1733335296"/>
        <c:axId val="1840751328"/>
      </c:lineChart>
      <c:catAx>
        <c:axId val="184075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0758048"/>
        <c:crosses val="autoZero"/>
        <c:auto val="1"/>
        <c:lblAlgn val="ctr"/>
        <c:lblOffset val="100"/>
        <c:noMultiLvlLbl val="0"/>
      </c:catAx>
      <c:valAx>
        <c:axId val="1840758048"/>
        <c:scaling>
          <c:orientation val="minMax"/>
        </c:scaling>
        <c:delete val="0"/>
        <c:axPos val="l"/>
        <c:numFmt formatCode="[$₹-4009]\ #,##0.0;\ \(\₹#,##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0753728"/>
        <c:crosses val="autoZero"/>
        <c:crossBetween val="between"/>
      </c:valAx>
      <c:valAx>
        <c:axId val="184075132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3335296"/>
        <c:crosses val="max"/>
        <c:crossBetween val="between"/>
      </c:valAx>
      <c:catAx>
        <c:axId val="1733335296"/>
        <c:scaling>
          <c:orientation val="minMax"/>
        </c:scaling>
        <c:delete val="1"/>
        <c:axPos val="b"/>
        <c:majorTickMark val="none"/>
        <c:minorTickMark val="none"/>
        <c:tickLblPos val="nextTo"/>
        <c:crossAx val="1840751328"/>
        <c:crosses val="autoZero"/>
        <c:auto val="1"/>
        <c:lblAlgn val="ctr"/>
        <c:lblOffset val="100"/>
        <c:noMultiLvlLbl val="0"/>
      </c:cat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EPS</a:t>
            </a:r>
            <a:r>
              <a:rPr lang="en-IN" b="1" baseline="0"/>
              <a:t> Forecasting</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4"/>
            </a:solidFill>
            <a:ln>
              <a:noFill/>
            </a:ln>
            <a:effectLst/>
          </c:spPr>
          <c:invertIfNegative val="0"/>
          <c:dPt>
            <c:idx val="10"/>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2-9A20-45CB-B7C8-C46B11C6DBA5}"/>
              </c:ext>
            </c:extLst>
          </c:dPt>
          <c:dPt>
            <c:idx val="11"/>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9-9A20-45CB-B7C8-C46B11C6DBA5}"/>
              </c:ext>
            </c:extLst>
          </c:dPt>
          <c:dPt>
            <c:idx val="12"/>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A-9A20-45CB-B7C8-C46B11C6DBA5}"/>
              </c:ext>
            </c:extLst>
          </c:dPt>
          <c:dPt>
            <c:idx val="13"/>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B-9A20-45CB-B7C8-C46B11C6DBA5}"/>
              </c:ext>
            </c:extLst>
          </c:dPt>
          <c:dPt>
            <c:idx val="14"/>
            <c:invertIfNegative val="0"/>
            <c:bubble3D val="0"/>
            <c:spPr>
              <a:solidFill>
                <a:schemeClr val="accent4">
                  <a:lumMod val="20000"/>
                  <a:lumOff val="80000"/>
                </a:schemeClr>
              </a:solidFill>
              <a:ln w="12700">
                <a:solidFill>
                  <a:schemeClr val="tx1"/>
                </a:solidFill>
              </a:ln>
              <a:effectLst/>
            </c:spPr>
            <c:extLst>
              <c:ext xmlns:c16="http://schemas.microsoft.com/office/drawing/2014/chart" uri="{C3380CC4-5D6E-409C-BE32-E72D297353CC}">
                <c16:uniqueId val="{0000000C-9A20-45CB-B7C8-C46B11C6DBA5}"/>
              </c:ext>
            </c:extLst>
          </c:dPt>
          <c:val>
            <c:numRef>
              <c:f>Forcasting!$D$50:$D$64</c:f>
              <c:numCache>
                <c:formatCode>[$₹-4009]\ #,##0.0;[$₹-4009]\ \-#,##0.0</c:formatCode>
                <c:ptCount val="15"/>
                <c:pt idx="0">
                  <c:v>29.362850736846688</c:v>
                </c:pt>
                <c:pt idx="1">
                  <c:v>31.243605650971944</c:v>
                </c:pt>
                <c:pt idx="2">
                  <c:v>36.694748408955633</c:v>
                </c:pt>
                <c:pt idx="3">
                  <c:v>35.272036439378333</c:v>
                </c:pt>
                <c:pt idx="4">
                  <c:v>39.067856304296782</c:v>
                </c:pt>
                <c:pt idx="5">
                  <c:v>45.586405989626115</c:v>
                </c:pt>
                <c:pt idx="6">
                  <c:v>52.644590771863932</c:v>
                </c:pt>
                <c:pt idx="7">
                  <c:v>58.11117003326423</c:v>
                </c:pt>
                <c:pt idx="8">
                  <c:v>63.234479269556005</c:v>
                </c:pt>
                <c:pt idx="9">
                  <c:v>64.406616425492984</c:v>
                </c:pt>
                <c:pt idx="10">
                  <c:v>69.064046914099748</c:v>
                </c:pt>
                <c:pt idx="11">
                  <c:v>73.337067079749659</c:v>
                </c:pt>
                <c:pt idx="12">
                  <c:v>77.610087245399555</c:v>
                </c:pt>
                <c:pt idx="13">
                  <c:v>81.883107411049451</c:v>
                </c:pt>
                <c:pt idx="14">
                  <c:v>86.156127576699362</c:v>
                </c:pt>
              </c:numCache>
            </c:numRef>
          </c:val>
          <c:extLst>
            <c:ext xmlns:c16="http://schemas.microsoft.com/office/drawing/2014/chart" uri="{C3380CC4-5D6E-409C-BE32-E72D297353CC}">
              <c16:uniqueId val="{00000000-9A20-45CB-B7C8-C46B11C6DBA5}"/>
            </c:ext>
          </c:extLst>
        </c:ser>
        <c:dLbls>
          <c:showLegendKey val="0"/>
          <c:showVal val="0"/>
          <c:showCatName val="0"/>
          <c:showSerName val="0"/>
          <c:showPercent val="0"/>
          <c:showBubbleSize val="0"/>
        </c:dLbls>
        <c:gapWidth val="75"/>
        <c:overlap val="-25"/>
        <c:axId val="1925953744"/>
        <c:axId val="1925950384"/>
      </c:barChart>
      <c:lineChart>
        <c:grouping val="standard"/>
        <c:varyColors val="0"/>
        <c:ser>
          <c:idx val="1"/>
          <c:order val="1"/>
          <c:spPr>
            <a:ln w="28575" cap="rnd">
              <a:solidFill>
                <a:schemeClr val="accent2"/>
              </a:solidFill>
              <a:round/>
            </a:ln>
            <a:effectLst/>
          </c:spPr>
          <c:marker>
            <c:symbol val="none"/>
          </c:marker>
          <c:val>
            <c:numRef>
              <c:f>Forcasting!$E$50:$E$64</c:f>
              <c:numCache>
                <c:formatCode>0.00%</c:formatCode>
                <c:ptCount val="15"/>
                <c:pt idx="0" formatCode="General">
                  <c:v>0</c:v>
                </c:pt>
                <c:pt idx="1">
                  <c:v>6.4052190673882459E-2</c:v>
                </c:pt>
                <c:pt idx="2">
                  <c:v>0.17447226862608001</c:v>
                </c:pt>
                <c:pt idx="3">
                  <c:v>-3.8771541740018511E-2</c:v>
                </c:pt>
                <c:pt idx="4">
                  <c:v>0.10761555748113061</c:v>
                </c:pt>
                <c:pt idx="5">
                  <c:v>0.16685199296723141</c:v>
                </c:pt>
                <c:pt idx="6">
                  <c:v>0.15483091129939086</c:v>
                </c:pt>
                <c:pt idx="7">
                  <c:v>0.10383933432192105</c:v>
                </c:pt>
                <c:pt idx="8">
                  <c:v>8.8163931880205881E-2</c:v>
                </c:pt>
                <c:pt idx="9">
                  <c:v>1.8536361324972717E-2</c:v>
                </c:pt>
                <c:pt idx="10">
                  <c:v>7.2312919806842846E-2</c:v>
                </c:pt>
                <c:pt idx="11">
                  <c:v>6.1870399383989083E-2</c:v>
                </c:pt>
                <c:pt idx="12">
                  <c:v>5.8265490232971118E-2</c:v>
                </c:pt>
                <c:pt idx="13">
                  <c:v>5.5057535912036881E-2</c:v>
                </c:pt>
                <c:pt idx="14">
                  <c:v>5.2184391881948899E-2</c:v>
                </c:pt>
              </c:numCache>
            </c:numRef>
          </c:val>
          <c:smooth val="0"/>
          <c:extLst>
            <c:ext xmlns:c16="http://schemas.microsoft.com/office/drawing/2014/chart" uri="{C3380CC4-5D6E-409C-BE32-E72D297353CC}">
              <c16:uniqueId val="{00000001-9A20-45CB-B7C8-C46B11C6DBA5}"/>
            </c:ext>
          </c:extLst>
        </c:ser>
        <c:dLbls>
          <c:showLegendKey val="0"/>
          <c:showVal val="0"/>
          <c:showCatName val="0"/>
          <c:showSerName val="0"/>
          <c:showPercent val="0"/>
          <c:showBubbleSize val="0"/>
        </c:dLbls>
        <c:marker val="1"/>
        <c:smooth val="0"/>
        <c:axId val="1925950864"/>
        <c:axId val="1925941264"/>
      </c:lineChart>
      <c:catAx>
        <c:axId val="192595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5950384"/>
        <c:crosses val="autoZero"/>
        <c:auto val="1"/>
        <c:lblAlgn val="ctr"/>
        <c:lblOffset val="100"/>
        <c:noMultiLvlLbl val="0"/>
      </c:catAx>
      <c:valAx>
        <c:axId val="1925950384"/>
        <c:scaling>
          <c:orientation val="minMax"/>
        </c:scaling>
        <c:delete val="0"/>
        <c:axPos val="l"/>
        <c:numFmt formatCode="[$₹-4009]\ #,##0.0;[$₹-4009]\ \-#,##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5953744"/>
        <c:crosses val="autoZero"/>
        <c:crossBetween val="between"/>
      </c:valAx>
      <c:valAx>
        <c:axId val="192594126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5950864"/>
        <c:crosses val="max"/>
        <c:crossBetween val="between"/>
      </c:valAx>
      <c:catAx>
        <c:axId val="1925950864"/>
        <c:scaling>
          <c:orientation val="minMax"/>
        </c:scaling>
        <c:delete val="1"/>
        <c:axPos val="b"/>
        <c:majorTickMark val="none"/>
        <c:minorTickMark val="none"/>
        <c:tickLblPos val="nextTo"/>
        <c:crossAx val="1925941264"/>
        <c:crosses val="autoZero"/>
        <c:auto val="1"/>
        <c:lblAlgn val="ctr"/>
        <c:lblOffset val="100"/>
        <c:noMultiLvlLbl val="0"/>
      </c:cat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Football Field Analysis - Valuation Summary (INR)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'Football Field'!$M$13</c:f>
              <c:strCache>
                <c:ptCount val="1"/>
                <c:pt idx="0">
                  <c:v>OpenLow</c:v>
                </c:pt>
              </c:strCache>
            </c:strRef>
          </c:tx>
          <c:spPr>
            <a:ln w="38100" cap="rnd">
              <a:noFill/>
              <a:round/>
            </a:ln>
            <a:effectLst/>
          </c:spPr>
          <c:marker>
            <c:symbol val="none"/>
          </c:marker>
          <c:dLbls>
            <c:delete val="1"/>
          </c:dLbls>
          <c:cat>
            <c:strRef>
              <c:f>'Football Field'!$L$14:$L$18</c:f>
              <c:strCache>
                <c:ptCount val="5"/>
                <c:pt idx="0">
                  <c:v>Comps.</c:v>
                </c:pt>
                <c:pt idx="1">
                  <c:v>DCF Bear</c:v>
                </c:pt>
                <c:pt idx="2">
                  <c:v>DCF Base</c:v>
                </c:pt>
                <c:pt idx="3">
                  <c:v>DCF Bull</c:v>
                </c:pt>
                <c:pt idx="4">
                  <c:v>52W H/L</c:v>
                </c:pt>
              </c:strCache>
            </c:strRef>
          </c:cat>
          <c:val>
            <c:numRef>
              <c:f>'Football Field'!$M$14:$M$18</c:f>
              <c:numCache>
                <c:formatCode>General</c:formatCode>
                <c:ptCount val="5"/>
                <c:pt idx="0">
                  <c:v>1517</c:v>
                </c:pt>
                <c:pt idx="1">
                  <c:v>654</c:v>
                </c:pt>
                <c:pt idx="2">
                  <c:v>701</c:v>
                </c:pt>
                <c:pt idx="3">
                  <c:v>793</c:v>
                </c:pt>
                <c:pt idx="4">
                  <c:v>1215</c:v>
                </c:pt>
              </c:numCache>
            </c:numRef>
          </c:val>
          <c:smooth val="0"/>
          <c:extLst>
            <c:ext xmlns:c16="http://schemas.microsoft.com/office/drawing/2014/chart" uri="{C3380CC4-5D6E-409C-BE32-E72D297353CC}">
              <c16:uniqueId val="{00000000-4782-49AD-976E-4BE6EEC60816}"/>
            </c:ext>
          </c:extLst>
        </c:ser>
        <c:ser>
          <c:idx val="1"/>
          <c:order val="1"/>
          <c:tx>
            <c:strRef>
              <c:f>'Football Field'!$N$13</c:f>
              <c:strCache>
                <c:ptCount val="1"/>
                <c:pt idx="0">
                  <c:v>Low</c:v>
                </c:pt>
              </c:strCache>
            </c:strRef>
          </c:tx>
          <c:spPr>
            <a:ln w="38100" cap="rnd">
              <a:noFill/>
              <a:round/>
            </a:ln>
            <a:effectLst/>
          </c:spPr>
          <c:marker>
            <c:symbol val="none"/>
          </c:marker>
          <c:dLbls>
            <c:numFmt formatCode="[$₹-4009]\ #,##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Field'!$L$14:$L$18</c:f>
              <c:strCache>
                <c:ptCount val="5"/>
                <c:pt idx="0">
                  <c:v>Comps.</c:v>
                </c:pt>
                <c:pt idx="1">
                  <c:v>DCF Bear</c:v>
                </c:pt>
                <c:pt idx="2">
                  <c:v>DCF Base</c:v>
                </c:pt>
                <c:pt idx="3">
                  <c:v>DCF Bull</c:v>
                </c:pt>
                <c:pt idx="4">
                  <c:v>52W H/L</c:v>
                </c:pt>
              </c:strCache>
            </c:strRef>
          </c:cat>
          <c:val>
            <c:numRef>
              <c:f>'Football Field'!$N$14:$N$18</c:f>
              <c:numCache>
                <c:formatCode>General</c:formatCode>
                <c:ptCount val="5"/>
                <c:pt idx="0">
                  <c:v>1517</c:v>
                </c:pt>
                <c:pt idx="1">
                  <c:v>654</c:v>
                </c:pt>
                <c:pt idx="2">
                  <c:v>701</c:v>
                </c:pt>
                <c:pt idx="3">
                  <c:v>793</c:v>
                </c:pt>
                <c:pt idx="4">
                  <c:v>1215</c:v>
                </c:pt>
              </c:numCache>
            </c:numRef>
          </c:val>
          <c:smooth val="0"/>
          <c:extLst>
            <c:ext xmlns:c16="http://schemas.microsoft.com/office/drawing/2014/chart" uri="{C3380CC4-5D6E-409C-BE32-E72D297353CC}">
              <c16:uniqueId val="{00000001-4782-49AD-976E-4BE6EEC60816}"/>
            </c:ext>
          </c:extLst>
        </c:ser>
        <c:ser>
          <c:idx val="2"/>
          <c:order val="2"/>
          <c:tx>
            <c:strRef>
              <c:f>'Football Field'!$O$13</c:f>
              <c:strCache>
                <c:ptCount val="1"/>
                <c:pt idx="0">
                  <c:v>OpenHigh</c:v>
                </c:pt>
              </c:strCache>
            </c:strRef>
          </c:tx>
          <c:spPr>
            <a:ln w="38100" cap="rnd">
              <a:noFill/>
              <a:round/>
            </a:ln>
            <a:effectLst/>
          </c:spPr>
          <c:marker>
            <c:symbol val="none"/>
          </c:marker>
          <c:dLbls>
            <c:delete val="1"/>
          </c:dLbls>
          <c:cat>
            <c:strRef>
              <c:f>'Football Field'!$L$14:$L$18</c:f>
              <c:strCache>
                <c:ptCount val="5"/>
                <c:pt idx="0">
                  <c:v>Comps.</c:v>
                </c:pt>
                <c:pt idx="1">
                  <c:v>DCF Bear</c:v>
                </c:pt>
                <c:pt idx="2">
                  <c:v>DCF Base</c:v>
                </c:pt>
                <c:pt idx="3">
                  <c:v>DCF Bull</c:v>
                </c:pt>
                <c:pt idx="4">
                  <c:v>52W H/L</c:v>
                </c:pt>
              </c:strCache>
            </c:strRef>
          </c:cat>
          <c:val>
            <c:numRef>
              <c:f>'Football Field'!$O$14:$O$18</c:f>
              <c:numCache>
                <c:formatCode>General</c:formatCode>
                <c:ptCount val="5"/>
                <c:pt idx="0">
                  <c:v>2537</c:v>
                </c:pt>
                <c:pt idx="1">
                  <c:v>859</c:v>
                </c:pt>
                <c:pt idx="2">
                  <c:v>962</c:v>
                </c:pt>
                <c:pt idx="3">
                  <c:v>1193</c:v>
                </c:pt>
                <c:pt idx="4">
                  <c:v>1728</c:v>
                </c:pt>
              </c:numCache>
            </c:numRef>
          </c:val>
          <c:smooth val="0"/>
          <c:extLst>
            <c:ext xmlns:c16="http://schemas.microsoft.com/office/drawing/2014/chart" uri="{C3380CC4-5D6E-409C-BE32-E72D297353CC}">
              <c16:uniqueId val="{00000002-4782-49AD-976E-4BE6EEC60816}"/>
            </c:ext>
          </c:extLst>
        </c:ser>
        <c:ser>
          <c:idx val="3"/>
          <c:order val="3"/>
          <c:tx>
            <c:strRef>
              <c:f>'Football Field'!$P$13</c:f>
              <c:strCache>
                <c:ptCount val="1"/>
                <c:pt idx="0">
                  <c:v>High</c:v>
                </c:pt>
              </c:strCache>
            </c:strRef>
          </c:tx>
          <c:spPr>
            <a:ln w="38100" cap="rnd">
              <a:noFill/>
              <a:round/>
            </a:ln>
            <a:effectLst/>
          </c:spPr>
          <c:marker>
            <c:symbol val="none"/>
          </c:marker>
          <c:dLbls>
            <c:numFmt formatCode="[$₹-4009]\ #,##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Field'!$L$14:$L$18</c:f>
              <c:strCache>
                <c:ptCount val="5"/>
                <c:pt idx="0">
                  <c:v>Comps.</c:v>
                </c:pt>
                <c:pt idx="1">
                  <c:v>DCF Bear</c:v>
                </c:pt>
                <c:pt idx="2">
                  <c:v>DCF Base</c:v>
                </c:pt>
                <c:pt idx="3">
                  <c:v>DCF Bull</c:v>
                </c:pt>
                <c:pt idx="4">
                  <c:v>52W H/L</c:v>
                </c:pt>
              </c:strCache>
            </c:strRef>
          </c:cat>
          <c:val>
            <c:numRef>
              <c:f>'Football Field'!$P$14:$P$18</c:f>
              <c:numCache>
                <c:formatCode>General</c:formatCode>
                <c:ptCount val="5"/>
                <c:pt idx="0">
                  <c:v>2537</c:v>
                </c:pt>
                <c:pt idx="1">
                  <c:v>859</c:v>
                </c:pt>
                <c:pt idx="2">
                  <c:v>962</c:v>
                </c:pt>
                <c:pt idx="3">
                  <c:v>1193</c:v>
                </c:pt>
                <c:pt idx="4">
                  <c:v>1728</c:v>
                </c:pt>
              </c:numCache>
            </c:numRef>
          </c:val>
          <c:smooth val="0"/>
          <c:extLst>
            <c:ext xmlns:c16="http://schemas.microsoft.com/office/drawing/2014/chart" uri="{C3380CC4-5D6E-409C-BE32-E72D297353CC}">
              <c16:uniqueId val="{00000003-4782-49AD-976E-4BE6EEC60816}"/>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accent4"/>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642624591"/>
        <c:axId val="642625071"/>
      </c:stockChart>
      <c:catAx>
        <c:axId val="6426245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2625071"/>
        <c:crosses val="autoZero"/>
        <c:auto val="1"/>
        <c:lblAlgn val="ctr"/>
        <c:lblOffset val="100"/>
        <c:noMultiLvlLbl val="0"/>
      </c:catAx>
      <c:valAx>
        <c:axId val="64262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426245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4-AE58-4002-BFFD-9719DF5C6F85}"/>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AE58-4002-BFFD-9719DF5C6F85}"/>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2-AE58-4002-BFFD-9719DF5C6F8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Dupont!$F$60:$I$60</c:f>
              <c:numCache>
                <c:formatCode>[$-409]mmm/yy;@</c:formatCode>
                <c:ptCount val="4"/>
                <c:pt idx="0">
                  <c:v>44651</c:v>
                </c:pt>
                <c:pt idx="1">
                  <c:v>45016</c:v>
                </c:pt>
                <c:pt idx="2">
                  <c:v>45382</c:v>
                </c:pt>
                <c:pt idx="3">
                  <c:v>45747</c:v>
                </c:pt>
              </c:numCache>
            </c:numRef>
          </c:cat>
          <c:val>
            <c:numRef>
              <c:f>Dupont!$F$62:$I$62</c:f>
              <c:numCache>
                <c:formatCode>#,##0.0</c:formatCode>
                <c:ptCount val="4"/>
                <c:pt idx="0">
                  <c:v>121641</c:v>
                </c:pt>
                <c:pt idx="1">
                  <c:v>146767</c:v>
                </c:pt>
                <c:pt idx="2">
                  <c:v>153670</c:v>
                </c:pt>
                <c:pt idx="3">
                  <c:v>162990</c:v>
                </c:pt>
              </c:numCache>
            </c:numRef>
          </c:val>
          <c:extLst>
            <c:ext xmlns:c16="http://schemas.microsoft.com/office/drawing/2014/chart" uri="{C3380CC4-5D6E-409C-BE32-E72D297353CC}">
              <c16:uniqueId val="{00000000-AE58-4002-BFFD-9719DF5C6F85}"/>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02417685166633"/>
          <c:y val="0.13886146462505797"/>
          <c:w val="0.82108420156281314"/>
          <c:h val="0.68681240581507319"/>
        </c:manualLayout>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7E15-44FA-8AD1-FA4A0E523E4A}"/>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7E15-44FA-8AD1-FA4A0E523E4A}"/>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7E15-44FA-8AD1-FA4A0E523E4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Dupont!$F$60:$I$60</c:f>
              <c:numCache>
                <c:formatCode>[$-409]mmm/yy;@</c:formatCode>
                <c:ptCount val="4"/>
                <c:pt idx="0">
                  <c:v>44651</c:v>
                </c:pt>
                <c:pt idx="1">
                  <c:v>45016</c:v>
                </c:pt>
                <c:pt idx="2">
                  <c:v>45382</c:v>
                </c:pt>
                <c:pt idx="3">
                  <c:v>45747</c:v>
                </c:pt>
              </c:numCache>
            </c:numRef>
          </c:cat>
          <c:val>
            <c:numRef>
              <c:f>Dupont!$F$61:$I$61</c:f>
              <c:numCache>
                <c:formatCode>#,##0.0</c:formatCode>
                <c:ptCount val="4"/>
                <c:pt idx="0">
                  <c:v>22146</c:v>
                </c:pt>
                <c:pt idx="1">
                  <c:v>24108</c:v>
                </c:pt>
                <c:pt idx="2">
                  <c:v>26248</c:v>
                </c:pt>
                <c:pt idx="3">
                  <c:v>26750</c:v>
                </c:pt>
              </c:numCache>
            </c:numRef>
          </c:val>
          <c:extLst>
            <c:ext xmlns:c16="http://schemas.microsoft.com/office/drawing/2014/chart" uri="{C3380CC4-5D6E-409C-BE32-E72D297353CC}">
              <c16:uniqueId val="{00000006-7E15-44FA-8AD1-FA4A0E523E4A}"/>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91659618385812E-2"/>
          <c:y val="7.2527601178145204E-2"/>
          <c:w val="0.85421668076322832"/>
          <c:h val="0.73398931788362176"/>
        </c:manualLayout>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7D5E-4E65-9310-1386D81FF83D}"/>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7D5E-4E65-9310-1386D81FF83D}"/>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7D5E-4E65-9310-1386D81FF83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Dupont!$F$60:$I$60</c:f>
              <c:numCache>
                <c:formatCode>[$-409]mmm/yy;@</c:formatCode>
                <c:ptCount val="4"/>
                <c:pt idx="0">
                  <c:v>44651</c:v>
                </c:pt>
                <c:pt idx="1">
                  <c:v>45016</c:v>
                </c:pt>
                <c:pt idx="2">
                  <c:v>45382</c:v>
                </c:pt>
                <c:pt idx="3">
                  <c:v>45747</c:v>
                </c:pt>
              </c:numCache>
            </c:numRef>
          </c:cat>
          <c:val>
            <c:numRef>
              <c:f>Dupont!$F$69:$I$69</c:f>
              <c:numCache>
                <c:formatCode>#,##0.0</c:formatCode>
                <c:ptCount val="4"/>
                <c:pt idx="0">
                  <c:v>112120</c:v>
                </c:pt>
                <c:pt idx="1">
                  <c:v>120662.5</c:v>
                </c:pt>
                <c:pt idx="2">
                  <c:v>130978</c:v>
                </c:pt>
                <c:pt idx="3">
                  <c:v>142577.5</c:v>
                </c:pt>
              </c:numCache>
            </c:numRef>
          </c:val>
          <c:extLst>
            <c:ext xmlns:c16="http://schemas.microsoft.com/office/drawing/2014/chart" uri="{C3380CC4-5D6E-409C-BE32-E72D297353CC}">
              <c16:uniqueId val="{00000006-7D5E-4E65-9310-1386D81FF83D}"/>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3392-4DBF-B4D8-0660551A46DA}"/>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3392-4DBF-B4D8-0660551A46DA}"/>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3392-4DBF-B4D8-0660551A46D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Dupont!$F$60:$I$60</c:f>
              <c:numCache>
                <c:formatCode>[$-409]mmm/yy;@</c:formatCode>
                <c:ptCount val="4"/>
                <c:pt idx="0">
                  <c:v>44651</c:v>
                </c:pt>
                <c:pt idx="1">
                  <c:v>45016</c:v>
                </c:pt>
                <c:pt idx="2">
                  <c:v>45382</c:v>
                </c:pt>
                <c:pt idx="3">
                  <c:v>45747</c:v>
                </c:pt>
              </c:numCache>
            </c:numRef>
          </c:cat>
          <c:val>
            <c:numRef>
              <c:f>Dupont!$F$73:$I$73</c:f>
              <c:numCache>
                <c:formatCode>0.00%</c:formatCode>
                <c:ptCount val="4"/>
                <c:pt idx="0">
                  <c:v>0.29196907073783301</c:v>
                </c:pt>
                <c:pt idx="1">
                  <c:v>0.31982594506391077</c:v>
                </c:pt>
                <c:pt idx="2">
                  <c:v>0.32103129223411997</c:v>
                </c:pt>
                <c:pt idx="3">
                  <c:v>0.29086520164841739</c:v>
                </c:pt>
              </c:numCache>
            </c:numRef>
          </c:val>
          <c:extLst>
            <c:ext xmlns:c16="http://schemas.microsoft.com/office/drawing/2014/chart" uri="{C3380CC4-5D6E-409C-BE32-E72D297353CC}">
              <c16:uniqueId val="{00000006-3392-4DBF-B4D8-0660551A46DA}"/>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BD45-4171-A24F-AABDBA8E75DB}"/>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BD45-4171-A24F-AABDBA8E75DB}"/>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BD45-4171-A24F-AABDBA8E75D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Dupont!$F$60:$I$60</c:f>
              <c:numCache>
                <c:formatCode>[$-409]mmm/yy;@</c:formatCode>
                <c:ptCount val="4"/>
                <c:pt idx="0">
                  <c:v>44651</c:v>
                </c:pt>
                <c:pt idx="1">
                  <c:v>45016</c:v>
                </c:pt>
                <c:pt idx="2">
                  <c:v>45382</c:v>
                </c:pt>
                <c:pt idx="3">
                  <c:v>45747</c:v>
                </c:pt>
              </c:numCache>
            </c:numRef>
          </c:cat>
          <c:val>
            <c:numRef>
              <c:f>Dupont!$F$79:$I$79</c:f>
              <c:numCache>
                <c:formatCode>0.00%</c:formatCode>
                <c:ptCount val="4"/>
                <c:pt idx="0">
                  <c:v>0.19752051373528362</c:v>
                </c:pt>
                <c:pt idx="1">
                  <c:v>0.1997969543147208</c:v>
                </c:pt>
                <c:pt idx="2">
                  <c:v>0.2004000671868558</c:v>
                </c:pt>
                <c:pt idx="3">
                  <c:v>0.18761726078799248</c:v>
                </c:pt>
              </c:numCache>
            </c:numRef>
          </c:val>
          <c:extLst>
            <c:ext xmlns:c16="http://schemas.microsoft.com/office/drawing/2014/chart" uri="{C3380CC4-5D6E-409C-BE32-E72D297353CC}">
              <c16:uniqueId val="{00000006-BD45-4171-A24F-AABDBA8E75DB}"/>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5DE0-492C-8BE8-8C4170321FC4}"/>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5DE0-492C-8BE8-8C4170321FC4}"/>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5DE0-492C-8BE8-8C4170321F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Dupont!$F$60:$I$60</c:f>
              <c:numCache>
                <c:formatCode>[$-409]mmm/yy;@</c:formatCode>
                <c:ptCount val="4"/>
                <c:pt idx="0">
                  <c:v>44651</c:v>
                </c:pt>
                <c:pt idx="1">
                  <c:v>45016</c:v>
                </c:pt>
                <c:pt idx="2">
                  <c:v>45382</c:v>
                </c:pt>
                <c:pt idx="3">
                  <c:v>45747</c:v>
                </c:pt>
              </c:numCache>
            </c:numRef>
          </c:cat>
          <c:val>
            <c:numRef>
              <c:f>Dupont!$F$71:$I$71</c:f>
              <c:numCache>
                <c:formatCode>0.00\x</c:formatCode>
                <c:ptCount val="4"/>
                <c:pt idx="0">
                  <c:v>1.4781708756039842</c:v>
                </c:pt>
                <c:pt idx="1">
                  <c:v>1.6007548571542283</c:v>
                </c:pt>
                <c:pt idx="2">
                  <c:v>1.6019520189820393</c:v>
                </c:pt>
                <c:pt idx="3">
                  <c:v>1.5503115247860646</c:v>
                </c:pt>
              </c:numCache>
            </c:numRef>
          </c:val>
          <c:extLst>
            <c:ext xmlns:c16="http://schemas.microsoft.com/office/drawing/2014/chart" uri="{C3380CC4-5D6E-409C-BE32-E72D297353CC}">
              <c16:uniqueId val="{00000006-5DE0-492C-8BE8-8C4170321FC4}"/>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x"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55555555555552E-2"/>
          <c:y val="0.10324564020113827"/>
          <c:w val="0.88888888888888884"/>
          <c:h val="0.74314285732152918"/>
        </c:manualLayout>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7195-47D5-A8C1-FA2A5FB37876}"/>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7195-47D5-A8C1-FA2A5FB37876}"/>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7195-47D5-A8C1-FA2A5FB378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score'!$F$54:$I$54</c:f>
              <c:numCache>
                <c:formatCode>[$-409]mmm/yy;@</c:formatCode>
                <c:ptCount val="4"/>
                <c:pt idx="0">
                  <c:v>44651</c:v>
                </c:pt>
                <c:pt idx="1">
                  <c:v>45016</c:v>
                </c:pt>
                <c:pt idx="2">
                  <c:v>45382</c:v>
                </c:pt>
                <c:pt idx="3">
                  <c:v>45747</c:v>
                </c:pt>
              </c:numCache>
            </c:numRef>
          </c:cat>
          <c:val>
            <c:numRef>
              <c:f>'Altman''s Z score'!$F$57:$I$57</c:f>
              <c:numCache>
                <c:formatCode>0.00%</c:formatCode>
                <c:ptCount val="4"/>
                <c:pt idx="0">
                  <c:v>0.29370593425798214</c:v>
                </c:pt>
                <c:pt idx="1">
                  <c:v>0.27862050146072104</c:v>
                </c:pt>
                <c:pt idx="2">
                  <c:v>0.31986750145602794</c:v>
                </c:pt>
                <c:pt idx="3">
                  <c:v>0.32970668831827871</c:v>
                </c:pt>
              </c:numCache>
            </c:numRef>
          </c:val>
          <c:extLst>
            <c:ext xmlns:c16="http://schemas.microsoft.com/office/drawing/2014/chart" uri="{C3380CC4-5D6E-409C-BE32-E72D297353CC}">
              <c16:uniqueId val="{00000006-7195-47D5-A8C1-FA2A5FB37876}"/>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02417685166633"/>
          <c:y val="0.13886146462505797"/>
          <c:w val="0.82108420156281314"/>
          <c:h val="0.68681240581507319"/>
        </c:manualLayout>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144E-4DF6-AB09-8A769623330D}"/>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144E-4DF6-AB09-8A769623330D}"/>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144E-4DF6-AB09-8A76962333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score'!$F$60:$I$60</c:f>
              <c:numCache>
                <c:formatCode>[$-409]mmm/yy;@</c:formatCode>
                <c:ptCount val="4"/>
                <c:pt idx="0">
                  <c:v>44651</c:v>
                </c:pt>
                <c:pt idx="1">
                  <c:v>45016</c:v>
                </c:pt>
                <c:pt idx="2">
                  <c:v>45382</c:v>
                </c:pt>
                <c:pt idx="3">
                  <c:v>45747</c:v>
                </c:pt>
              </c:numCache>
            </c:numRef>
          </c:cat>
          <c:val>
            <c:numRef>
              <c:f>'Altman''s Z score'!$F$63:$I$63</c:f>
              <c:numCache>
                <c:formatCode>0.00%</c:formatCode>
                <c:ptCount val="4"/>
                <c:pt idx="0">
                  <c:v>7.8287315063094859E-2</c:v>
                </c:pt>
                <c:pt idx="1">
                  <c:v>8.0570804841246901E-2</c:v>
                </c:pt>
                <c:pt idx="2">
                  <c:v>5.2379149679673845E-2</c:v>
                </c:pt>
                <c:pt idx="3">
                  <c:v>6.0368754017388969E-2</c:v>
                </c:pt>
              </c:numCache>
            </c:numRef>
          </c:val>
          <c:extLst>
            <c:ext xmlns:c16="http://schemas.microsoft.com/office/drawing/2014/chart" uri="{C3380CC4-5D6E-409C-BE32-E72D297353CC}">
              <c16:uniqueId val="{00000006-144E-4DF6-AB09-8A769623330D}"/>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891659618385812E-2"/>
          <c:y val="7.2527601178145204E-2"/>
          <c:w val="0.85421668076322832"/>
          <c:h val="0.73398931788362176"/>
        </c:manualLayout>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C960-4F5F-A0E0-6B268E8E48C5}"/>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C960-4F5F-A0E0-6B268E8E48C5}"/>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C960-4F5F-A0E0-6B268E8E48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score'!$F$66:$I$66</c:f>
              <c:numCache>
                <c:formatCode>[$-409]mmm/yy;@</c:formatCode>
                <c:ptCount val="4"/>
                <c:pt idx="0">
                  <c:v>44651</c:v>
                </c:pt>
                <c:pt idx="1">
                  <c:v>45016</c:v>
                </c:pt>
                <c:pt idx="2">
                  <c:v>45382</c:v>
                </c:pt>
                <c:pt idx="3">
                  <c:v>45747</c:v>
                </c:pt>
              </c:numCache>
            </c:numRef>
          </c:cat>
          <c:val>
            <c:numRef>
              <c:f>'Altman''s Z score'!$F$69:$I$69</c:f>
              <c:numCache>
                <c:formatCode>0.00%</c:formatCode>
                <c:ptCount val="4"/>
                <c:pt idx="0">
                  <c:v>0.24000034267405701</c:v>
                </c:pt>
                <c:pt idx="1">
                  <c:v>0.24804167067963659</c:v>
                </c:pt>
                <c:pt idx="2">
                  <c:v>0.23112259755387304</c:v>
                </c:pt>
                <c:pt idx="3">
                  <c:v>0.23291721641462837</c:v>
                </c:pt>
              </c:numCache>
            </c:numRef>
          </c:val>
          <c:extLst>
            <c:ext xmlns:c16="http://schemas.microsoft.com/office/drawing/2014/chart" uri="{C3380CC4-5D6E-409C-BE32-E72D297353CC}">
              <c16:uniqueId val="{00000006-C960-4F5F-A0E0-6B268E8E48C5}"/>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A675-4767-896B-BFF97BFA0DA5}"/>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A675-4767-896B-BFF97BFA0DA5}"/>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A675-4767-896B-BFF97BFA0D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score'!$F$72:$I$72</c:f>
              <c:numCache>
                <c:formatCode>[$-409]mmm/yy;@</c:formatCode>
                <c:ptCount val="4"/>
                <c:pt idx="0">
                  <c:v>44651</c:v>
                </c:pt>
                <c:pt idx="1">
                  <c:v>45016</c:v>
                </c:pt>
                <c:pt idx="2">
                  <c:v>45382</c:v>
                </c:pt>
                <c:pt idx="3">
                  <c:v>45747</c:v>
                </c:pt>
              </c:numCache>
            </c:numRef>
          </c:cat>
          <c:val>
            <c:numRef>
              <c:f>'Altman''s Z score'!$F$75:$I$75</c:f>
              <c:numCache>
                <c:formatCode>0.00%</c:formatCode>
                <c:ptCount val="4"/>
                <c:pt idx="0">
                  <c:v>6.8495803987557933</c:v>
                </c:pt>
                <c:pt idx="1">
                  <c:v>4.7405656180806366</c:v>
                </c:pt>
                <c:pt idx="2">
                  <c:v>4.5150357081841515</c:v>
                </c:pt>
                <c:pt idx="3">
                  <c:v>4.4035029357239424</c:v>
                </c:pt>
              </c:numCache>
            </c:numRef>
          </c:val>
          <c:extLst>
            <c:ext xmlns:c16="http://schemas.microsoft.com/office/drawing/2014/chart" uri="{C3380CC4-5D6E-409C-BE32-E72D297353CC}">
              <c16:uniqueId val="{00000006-A675-4767-896B-BFF97BFA0DA5}"/>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3BC3-4FF9-89B3-239B7575E682}"/>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3BC3-4FF9-89B3-239B7575E682}"/>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3BC3-4FF9-89B3-239B7575E6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score'!$F$84:$I$84</c:f>
              <c:numCache>
                <c:formatCode>[$-409]mmm/yy;@</c:formatCode>
                <c:ptCount val="4"/>
                <c:pt idx="0">
                  <c:v>44651</c:v>
                </c:pt>
                <c:pt idx="1">
                  <c:v>45016</c:v>
                </c:pt>
                <c:pt idx="2">
                  <c:v>45382</c:v>
                </c:pt>
                <c:pt idx="3">
                  <c:v>45747</c:v>
                </c:pt>
              </c:numCache>
            </c:numRef>
          </c:cat>
          <c:val>
            <c:numRef>
              <c:f>'Altman''s Z score'!$F$85:$I$85</c:f>
              <c:numCache>
                <c:formatCode>0.00</c:formatCode>
                <c:ptCount val="4"/>
                <c:pt idx="0">
                  <c:v>6.4058791064758456</c:v>
                </c:pt>
                <c:pt idx="1">
                  <c:v>5.2879637247602247</c:v>
                </c:pt>
                <c:pt idx="2">
                  <c:v>5.0476368879273803</c:v>
                </c:pt>
                <c:pt idx="3">
                  <c:v>4.993704183708461</c:v>
                </c:pt>
              </c:numCache>
            </c:numRef>
          </c:val>
          <c:extLst>
            <c:ext xmlns:c16="http://schemas.microsoft.com/office/drawing/2014/chart" uri="{C3380CC4-5D6E-409C-BE32-E72D297353CC}">
              <c16:uniqueId val="{00000006-3BC3-4FF9-89B3-239B7575E682}"/>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55555555555552E-2"/>
          <c:y val="0.119129659345456"/>
          <c:w val="0.88888888888888884"/>
          <c:h val="0.74314269669526201"/>
        </c:manualLayout>
      </c:layout>
      <c:barChart>
        <c:barDir val="col"/>
        <c:grouping val="clustered"/>
        <c:varyColors val="0"/>
        <c:ser>
          <c:idx val="0"/>
          <c:order val="0"/>
          <c:spPr>
            <a:solidFill>
              <a:srgbClr val="2596BE"/>
            </a:solidFill>
            <a:ln>
              <a:solidFill>
                <a:schemeClr val="tx1"/>
              </a:solidFill>
            </a:ln>
            <a:effectLst/>
          </c:spPr>
          <c:invertIfNegative val="0"/>
          <c:dPt>
            <c:idx val="0"/>
            <c:invertIfNegative val="0"/>
            <c:bubble3D val="0"/>
            <c:spPr>
              <a:solidFill>
                <a:schemeClr val="bg2">
                  <a:lumMod val="90000"/>
                  <a:alpha val="40000"/>
                </a:schemeClr>
              </a:solidFill>
              <a:ln>
                <a:solidFill>
                  <a:schemeClr val="tx1"/>
                </a:solidFill>
              </a:ln>
              <a:effectLst/>
            </c:spPr>
            <c:extLst>
              <c:ext xmlns:c16="http://schemas.microsoft.com/office/drawing/2014/chart" uri="{C3380CC4-5D6E-409C-BE32-E72D297353CC}">
                <c16:uniqueId val="{00000001-D5CA-4673-A771-A3361E6C02B6}"/>
              </c:ext>
            </c:extLst>
          </c:dPt>
          <c:dPt>
            <c:idx val="1"/>
            <c:invertIfNegative val="0"/>
            <c:bubble3D val="0"/>
            <c:spPr>
              <a:solidFill>
                <a:schemeClr val="bg2">
                  <a:lumMod val="75000"/>
                  <a:alpha val="60000"/>
                </a:schemeClr>
              </a:solidFill>
              <a:ln>
                <a:solidFill>
                  <a:schemeClr val="tx1"/>
                </a:solidFill>
              </a:ln>
              <a:effectLst/>
            </c:spPr>
            <c:extLst>
              <c:ext xmlns:c16="http://schemas.microsoft.com/office/drawing/2014/chart" uri="{C3380CC4-5D6E-409C-BE32-E72D297353CC}">
                <c16:uniqueId val="{00000003-D5CA-4673-A771-A3361E6C02B6}"/>
              </c:ext>
            </c:extLst>
          </c:dPt>
          <c:dPt>
            <c:idx val="2"/>
            <c:invertIfNegative val="0"/>
            <c:bubble3D val="0"/>
            <c:spPr>
              <a:solidFill>
                <a:schemeClr val="bg2">
                  <a:lumMod val="50000"/>
                  <a:alpha val="80000"/>
                </a:schemeClr>
              </a:solidFill>
              <a:ln>
                <a:solidFill>
                  <a:schemeClr val="tx1"/>
                </a:solidFill>
              </a:ln>
              <a:effectLst/>
            </c:spPr>
            <c:extLst>
              <c:ext xmlns:c16="http://schemas.microsoft.com/office/drawing/2014/chart" uri="{C3380CC4-5D6E-409C-BE32-E72D297353CC}">
                <c16:uniqueId val="{00000005-D5CA-4673-A771-A3361E6C02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score'!$F$78:$I$78</c:f>
              <c:numCache>
                <c:formatCode>[$-409]mmm/yy;@</c:formatCode>
                <c:ptCount val="4"/>
                <c:pt idx="0">
                  <c:v>44651</c:v>
                </c:pt>
                <c:pt idx="1">
                  <c:v>45016</c:v>
                </c:pt>
                <c:pt idx="2">
                  <c:v>45382</c:v>
                </c:pt>
                <c:pt idx="3">
                  <c:v>45747</c:v>
                </c:pt>
              </c:numCache>
            </c:numRef>
          </c:cat>
          <c:val>
            <c:numRef>
              <c:f>'Altman''s Z score'!$F$81:$I$81</c:f>
              <c:numCache>
                <c:formatCode>0.00%</c:formatCode>
                <c:ptCount val="4"/>
                <c:pt idx="0">
                  <c:v>1.0420803742000702</c:v>
                </c:pt>
                <c:pt idx="1">
                  <c:v>1.1779431121384314</c:v>
                </c:pt>
                <c:pt idx="2">
                  <c:v>1.118739079790332</c:v>
                </c:pt>
                <c:pt idx="3">
                  <c:v>1.1028113264995434</c:v>
                </c:pt>
              </c:numCache>
            </c:numRef>
          </c:val>
          <c:extLst>
            <c:ext xmlns:c16="http://schemas.microsoft.com/office/drawing/2014/chart" uri="{C3380CC4-5D6E-409C-BE32-E72D297353CC}">
              <c16:uniqueId val="{00000006-D5CA-4673-A771-A3361E6C02B6}"/>
            </c:ext>
          </c:extLst>
        </c:ser>
        <c:dLbls>
          <c:dLblPos val="outEnd"/>
          <c:showLegendKey val="0"/>
          <c:showVal val="1"/>
          <c:showCatName val="0"/>
          <c:showSerName val="0"/>
          <c:showPercent val="0"/>
          <c:showBubbleSize val="0"/>
        </c:dLbls>
        <c:gapWidth val="150"/>
        <c:axId val="746100479"/>
        <c:axId val="746100959"/>
      </c:barChart>
      <c:dateAx>
        <c:axId val="7461004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746100959"/>
        <c:crosses val="autoZero"/>
        <c:auto val="1"/>
        <c:lblOffset val="100"/>
        <c:baseTimeUnit val="years"/>
      </c:dateAx>
      <c:valAx>
        <c:axId val="746100959"/>
        <c:scaling>
          <c:orientation val="minMax"/>
        </c:scaling>
        <c:delete val="1"/>
        <c:axPos val="l"/>
        <c:numFmt formatCode="0.00%" sourceLinked="1"/>
        <c:majorTickMark val="none"/>
        <c:minorTickMark val="none"/>
        <c:tickLblPos val="nextTo"/>
        <c:crossAx val="74610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CF'!$D$43:$D$46</c:f>
              <c:strCache>
                <c:ptCount val="4"/>
                <c:pt idx="0">
                  <c:v>Promotors</c:v>
                </c:pt>
                <c:pt idx="1">
                  <c:v>FII</c:v>
                </c:pt>
                <c:pt idx="2">
                  <c:v>DII</c:v>
                </c:pt>
                <c:pt idx="3">
                  <c:v>Government, Public &amp; Others</c:v>
                </c:pt>
              </c:strCache>
            </c:strRef>
          </c:cat>
          <c:val>
            <c:numRef>
              <c:f>'Raw CF'!$E$43:$E$46</c:f>
              <c:numCache>
                <c:formatCode>0.00%</c:formatCode>
                <c:ptCount val="4"/>
                <c:pt idx="0">
                  <c:v>0.1452</c:v>
                </c:pt>
                <c:pt idx="1">
                  <c:v>0.30270000000000002</c:v>
                </c:pt>
                <c:pt idx="2">
                  <c:v>0.4108</c:v>
                </c:pt>
                <c:pt idx="3">
                  <c:v>0.14130000000000001</c:v>
                </c:pt>
              </c:numCache>
            </c:numRef>
          </c:val>
          <c:extLst>
            <c:ext xmlns:c16="http://schemas.microsoft.com/office/drawing/2014/chart" uri="{C3380CC4-5D6E-409C-BE32-E72D297353CC}">
              <c16:uniqueId val="{00000000-7EE7-4CC2-996E-C9808CB7B62E}"/>
            </c:ext>
          </c:extLst>
        </c:ser>
        <c:dLbls>
          <c:showLegendKey val="0"/>
          <c:showVal val="0"/>
          <c:showCatName val="0"/>
          <c:showSerName val="0"/>
          <c:showPercent val="0"/>
          <c:showBubbleSize val="0"/>
        </c:dLbls>
        <c:gapWidth val="182"/>
        <c:axId val="130676272"/>
        <c:axId val="130662352"/>
      </c:barChart>
      <c:catAx>
        <c:axId val="13067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662352"/>
        <c:crosses val="autoZero"/>
        <c:auto val="1"/>
        <c:lblAlgn val="ctr"/>
        <c:lblOffset val="100"/>
        <c:noMultiLvlLbl val="0"/>
      </c:catAx>
      <c:valAx>
        <c:axId val="130662352"/>
        <c:scaling>
          <c:orientation val="minMax"/>
        </c:scaling>
        <c:delete val="1"/>
        <c:axPos val="b"/>
        <c:numFmt formatCode="0.00%" sourceLinked="1"/>
        <c:majorTickMark val="none"/>
        <c:minorTickMark val="none"/>
        <c:tickLblPos val="nextTo"/>
        <c:crossAx val="1306762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a:t>
            </a:r>
            <a:r>
              <a:rPr lang="en-IN" baseline="0"/>
              <a:t>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28575" cap="rnd">
              <a:solidFill>
                <a:srgbClr val="002060"/>
              </a:solidFill>
              <a:round/>
            </a:ln>
            <a:effectLst/>
          </c:spPr>
          <c:marker>
            <c:symbol val="none"/>
          </c:marker>
          <c:cat>
            <c:numRef>
              <c:f>'share Price'!$B$3:$B$1241</c:f>
              <c:numCache>
                <c:formatCode>m/d/yyyy</c:formatCode>
                <c:ptCount val="1239"/>
                <c:pt idx="0">
                  <c:v>46111</c:v>
                </c:pt>
                <c:pt idx="1">
                  <c:v>46108</c:v>
                </c:pt>
                <c:pt idx="2">
                  <c:v>46106</c:v>
                </c:pt>
                <c:pt idx="3">
                  <c:v>46105</c:v>
                </c:pt>
                <c:pt idx="4">
                  <c:v>46104</c:v>
                </c:pt>
                <c:pt idx="5">
                  <c:v>46101</c:v>
                </c:pt>
                <c:pt idx="6">
                  <c:v>46100</c:v>
                </c:pt>
                <c:pt idx="7">
                  <c:v>46099</c:v>
                </c:pt>
                <c:pt idx="8">
                  <c:v>46098</c:v>
                </c:pt>
                <c:pt idx="9">
                  <c:v>46097</c:v>
                </c:pt>
                <c:pt idx="10">
                  <c:v>46094</c:v>
                </c:pt>
                <c:pt idx="11">
                  <c:v>46093</c:v>
                </c:pt>
                <c:pt idx="12">
                  <c:v>46092</c:v>
                </c:pt>
                <c:pt idx="13">
                  <c:v>46091</c:v>
                </c:pt>
                <c:pt idx="14">
                  <c:v>46090</c:v>
                </c:pt>
                <c:pt idx="15">
                  <c:v>46087</c:v>
                </c:pt>
                <c:pt idx="16">
                  <c:v>46086</c:v>
                </c:pt>
                <c:pt idx="17">
                  <c:v>46085</c:v>
                </c:pt>
                <c:pt idx="18">
                  <c:v>46083</c:v>
                </c:pt>
                <c:pt idx="19">
                  <c:v>46080</c:v>
                </c:pt>
                <c:pt idx="20">
                  <c:v>46079</c:v>
                </c:pt>
                <c:pt idx="21">
                  <c:v>46078</c:v>
                </c:pt>
                <c:pt idx="22">
                  <c:v>46077</c:v>
                </c:pt>
                <c:pt idx="23">
                  <c:v>46076</c:v>
                </c:pt>
                <c:pt idx="24">
                  <c:v>46073</c:v>
                </c:pt>
                <c:pt idx="25">
                  <c:v>46072</c:v>
                </c:pt>
                <c:pt idx="26">
                  <c:v>46071</c:v>
                </c:pt>
                <c:pt idx="27">
                  <c:v>46070</c:v>
                </c:pt>
                <c:pt idx="28">
                  <c:v>46069</c:v>
                </c:pt>
                <c:pt idx="29">
                  <c:v>46066</c:v>
                </c:pt>
                <c:pt idx="30">
                  <c:v>46065</c:v>
                </c:pt>
                <c:pt idx="31">
                  <c:v>46064</c:v>
                </c:pt>
                <c:pt idx="32">
                  <c:v>46063</c:v>
                </c:pt>
                <c:pt idx="33">
                  <c:v>46062</c:v>
                </c:pt>
                <c:pt idx="34">
                  <c:v>46059</c:v>
                </c:pt>
                <c:pt idx="35">
                  <c:v>46058</c:v>
                </c:pt>
                <c:pt idx="36">
                  <c:v>46057</c:v>
                </c:pt>
                <c:pt idx="37">
                  <c:v>46056</c:v>
                </c:pt>
                <c:pt idx="38">
                  <c:v>46055</c:v>
                </c:pt>
                <c:pt idx="39">
                  <c:v>46054</c:v>
                </c:pt>
                <c:pt idx="40">
                  <c:v>46052</c:v>
                </c:pt>
                <c:pt idx="41">
                  <c:v>46051</c:v>
                </c:pt>
                <c:pt idx="42">
                  <c:v>46050</c:v>
                </c:pt>
                <c:pt idx="43">
                  <c:v>46049</c:v>
                </c:pt>
                <c:pt idx="44">
                  <c:v>46045</c:v>
                </c:pt>
                <c:pt idx="45">
                  <c:v>46044</c:v>
                </c:pt>
                <c:pt idx="46">
                  <c:v>46043</c:v>
                </c:pt>
                <c:pt idx="47">
                  <c:v>46042</c:v>
                </c:pt>
                <c:pt idx="48">
                  <c:v>46041</c:v>
                </c:pt>
                <c:pt idx="49">
                  <c:v>46038</c:v>
                </c:pt>
                <c:pt idx="50">
                  <c:v>46036</c:v>
                </c:pt>
                <c:pt idx="51">
                  <c:v>46035</c:v>
                </c:pt>
                <c:pt idx="52">
                  <c:v>46034</c:v>
                </c:pt>
                <c:pt idx="53">
                  <c:v>46031</c:v>
                </c:pt>
                <c:pt idx="54">
                  <c:v>46030</c:v>
                </c:pt>
                <c:pt idx="55">
                  <c:v>46029</c:v>
                </c:pt>
                <c:pt idx="56">
                  <c:v>46028</c:v>
                </c:pt>
                <c:pt idx="57">
                  <c:v>46027</c:v>
                </c:pt>
                <c:pt idx="58">
                  <c:v>46024</c:v>
                </c:pt>
                <c:pt idx="59">
                  <c:v>46023</c:v>
                </c:pt>
                <c:pt idx="60">
                  <c:v>46022</c:v>
                </c:pt>
                <c:pt idx="61">
                  <c:v>46021</c:v>
                </c:pt>
                <c:pt idx="62">
                  <c:v>46020</c:v>
                </c:pt>
                <c:pt idx="63">
                  <c:v>46017</c:v>
                </c:pt>
                <c:pt idx="64">
                  <c:v>46015</c:v>
                </c:pt>
                <c:pt idx="65">
                  <c:v>46014</c:v>
                </c:pt>
                <c:pt idx="66">
                  <c:v>46013</c:v>
                </c:pt>
                <c:pt idx="67">
                  <c:v>46010</c:v>
                </c:pt>
                <c:pt idx="68">
                  <c:v>46009</c:v>
                </c:pt>
                <c:pt idx="69">
                  <c:v>46008</c:v>
                </c:pt>
                <c:pt idx="70">
                  <c:v>46007</c:v>
                </c:pt>
                <c:pt idx="71">
                  <c:v>46006</c:v>
                </c:pt>
                <c:pt idx="72">
                  <c:v>46003</c:v>
                </c:pt>
                <c:pt idx="73">
                  <c:v>46002</c:v>
                </c:pt>
                <c:pt idx="74">
                  <c:v>46001</c:v>
                </c:pt>
                <c:pt idx="75">
                  <c:v>46000</c:v>
                </c:pt>
                <c:pt idx="76">
                  <c:v>45999</c:v>
                </c:pt>
                <c:pt idx="77">
                  <c:v>45996</c:v>
                </c:pt>
                <c:pt idx="78">
                  <c:v>45995</c:v>
                </c:pt>
                <c:pt idx="79">
                  <c:v>45994</c:v>
                </c:pt>
                <c:pt idx="80">
                  <c:v>45993</c:v>
                </c:pt>
                <c:pt idx="81">
                  <c:v>45992</c:v>
                </c:pt>
                <c:pt idx="82">
                  <c:v>45989</c:v>
                </c:pt>
                <c:pt idx="83">
                  <c:v>45988</c:v>
                </c:pt>
                <c:pt idx="84">
                  <c:v>45987</c:v>
                </c:pt>
                <c:pt idx="85">
                  <c:v>45986</c:v>
                </c:pt>
                <c:pt idx="86">
                  <c:v>45985</c:v>
                </c:pt>
                <c:pt idx="87">
                  <c:v>45982</c:v>
                </c:pt>
                <c:pt idx="88">
                  <c:v>45981</c:v>
                </c:pt>
                <c:pt idx="89">
                  <c:v>45980</c:v>
                </c:pt>
                <c:pt idx="90">
                  <c:v>45979</c:v>
                </c:pt>
                <c:pt idx="91">
                  <c:v>45978</c:v>
                </c:pt>
                <c:pt idx="92">
                  <c:v>45975</c:v>
                </c:pt>
                <c:pt idx="93">
                  <c:v>45974</c:v>
                </c:pt>
                <c:pt idx="94">
                  <c:v>45973</c:v>
                </c:pt>
                <c:pt idx="95">
                  <c:v>45972</c:v>
                </c:pt>
                <c:pt idx="96">
                  <c:v>45971</c:v>
                </c:pt>
                <c:pt idx="97">
                  <c:v>45968</c:v>
                </c:pt>
                <c:pt idx="98">
                  <c:v>45967</c:v>
                </c:pt>
                <c:pt idx="99">
                  <c:v>45965</c:v>
                </c:pt>
                <c:pt idx="100">
                  <c:v>45964</c:v>
                </c:pt>
                <c:pt idx="101">
                  <c:v>45961</c:v>
                </c:pt>
                <c:pt idx="102">
                  <c:v>45960</c:v>
                </c:pt>
                <c:pt idx="103">
                  <c:v>45959</c:v>
                </c:pt>
                <c:pt idx="104">
                  <c:v>45958</c:v>
                </c:pt>
                <c:pt idx="105">
                  <c:v>45957</c:v>
                </c:pt>
                <c:pt idx="106">
                  <c:v>45954</c:v>
                </c:pt>
                <c:pt idx="107">
                  <c:v>45953</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45931</c:v>
                </c:pt>
                <c:pt idx="122">
                  <c:v>45930</c:v>
                </c:pt>
                <c:pt idx="123">
                  <c:v>45929</c:v>
                </c:pt>
                <c:pt idx="124">
                  <c:v>45926</c:v>
                </c:pt>
                <c:pt idx="125">
                  <c:v>45925</c:v>
                </c:pt>
                <c:pt idx="126">
                  <c:v>45924</c:v>
                </c:pt>
                <c:pt idx="127">
                  <c:v>45923</c:v>
                </c:pt>
                <c:pt idx="128">
                  <c:v>45922</c:v>
                </c:pt>
                <c:pt idx="129">
                  <c:v>45919</c:v>
                </c:pt>
                <c:pt idx="130">
                  <c:v>45918</c:v>
                </c:pt>
                <c:pt idx="131">
                  <c:v>45917</c:v>
                </c:pt>
                <c:pt idx="132">
                  <c:v>45916</c:v>
                </c:pt>
                <c:pt idx="133">
                  <c:v>45915</c:v>
                </c:pt>
                <c:pt idx="134">
                  <c:v>45912</c:v>
                </c:pt>
                <c:pt idx="135">
                  <c:v>45911</c:v>
                </c:pt>
                <c:pt idx="136">
                  <c:v>45910</c:v>
                </c:pt>
                <c:pt idx="137">
                  <c:v>45909</c:v>
                </c:pt>
                <c:pt idx="138">
                  <c:v>45908</c:v>
                </c:pt>
                <c:pt idx="139">
                  <c:v>45905</c:v>
                </c:pt>
                <c:pt idx="140">
                  <c:v>45904</c:v>
                </c:pt>
                <c:pt idx="141">
                  <c:v>45903</c:v>
                </c:pt>
                <c:pt idx="142">
                  <c:v>45902</c:v>
                </c:pt>
                <c:pt idx="143">
                  <c:v>45901</c:v>
                </c:pt>
                <c:pt idx="144">
                  <c:v>45898</c:v>
                </c:pt>
                <c:pt idx="145">
                  <c:v>45897</c:v>
                </c:pt>
                <c:pt idx="146">
                  <c:v>45895</c:v>
                </c:pt>
                <c:pt idx="147">
                  <c:v>45894</c:v>
                </c:pt>
                <c:pt idx="148">
                  <c:v>45891</c:v>
                </c:pt>
                <c:pt idx="149">
                  <c:v>45890</c:v>
                </c:pt>
                <c:pt idx="150">
                  <c:v>45889</c:v>
                </c:pt>
                <c:pt idx="151">
                  <c:v>45888</c:v>
                </c:pt>
                <c:pt idx="152">
                  <c:v>45887</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45777</c:v>
                </c:pt>
                <c:pt idx="229">
                  <c:v>45776</c:v>
                </c:pt>
                <c:pt idx="230">
                  <c:v>45775</c:v>
                </c:pt>
                <c:pt idx="231">
                  <c:v>45772</c:v>
                </c:pt>
                <c:pt idx="232">
                  <c:v>45771</c:v>
                </c:pt>
                <c:pt idx="233">
                  <c:v>45770</c:v>
                </c:pt>
                <c:pt idx="234">
                  <c:v>45769</c:v>
                </c:pt>
                <c:pt idx="235">
                  <c:v>45768</c:v>
                </c:pt>
                <c:pt idx="236">
                  <c:v>45764</c:v>
                </c:pt>
                <c:pt idx="237">
                  <c:v>45763</c:v>
                </c:pt>
                <c:pt idx="238">
                  <c:v>45762</c:v>
                </c:pt>
                <c:pt idx="239">
                  <c:v>45758</c:v>
                </c:pt>
                <c:pt idx="240">
                  <c:v>45756</c:v>
                </c:pt>
                <c:pt idx="241">
                  <c:v>45755</c:v>
                </c:pt>
                <c:pt idx="242">
                  <c:v>45754</c:v>
                </c:pt>
                <c:pt idx="243">
                  <c:v>45751</c:v>
                </c:pt>
                <c:pt idx="244">
                  <c:v>45750</c:v>
                </c:pt>
                <c:pt idx="245">
                  <c:v>45749</c:v>
                </c:pt>
                <c:pt idx="246">
                  <c:v>45748</c:v>
                </c:pt>
                <c:pt idx="247">
                  <c:v>45744</c:v>
                </c:pt>
                <c:pt idx="248">
                  <c:v>45743</c:v>
                </c:pt>
                <c:pt idx="249">
                  <c:v>45742</c:v>
                </c:pt>
                <c:pt idx="250">
                  <c:v>45741</c:v>
                </c:pt>
                <c:pt idx="251">
                  <c:v>45740</c:v>
                </c:pt>
                <c:pt idx="252">
                  <c:v>45737</c:v>
                </c:pt>
                <c:pt idx="253">
                  <c:v>45736</c:v>
                </c:pt>
                <c:pt idx="254">
                  <c:v>45735</c:v>
                </c:pt>
                <c:pt idx="255">
                  <c:v>45734</c:v>
                </c:pt>
                <c:pt idx="256">
                  <c:v>45733</c:v>
                </c:pt>
                <c:pt idx="257">
                  <c:v>45729</c:v>
                </c:pt>
                <c:pt idx="258">
                  <c:v>45728</c:v>
                </c:pt>
                <c:pt idx="259">
                  <c:v>45727</c:v>
                </c:pt>
                <c:pt idx="260">
                  <c:v>45726</c:v>
                </c:pt>
                <c:pt idx="261">
                  <c:v>45723</c:v>
                </c:pt>
                <c:pt idx="262">
                  <c:v>45722</c:v>
                </c:pt>
                <c:pt idx="263">
                  <c:v>45721</c:v>
                </c:pt>
                <c:pt idx="264">
                  <c:v>45720</c:v>
                </c:pt>
                <c:pt idx="265">
                  <c:v>45719</c:v>
                </c:pt>
                <c:pt idx="266">
                  <c:v>45716</c:v>
                </c:pt>
                <c:pt idx="267">
                  <c:v>45715</c:v>
                </c:pt>
                <c:pt idx="268">
                  <c:v>45713</c:v>
                </c:pt>
                <c:pt idx="269">
                  <c:v>45712</c:v>
                </c:pt>
                <c:pt idx="270">
                  <c:v>45709</c:v>
                </c:pt>
                <c:pt idx="271">
                  <c:v>45708</c:v>
                </c:pt>
                <c:pt idx="272">
                  <c:v>45707</c:v>
                </c:pt>
                <c:pt idx="273">
                  <c:v>45706</c:v>
                </c:pt>
                <c:pt idx="274">
                  <c:v>45705</c:v>
                </c:pt>
                <c:pt idx="275">
                  <c:v>45702</c:v>
                </c:pt>
                <c:pt idx="276">
                  <c:v>45701</c:v>
                </c:pt>
                <c:pt idx="277">
                  <c:v>45700</c:v>
                </c:pt>
                <c:pt idx="278">
                  <c:v>45699</c:v>
                </c:pt>
                <c:pt idx="279">
                  <c:v>45698</c:v>
                </c:pt>
                <c:pt idx="280">
                  <c:v>45695</c:v>
                </c:pt>
                <c:pt idx="281">
                  <c:v>45694</c:v>
                </c:pt>
                <c:pt idx="282">
                  <c:v>45693</c:v>
                </c:pt>
                <c:pt idx="283">
                  <c:v>45692</c:v>
                </c:pt>
                <c:pt idx="284">
                  <c:v>45691</c:v>
                </c:pt>
                <c:pt idx="285">
                  <c:v>45689</c:v>
                </c:pt>
                <c:pt idx="286">
                  <c:v>45688</c:v>
                </c:pt>
                <c:pt idx="287">
                  <c:v>45687</c:v>
                </c:pt>
                <c:pt idx="288">
                  <c:v>45686</c:v>
                </c:pt>
                <c:pt idx="289">
                  <c:v>45685</c:v>
                </c:pt>
                <c:pt idx="290">
                  <c:v>45684</c:v>
                </c:pt>
                <c:pt idx="291">
                  <c:v>45681</c:v>
                </c:pt>
                <c:pt idx="292">
                  <c:v>45680</c:v>
                </c:pt>
                <c:pt idx="293">
                  <c:v>45679</c:v>
                </c:pt>
                <c:pt idx="294">
                  <c:v>45678</c:v>
                </c:pt>
                <c:pt idx="295">
                  <c:v>45677</c:v>
                </c:pt>
                <c:pt idx="296">
                  <c:v>45674</c:v>
                </c:pt>
                <c:pt idx="297">
                  <c:v>45673</c:v>
                </c:pt>
                <c:pt idx="298">
                  <c:v>45672</c:v>
                </c:pt>
                <c:pt idx="299">
                  <c:v>45671</c:v>
                </c:pt>
                <c:pt idx="300">
                  <c:v>45670</c:v>
                </c:pt>
                <c:pt idx="301">
                  <c:v>45667</c:v>
                </c:pt>
                <c:pt idx="302">
                  <c:v>45666</c:v>
                </c:pt>
                <c:pt idx="303">
                  <c:v>45665</c:v>
                </c:pt>
                <c:pt idx="304">
                  <c:v>45664</c:v>
                </c:pt>
                <c:pt idx="305">
                  <c:v>45663</c:v>
                </c:pt>
                <c:pt idx="306">
                  <c:v>45660</c:v>
                </c:pt>
                <c:pt idx="307">
                  <c:v>45659</c:v>
                </c:pt>
                <c:pt idx="308">
                  <c:v>45658</c:v>
                </c:pt>
                <c:pt idx="309">
                  <c:v>45657</c:v>
                </c:pt>
                <c:pt idx="310">
                  <c:v>45656</c:v>
                </c:pt>
                <c:pt idx="311">
                  <c:v>45653</c:v>
                </c:pt>
                <c:pt idx="312">
                  <c:v>45652</c:v>
                </c:pt>
                <c:pt idx="313">
                  <c:v>45650</c:v>
                </c:pt>
                <c:pt idx="314">
                  <c:v>45649</c:v>
                </c:pt>
                <c:pt idx="315">
                  <c:v>45646</c:v>
                </c:pt>
                <c:pt idx="316">
                  <c:v>45645</c:v>
                </c:pt>
                <c:pt idx="317">
                  <c:v>45644</c:v>
                </c:pt>
                <c:pt idx="318">
                  <c:v>45643</c:v>
                </c:pt>
                <c:pt idx="319">
                  <c:v>45642</c:v>
                </c:pt>
                <c:pt idx="320">
                  <c:v>45639</c:v>
                </c:pt>
                <c:pt idx="321">
                  <c:v>45638</c:v>
                </c:pt>
                <c:pt idx="322">
                  <c:v>45637</c:v>
                </c:pt>
                <c:pt idx="323">
                  <c:v>45636</c:v>
                </c:pt>
                <c:pt idx="324">
                  <c:v>45635</c:v>
                </c:pt>
                <c:pt idx="325">
                  <c:v>45632</c:v>
                </c:pt>
                <c:pt idx="326">
                  <c:v>45631</c:v>
                </c:pt>
                <c:pt idx="327">
                  <c:v>45630</c:v>
                </c:pt>
                <c:pt idx="328">
                  <c:v>45629</c:v>
                </c:pt>
                <c:pt idx="329">
                  <c:v>45628</c:v>
                </c:pt>
                <c:pt idx="330">
                  <c:v>45625</c:v>
                </c:pt>
                <c:pt idx="331">
                  <c:v>45624</c:v>
                </c:pt>
                <c:pt idx="332">
                  <c:v>45623</c:v>
                </c:pt>
                <c:pt idx="333">
                  <c:v>45622</c:v>
                </c:pt>
                <c:pt idx="334">
                  <c:v>45621</c:v>
                </c:pt>
                <c:pt idx="335">
                  <c:v>45618</c:v>
                </c:pt>
                <c:pt idx="336">
                  <c:v>45617</c:v>
                </c:pt>
                <c:pt idx="337">
                  <c:v>45615</c:v>
                </c:pt>
                <c:pt idx="338">
                  <c:v>45614</c:v>
                </c:pt>
                <c:pt idx="339">
                  <c:v>45610</c:v>
                </c:pt>
                <c:pt idx="340">
                  <c:v>45609</c:v>
                </c:pt>
                <c:pt idx="341">
                  <c:v>45608</c:v>
                </c:pt>
                <c:pt idx="342">
                  <c:v>45607</c:v>
                </c:pt>
                <c:pt idx="343">
                  <c:v>45604</c:v>
                </c:pt>
                <c:pt idx="344">
                  <c:v>45603</c:v>
                </c:pt>
                <c:pt idx="345">
                  <c:v>45602</c:v>
                </c:pt>
                <c:pt idx="346">
                  <c:v>45601</c:v>
                </c:pt>
                <c:pt idx="347">
                  <c:v>45600</c:v>
                </c:pt>
                <c:pt idx="348">
                  <c:v>45597</c:v>
                </c:pt>
                <c:pt idx="349">
                  <c:v>45596</c:v>
                </c:pt>
                <c:pt idx="350">
                  <c:v>45595</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45531</c:v>
                </c:pt>
                <c:pt idx="396">
                  <c:v>45530</c:v>
                </c:pt>
                <c:pt idx="397">
                  <c:v>45527</c:v>
                </c:pt>
                <c:pt idx="398">
                  <c:v>45526</c:v>
                </c:pt>
                <c:pt idx="399">
                  <c:v>45525</c:v>
                </c:pt>
                <c:pt idx="400">
                  <c:v>45524</c:v>
                </c:pt>
                <c:pt idx="401">
                  <c:v>45523</c:v>
                </c:pt>
                <c:pt idx="402">
                  <c:v>45520</c:v>
                </c:pt>
                <c:pt idx="403">
                  <c:v>45518</c:v>
                </c:pt>
                <c:pt idx="404">
                  <c:v>45517</c:v>
                </c:pt>
                <c:pt idx="405">
                  <c:v>45516</c:v>
                </c:pt>
                <c:pt idx="406">
                  <c:v>45513</c:v>
                </c:pt>
                <c:pt idx="407">
                  <c:v>45512</c:v>
                </c:pt>
                <c:pt idx="408">
                  <c:v>45511</c:v>
                </c:pt>
                <c:pt idx="409">
                  <c:v>45510</c:v>
                </c:pt>
                <c:pt idx="410">
                  <c:v>45509</c:v>
                </c:pt>
                <c:pt idx="411">
                  <c:v>45506</c:v>
                </c:pt>
                <c:pt idx="412">
                  <c:v>45505</c:v>
                </c:pt>
                <c:pt idx="413">
                  <c:v>45504</c:v>
                </c:pt>
                <c:pt idx="414">
                  <c:v>45503</c:v>
                </c:pt>
                <c:pt idx="415">
                  <c:v>45502</c:v>
                </c:pt>
                <c:pt idx="416">
                  <c:v>45499</c:v>
                </c:pt>
                <c:pt idx="417">
                  <c:v>45498</c:v>
                </c:pt>
                <c:pt idx="418">
                  <c:v>45497</c:v>
                </c:pt>
                <c:pt idx="419">
                  <c:v>45496</c:v>
                </c:pt>
                <c:pt idx="420">
                  <c:v>45495</c:v>
                </c:pt>
                <c:pt idx="421">
                  <c:v>45492</c:v>
                </c:pt>
                <c:pt idx="422">
                  <c:v>45491</c:v>
                </c:pt>
                <c:pt idx="423">
                  <c:v>45489</c:v>
                </c:pt>
                <c:pt idx="424">
                  <c:v>45488</c:v>
                </c:pt>
                <c:pt idx="425">
                  <c:v>45485</c:v>
                </c:pt>
                <c:pt idx="426">
                  <c:v>45484</c:v>
                </c:pt>
                <c:pt idx="427">
                  <c:v>45483</c:v>
                </c:pt>
                <c:pt idx="428">
                  <c:v>45482</c:v>
                </c:pt>
                <c:pt idx="429">
                  <c:v>45481</c:v>
                </c:pt>
                <c:pt idx="430">
                  <c:v>45478</c:v>
                </c:pt>
                <c:pt idx="431">
                  <c:v>45477</c:v>
                </c:pt>
                <c:pt idx="432">
                  <c:v>45476</c:v>
                </c:pt>
                <c:pt idx="433">
                  <c:v>45475</c:v>
                </c:pt>
                <c:pt idx="434">
                  <c:v>45474</c:v>
                </c:pt>
                <c:pt idx="435">
                  <c:v>45471</c:v>
                </c:pt>
                <c:pt idx="436">
                  <c:v>45470</c:v>
                </c:pt>
                <c:pt idx="437">
                  <c:v>45469</c:v>
                </c:pt>
                <c:pt idx="438">
                  <c:v>45468</c:v>
                </c:pt>
                <c:pt idx="439">
                  <c:v>45467</c:v>
                </c:pt>
                <c:pt idx="440">
                  <c:v>45464</c:v>
                </c:pt>
                <c:pt idx="441">
                  <c:v>45463</c:v>
                </c:pt>
                <c:pt idx="442">
                  <c:v>45462</c:v>
                </c:pt>
                <c:pt idx="443">
                  <c:v>45461</c:v>
                </c:pt>
                <c:pt idx="444">
                  <c:v>45457</c:v>
                </c:pt>
                <c:pt idx="445">
                  <c:v>45456</c:v>
                </c:pt>
                <c:pt idx="446">
                  <c:v>45455</c:v>
                </c:pt>
                <c:pt idx="447">
                  <c:v>45454</c:v>
                </c:pt>
                <c:pt idx="448">
                  <c:v>45453</c:v>
                </c:pt>
                <c:pt idx="449">
                  <c:v>45450</c:v>
                </c:pt>
                <c:pt idx="450">
                  <c:v>45449</c:v>
                </c:pt>
                <c:pt idx="451">
                  <c:v>45448</c:v>
                </c:pt>
                <c:pt idx="452">
                  <c:v>45447</c:v>
                </c:pt>
                <c:pt idx="453">
                  <c:v>45446</c:v>
                </c:pt>
                <c:pt idx="454">
                  <c:v>45443</c:v>
                </c:pt>
                <c:pt idx="455">
                  <c:v>45442</c:v>
                </c:pt>
                <c:pt idx="456">
                  <c:v>45441</c:v>
                </c:pt>
                <c:pt idx="457">
                  <c:v>45440</c:v>
                </c:pt>
                <c:pt idx="458">
                  <c:v>45439</c:v>
                </c:pt>
                <c:pt idx="459">
                  <c:v>45436</c:v>
                </c:pt>
                <c:pt idx="460">
                  <c:v>45435</c:v>
                </c:pt>
                <c:pt idx="461">
                  <c:v>45434</c:v>
                </c:pt>
                <c:pt idx="462">
                  <c:v>45433</c:v>
                </c:pt>
                <c:pt idx="463">
                  <c:v>45430</c:v>
                </c:pt>
                <c:pt idx="464">
                  <c:v>45429</c:v>
                </c:pt>
                <c:pt idx="465">
                  <c:v>45428</c:v>
                </c:pt>
                <c:pt idx="466">
                  <c:v>45427</c:v>
                </c:pt>
                <c:pt idx="467">
                  <c:v>45426</c:v>
                </c:pt>
                <c:pt idx="468">
                  <c:v>45425</c:v>
                </c:pt>
                <c:pt idx="469">
                  <c:v>45422</c:v>
                </c:pt>
                <c:pt idx="470">
                  <c:v>45421</c:v>
                </c:pt>
                <c:pt idx="471">
                  <c:v>45420</c:v>
                </c:pt>
                <c:pt idx="472">
                  <c:v>45419</c:v>
                </c:pt>
                <c:pt idx="473">
                  <c:v>45418</c:v>
                </c:pt>
                <c:pt idx="474">
                  <c:v>45415</c:v>
                </c:pt>
                <c:pt idx="475">
                  <c:v>45414</c:v>
                </c:pt>
                <c:pt idx="476">
                  <c:v>45412</c:v>
                </c:pt>
                <c:pt idx="477">
                  <c:v>45411</c:v>
                </c:pt>
                <c:pt idx="478">
                  <c:v>45408</c:v>
                </c:pt>
                <c:pt idx="479">
                  <c:v>45407</c:v>
                </c:pt>
                <c:pt idx="480">
                  <c:v>45406</c:v>
                </c:pt>
                <c:pt idx="481">
                  <c:v>45405</c:v>
                </c:pt>
                <c:pt idx="482">
                  <c:v>45404</c:v>
                </c:pt>
                <c:pt idx="483">
                  <c:v>45401</c:v>
                </c:pt>
                <c:pt idx="484">
                  <c:v>45400</c:v>
                </c:pt>
                <c:pt idx="485">
                  <c:v>45398</c:v>
                </c:pt>
                <c:pt idx="486">
                  <c:v>45397</c:v>
                </c:pt>
                <c:pt idx="487">
                  <c:v>45394</c:v>
                </c:pt>
                <c:pt idx="488">
                  <c:v>45392</c:v>
                </c:pt>
                <c:pt idx="489">
                  <c:v>45391</c:v>
                </c:pt>
                <c:pt idx="490">
                  <c:v>45390</c:v>
                </c:pt>
                <c:pt idx="491">
                  <c:v>45387</c:v>
                </c:pt>
                <c:pt idx="492">
                  <c:v>45386</c:v>
                </c:pt>
                <c:pt idx="493">
                  <c:v>45385</c:v>
                </c:pt>
                <c:pt idx="494">
                  <c:v>45384</c:v>
                </c:pt>
                <c:pt idx="495">
                  <c:v>45383</c:v>
                </c:pt>
                <c:pt idx="496">
                  <c:v>45379</c:v>
                </c:pt>
                <c:pt idx="497">
                  <c:v>45378</c:v>
                </c:pt>
                <c:pt idx="498">
                  <c:v>45377</c:v>
                </c:pt>
                <c:pt idx="499">
                  <c:v>45373</c:v>
                </c:pt>
                <c:pt idx="500">
                  <c:v>45372</c:v>
                </c:pt>
                <c:pt idx="501">
                  <c:v>45371</c:v>
                </c:pt>
                <c:pt idx="502">
                  <c:v>45370</c:v>
                </c:pt>
                <c:pt idx="503">
                  <c:v>45369</c:v>
                </c:pt>
                <c:pt idx="504">
                  <c:v>45366</c:v>
                </c:pt>
                <c:pt idx="505">
                  <c:v>45365</c:v>
                </c:pt>
                <c:pt idx="506">
                  <c:v>45364</c:v>
                </c:pt>
                <c:pt idx="507">
                  <c:v>45363</c:v>
                </c:pt>
                <c:pt idx="508">
                  <c:v>45362</c:v>
                </c:pt>
                <c:pt idx="509">
                  <c:v>45358</c:v>
                </c:pt>
                <c:pt idx="510">
                  <c:v>45357</c:v>
                </c:pt>
                <c:pt idx="511">
                  <c:v>45356</c:v>
                </c:pt>
                <c:pt idx="512">
                  <c:v>45355</c:v>
                </c:pt>
                <c:pt idx="513">
                  <c:v>45353</c:v>
                </c:pt>
                <c:pt idx="514">
                  <c:v>45352</c:v>
                </c:pt>
                <c:pt idx="515">
                  <c:v>45351</c:v>
                </c:pt>
                <c:pt idx="516">
                  <c:v>45350</c:v>
                </c:pt>
                <c:pt idx="517">
                  <c:v>45349</c:v>
                </c:pt>
                <c:pt idx="518">
                  <c:v>45348</c:v>
                </c:pt>
                <c:pt idx="519">
                  <c:v>45345</c:v>
                </c:pt>
                <c:pt idx="520">
                  <c:v>45344</c:v>
                </c:pt>
                <c:pt idx="521">
                  <c:v>45343</c:v>
                </c:pt>
                <c:pt idx="522">
                  <c:v>45342</c:v>
                </c:pt>
                <c:pt idx="523">
                  <c:v>45341</c:v>
                </c:pt>
                <c:pt idx="524">
                  <c:v>45338</c:v>
                </c:pt>
                <c:pt idx="525">
                  <c:v>45337</c:v>
                </c:pt>
                <c:pt idx="526">
                  <c:v>45336</c:v>
                </c:pt>
                <c:pt idx="527">
                  <c:v>45335</c:v>
                </c:pt>
                <c:pt idx="528">
                  <c:v>45334</c:v>
                </c:pt>
                <c:pt idx="529">
                  <c:v>45331</c:v>
                </c:pt>
                <c:pt idx="530">
                  <c:v>45330</c:v>
                </c:pt>
                <c:pt idx="531">
                  <c:v>45329</c:v>
                </c:pt>
                <c:pt idx="532">
                  <c:v>45328</c:v>
                </c:pt>
                <c:pt idx="533">
                  <c:v>45327</c:v>
                </c:pt>
                <c:pt idx="534">
                  <c:v>45324</c:v>
                </c:pt>
                <c:pt idx="535">
                  <c:v>45323</c:v>
                </c:pt>
                <c:pt idx="536">
                  <c:v>45322</c:v>
                </c:pt>
                <c:pt idx="537">
                  <c:v>45321</c:v>
                </c:pt>
                <c:pt idx="538">
                  <c:v>45320</c:v>
                </c:pt>
                <c:pt idx="539">
                  <c:v>45316</c:v>
                </c:pt>
                <c:pt idx="540">
                  <c:v>45315</c:v>
                </c:pt>
                <c:pt idx="541">
                  <c:v>45314</c:v>
                </c:pt>
                <c:pt idx="542">
                  <c:v>45311</c:v>
                </c:pt>
                <c:pt idx="543">
                  <c:v>45310</c:v>
                </c:pt>
                <c:pt idx="544">
                  <c:v>45309</c:v>
                </c:pt>
                <c:pt idx="545">
                  <c:v>45308</c:v>
                </c:pt>
                <c:pt idx="546">
                  <c:v>45307</c:v>
                </c:pt>
                <c:pt idx="547">
                  <c:v>45306</c:v>
                </c:pt>
                <c:pt idx="548">
                  <c:v>45303</c:v>
                </c:pt>
                <c:pt idx="549">
                  <c:v>45302</c:v>
                </c:pt>
                <c:pt idx="550">
                  <c:v>45301</c:v>
                </c:pt>
                <c:pt idx="551">
                  <c:v>45300</c:v>
                </c:pt>
                <c:pt idx="552">
                  <c:v>45299</c:v>
                </c:pt>
                <c:pt idx="553">
                  <c:v>45296</c:v>
                </c:pt>
                <c:pt idx="554">
                  <c:v>45295</c:v>
                </c:pt>
                <c:pt idx="555">
                  <c:v>45294</c:v>
                </c:pt>
                <c:pt idx="556">
                  <c:v>45293</c:v>
                </c:pt>
                <c:pt idx="557">
                  <c:v>45292</c:v>
                </c:pt>
                <c:pt idx="558">
                  <c:v>45289</c:v>
                </c:pt>
                <c:pt idx="559">
                  <c:v>45288</c:v>
                </c:pt>
                <c:pt idx="560">
                  <c:v>45287</c:v>
                </c:pt>
                <c:pt idx="561">
                  <c:v>45286</c:v>
                </c:pt>
                <c:pt idx="562">
                  <c:v>45282</c:v>
                </c:pt>
                <c:pt idx="563">
                  <c:v>45281</c:v>
                </c:pt>
                <c:pt idx="564">
                  <c:v>45280</c:v>
                </c:pt>
                <c:pt idx="565">
                  <c:v>45279</c:v>
                </c:pt>
                <c:pt idx="566">
                  <c:v>45278</c:v>
                </c:pt>
                <c:pt idx="567">
                  <c:v>45275</c:v>
                </c:pt>
                <c:pt idx="568">
                  <c:v>45274</c:v>
                </c:pt>
                <c:pt idx="569">
                  <c:v>45273</c:v>
                </c:pt>
                <c:pt idx="570">
                  <c:v>45272</c:v>
                </c:pt>
                <c:pt idx="571">
                  <c:v>45271</c:v>
                </c:pt>
                <c:pt idx="572">
                  <c:v>45268</c:v>
                </c:pt>
                <c:pt idx="573">
                  <c:v>45267</c:v>
                </c:pt>
                <c:pt idx="574">
                  <c:v>45266</c:v>
                </c:pt>
                <c:pt idx="575">
                  <c:v>45265</c:v>
                </c:pt>
                <c:pt idx="576">
                  <c:v>45264</c:v>
                </c:pt>
                <c:pt idx="577">
                  <c:v>45261</c:v>
                </c:pt>
                <c:pt idx="578">
                  <c:v>45260</c:v>
                </c:pt>
                <c:pt idx="579">
                  <c:v>45259</c:v>
                </c:pt>
                <c:pt idx="580">
                  <c:v>45258</c:v>
                </c:pt>
                <c:pt idx="581">
                  <c:v>45254</c:v>
                </c:pt>
                <c:pt idx="582">
                  <c:v>45253</c:v>
                </c:pt>
                <c:pt idx="583">
                  <c:v>45252</c:v>
                </c:pt>
                <c:pt idx="584">
                  <c:v>45251</c:v>
                </c:pt>
                <c:pt idx="585">
                  <c:v>45250</c:v>
                </c:pt>
                <c:pt idx="586">
                  <c:v>45247</c:v>
                </c:pt>
                <c:pt idx="587">
                  <c:v>45246</c:v>
                </c:pt>
                <c:pt idx="588">
                  <c:v>45245</c:v>
                </c:pt>
                <c:pt idx="589">
                  <c:v>45243</c:v>
                </c:pt>
                <c:pt idx="590">
                  <c:v>45242</c:v>
                </c:pt>
                <c:pt idx="591">
                  <c:v>45240</c:v>
                </c:pt>
                <c:pt idx="592">
                  <c:v>45239</c:v>
                </c:pt>
                <c:pt idx="593">
                  <c:v>45238</c:v>
                </c:pt>
                <c:pt idx="594">
                  <c:v>45237</c:v>
                </c:pt>
                <c:pt idx="595">
                  <c:v>45236</c:v>
                </c:pt>
                <c:pt idx="596">
                  <c:v>45233</c:v>
                </c:pt>
                <c:pt idx="597">
                  <c:v>45232</c:v>
                </c:pt>
                <c:pt idx="598">
                  <c:v>45231</c:v>
                </c:pt>
                <c:pt idx="599">
                  <c:v>45230</c:v>
                </c:pt>
                <c:pt idx="600">
                  <c:v>45229</c:v>
                </c:pt>
                <c:pt idx="601">
                  <c:v>45226</c:v>
                </c:pt>
                <c:pt idx="602">
                  <c:v>45225</c:v>
                </c:pt>
                <c:pt idx="603">
                  <c:v>45224</c:v>
                </c:pt>
                <c:pt idx="604">
                  <c:v>45222</c:v>
                </c:pt>
                <c:pt idx="605">
                  <c:v>45219</c:v>
                </c:pt>
                <c:pt idx="606">
                  <c:v>45218</c:v>
                </c:pt>
                <c:pt idx="607">
                  <c:v>45217</c:v>
                </c:pt>
                <c:pt idx="608">
                  <c:v>45216</c:v>
                </c:pt>
                <c:pt idx="609">
                  <c:v>45215</c:v>
                </c:pt>
                <c:pt idx="610">
                  <c:v>45212</c:v>
                </c:pt>
                <c:pt idx="611">
                  <c:v>45211</c:v>
                </c:pt>
                <c:pt idx="612">
                  <c:v>45210</c:v>
                </c:pt>
                <c:pt idx="613">
                  <c:v>45209</c:v>
                </c:pt>
                <c:pt idx="614">
                  <c:v>45208</c:v>
                </c:pt>
                <c:pt idx="615">
                  <c:v>45205</c:v>
                </c:pt>
                <c:pt idx="616">
                  <c:v>45204</c:v>
                </c:pt>
                <c:pt idx="617">
                  <c:v>45203</c:v>
                </c:pt>
                <c:pt idx="618">
                  <c:v>45202</c:v>
                </c:pt>
                <c:pt idx="619">
                  <c:v>45198</c:v>
                </c:pt>
                <c:pt idx="620">
                  <c:v>45197</c:v>
                </c:pt>
                <c:pt idx="621">
                  <c:v>45196</c:v>
                </c:pt>
                <c:pt idx="622">
                  <c:v>45195</c:v>
                </c:pt>
                <c:pt idx="623">
                  <c:v>45194</c:v>
                </c:pt>
                <c:pt idx="624">
                  <c:v>45191</c:v>
                </c:pt>
                <c:pt idx="625">
                  <c:v>45190</c:v>
                </c:pt>
                <c:pt idx="626">
                  <c:v>45189</c:v>
                </c:pt>
                <c:pt idx="627">
                  <c:v>45187</c:v>
                </c:pt>
                <c:pt idx="628">
                  <c:v>45184</c:v>
                </c:pt>
                <c:pt idx="629">
                  <c:v>45183</c:v>
                </c:pt>
                <c:pt idx="630">
                  <c:v>45182</c:v>
                </c:pt>
                <c:pt idx="631">
                  <c:v>45181</c:v>
                </c:pt>
                <c:pt idx="632">
                  <c:v>45180</c:v>
                </c:pt>
                <c:pt idx="633">
                  <c:v>45177</c:v>
                </c:pt>
                <c:pt idx="634">
                  <c:v>45176</c:v>
                </c:pt>
                <c:pt idx="635">
                  <c:v>45175</c:v>
                </c:pt>
                <c:pt idx="636">
                  <c:v>45174</c:v>
                </c:pt>
                <c:pt idx="637">
                  <c:v>45173</c:v>
                </c:pt>
                <c:pt idx="638">
                  <c:v>45170</c:v>
                </c:pt>
                <c:pt idx="639">
                  <c:v>45169</c:v>
                </c:pt>
                <c:pt idx="640">
                  <c:v>45168</c:v>
                </c:pt>
                <c:pt idx="641">
                  <c:v>45167</c:v>
                </c:pt>
                <c:pt idx="642">
                  <c:v>45166</c:v>
                </c:pt>
                <c:pt idx="643">
                  <c:v>45163</c:v>
                </c:pt>
                <c:pt idx="644">
                  <c:v>45162</c:v>
                </c:pt>
                <c:pt idx="645">
                  <c:v>45161</c:v>
                </c:pt>
                <c:pt idx="646">
                  <c:v>45160</c:v>
                </c:pt>
                <c:pt idx="647">
                  <c:v>45159</c:v>
                </c:pt>
                <c:pt idx="648">
                  <c:v>45156</c:v>
                </c:pt>
                <c:pt idx="649">
                  <c:v>45155</c:v>
                </c:pt>
                <c:pt idx="650">
                  <c:v>45154</c:v>
                </c:pt>
                <c:pt idx="651">
                  <c:v>45152</c:v>
                </c:pt>
                <c:pt idx="652">
                  <c:v>45149</c:v>
                </c:pt>
                <c:pt idx="653">
                  <c:v>45148</c:v>
                </c:pt>
                <c:pt idx="654">
                  <c:v>45147</c:v>
                </c:pt>
                <c:pt idx="655">
                  <c:v>45146</c:v>
                </c:pt>
                <c:pt idx="656">
                  <c:v>45145</c:v>
                </c:pt>
                <c:pt idx="657">
                  <c:v>45142</c:v>
                </c:pt>
                <c:pt idx="658">
                  <c:v>45141</c:v>
                </c:pt>
                <c:pt idx="659">
                  <c:v>45140</c:v>
                </c:pt>
                <c:pt idx="660">
                  <c:v>45139</c:v>
                </c:pt>
                <c:pt idx="661">
                  <c:v>45138</c:v>
                </c:pt>
                <c:pt idx="662">
                  <c:v>45135</c:v>
                </c:pt>
                <c:pt idx="663">
                  <c:v>45134</c:v>
                </c:pt>
                <c:pt idx="664">
                  <c:v>45133</c:v>
                </c:pt>
                <c:pt idx="665">
                  <c:v>45132</c:v>
                </c:pt>
                <c:pt idx="666">
                  <c:v>45131</c:v>
                </c:pt>
                <c:pt idx="667">
                  <c:v>45128</c:v>
                </c:pt>
                <c:pt idx="668">
                  <c:v>45127</c:v>
                </c:pt>
                <c:pt idx="669">
                  <c:v>45126</c:v>
                </c:pt>
                <c:pt idx="670">
                  <c:v>45125</c:v>
                </c:pt>
                <c:pt idx="671">
                  <c:v>45124</c:v>
                </c:pt>
                <c:pt idx="672">
                  <c:v>45121</c:v>
                </c:pt>
                <c:pt idx="673">
                  <c:v>45120</c:v>
                </c:pt>
                <c:pt idx="674">
                  <c:v>45119</c:v>
                </c:pt>
                <c:pt idx="675">
                  <c:v>45118</c:v>
                </c:pt>
                <c:pt idx="676">
                  <c:v>45117</c:v>
                </c:pt>
                <c:pt idx="677">
                  <c:v>45114</c:v>
                </c:pt>
                <c:pt idx="678">
                  <c:v>45113</c:v>
                </c:pt>
                <c:pt idx="679">
                  <c:v>45112</c:v>
                </c:pt>
                <c:pt idx="680">
                  <c:v>45111</c:v>
                </c:pt>
                <c:pt idx="681">
                  <c:v>45110</c:v>
                </c:pt>
                <c:pt idx="682">
                  <c:v>45107</c:v>
                </c:pt>
                <c:pt idx="683">
                  <c:v>45105</c:v>
                </c:pt>
                <c:pt idx="684">
                  <c:v>45104</c:v>
                </c:pt>
                <c:pt idx="685">
                  <c:v>45103</c:v>
                </c:pt>
                <c:pt idx="686">
                  <c:v>45100</c:v>
                </c:pt>
                <c:pt idx="687">
                  <c:v>45099</c:v>
                </c:pt>
                <c:pt idx="688">
                  <c:v>45098</c:v>
                </c:pt>
                <c:pt idx="689">
                  <c:v>45097</c:v>
                </c:pt>
                <c:pt idx="690">
                  <c:v>45096</c:v>
                </c:pt>
                <c:pt idx="691">
                  <c:v>45093</c:v>
                </c:pt>
                <c:pt idx="692">
                  <c:v>45092</c:v>
                </c:pt>
                <c:pt idx="693">
                  <c:v>45091</c:v>
                </c:pt>
                <c:pt idx="694">
                  <c:v>45090</c:v>
                </c:pt>
                <c:pt idx="695">
                  <c:v>45089</c:v>
                </c:pt>
                <c:pt idx="696">
                  <c:v>45086</c:v>
                </c:pt>
                <c:pt idx="697">
                  <c:v>45085</c:v>
                </c:pt>
                <c:pt idx="698">
                  <c:v>45084</c:v>
                </c:pt>
                <c:pt idx="699">
                  <c:v>45083</c:v>
                </c:pt>
                <c:pt idx="700">
                  <c:v>45082</c:v>
                </c:pt>
                <c:pt idx="701">
                  <c:v>45079</c:v>
                </c:pt>
                <c:pt idx="702">
                  <c:v>45078</c:v>
                </c:pt>
                <c:pt idx="703">
                  <c:v>45077</c:v>
                </c:pt>
                <c:pt idx="704">
                  <c:v>45076</c:v>
                </c:pt>
                <c:pt idx="705">
                  <c:v>45075</c:v>
                </c:pt>
                <c:pt idx="706">
                  <c:v>45072</c:v>
                </c:pt>
                <c:pt idx="707">
                  <c:v>45071</c:v>
                </c:pt>
                <c:pt idx="708">
                  <c:v>45070</c:v>
                </c:pt>
                <c:pt idx="709">
                  <c:v>45069</c:v>
                </c:pt>
                <c:pt idx="710">
                  <c:v>45068</c:v>
                </c:pt>
                <c:pt idx="711">
                  <c:v>45065</c:v>
                </c:pt>
                <c:pt idx="712">
                  <c:v>45064</c:v>
                </c:pt>
                <c:pt idx="713">
                  <c:v>45063</c:v>
                </c:pt>
                <c:pt idx="714">
                  <c:v>45062</c:v>
                </c:pt>
                <c:pt idx="715">
                  <c:v>45061</c:v>
                </c:pt>
                <c:pt idx="716">
                  <c:v>45058</c:v>
                </c:pt>
                <c:pt idx="717">
                  <c:v>45057</c:v>
                </c:pt>
                <c:pt idx="718">
                  <c:v>45056</c:v>
                </c:pt>
                <c:pt idx="719">
                  <c:v>45055</c:v>
                </c:pt>
                <c:pt idx="720">
                  <c:v>45054</c:v>
                </c:pt>
                <c:pt idx="721">
                  <c:v>45051</c:v>
                </c:pt>
                <c:pt idx="722">
                  <c:v>45050</c:v>
                </c:pt>
                <c:pt idx="723">
                  <c:v>45049</c:v>
                </c:pt>
                <c:pt idx="724">
                  <c:v>45048</c:v>
                </c:pt>
                <c:pt idx="725">
                  <c:v>45044</c:v>
                </c:pt>
                <c:pt idx="726">
                  <c:v>45043</c:v>
                </c:pt>
                <c:pt idx="727">
                  <c:v>45042</c:v>
                </c:pt>
                <c:pt idx="728">
                  <c:v>45041</c:v>
                </c:pt>
                <c:pt idx="729">
                  <c:v>45040</c:v>
                </c:pt>
                <c:pt idx="730">
                  <c:v>45037</c:v>
                </c:pt>
                <c:pt idx="731">
                  <c:v>45036</c:v>
                </c:pt>
                <c:pt idx="732">
                  <c:v>45035</c:v>
                </c:pt>
                <c:pt idx="733">
                  <c:v>45034</c:v>
                </c:pt>
                <c:pt idx="734">
                  <c:v>45033</c:v>
                </c:pt>
                <c:pt idx="735">
                  <c:v>45029</c:v>
                </c:pt>
                <c:pt idx="736">
                  <c:v>45028</c:v>
                </c:pt>
                <c:pt idx="737">
                  <c:v>45027</c:v>
                </c:pt>
                <c:pt idx="738">
                  <c:v>45026</c:v>
                </c:pt>
                <c:pt idx="739">
                  <c:v>45022</c:v>
                </c:pt>
                <c:pt idx="740">
                  <c:v>45021</c:v>
                </c:pt>
                <c:pt idx="741">
                  <c:v>45019</c:v>
                </c:pt>
                <c:pt idx="742">
                  <c:v>45016</c:v>
                </c:pt>
                <c:pt idx="743">
                  <c:v>45014</c:v>
                </c:pt>
                <c:pt idx="744">
                  <c:v>45013</c:v>
                </c:pt>
                <c:pt idx="745">
                  <c:v>45012</c:v>
                </c:pt>
                <c:pt idx="746">
                  <c:v>45009</c:v>
                </c:pt>
                <c:pt idx="747">
                  <c:v>45008</c:v>
                </c:pt>
                <c:pt idx="748">
                  <c:v>45007</c:v>
                </c:pt>
                <c:pt idx="749">
                  <c:v>45006</c:v>
                </c:pt>
                <c:pt idx="750">
                  <c:v>45005</c:v>
                </c:pt>
                <c:pt idx="751">
                  <c:v>45002</c:v>
                </c:pt>
                <c:pt idx="752">
                  <c:v>45001</c:v>
                </c:pt>
                <c:pt idx="753">
                  <c:v>45000</c:v>
                </c:pt>
                <c:pt idx="754">
                  <c:v>44999</c:v>
                </c:pt>
                <c:pt idx="755">
                  <c:v>44998</c:v>
                </c:pt>
                <c:pt idx="756">
                  <c:v>44995</c:v>
                </c:pt>
                <c:pt idx="757">
                  <c:v>44994</c:v>
                </c:pt>
                <c:pt idx="758">
                  <c:v>44993</c:v>
                </c:pt>
                <c:pt idx="759">
                  <c:v>44991</c:v>
                </c:pt>
                <c:pt idx="760">
                  <c:v>44988</c:v>
                </c:pt>
                <c:pt idx="761">
                  <c:v>44987</c:v>
                </c:pt>
                <c:pt idx="762">
                  <c:v>44986</c:v>
                </c:pt>
                <c:pt idx="763">
                  <c:v>44985</c:v>
                </c:pt>
                <c:pt idx="764">
                  <c:v>44984</c:v>
                </c:pt>
                <c:pt idx="765">
                  <c:v>44981</c:v>
                </c:pt>
                <c:pt idx="766">
                  <c:v>44980</c:v>
                </c:pt>
                <c:pt idx="767">
                  <c:v>44979</c:v>
                </c:pt>
                <c:pt idx="768">
                  <c:v>44978</c:v>
                </c:pt>
                <c:pt idx="769">
                  <c:v>44977</c:v>
                </c:pt>
                <c:pt idx="770">
                  <c:v>44974</c:v>
                </c:pt>
                <c:pt idx="771">
                  <c:v>44973</c:v>
                </c:pt>
                <c:pt idx="772">
                  <c:v>44972</c:v>
                </c:pt>
                <c:pt idx="773">
                  <c:v>44971</c:v>
                </c:pt>
                <c:pt idx="774">
                  <c:v>44970</c:v>
                </c:pt>
                <c:pt idx="775">
                  <c:v>44967</c:v>
                </c:pt>
                <c:pt idx="776">
                  <c:v>44966</c:v>
                </c:pt>
                <c:pt idx="777">
                  <c:v>44965</c:v>
                </c:pt>
                <c:pt idx="778">
                  <c:v>44964</c:v>
                </c:pt>
                <c:pt idx="779">
                  <c:v>44963</c:v>
                </c:pt>
                <c:pt idx="780">
                  <c:v>44960</c:v>
                </c:pt>
                <c:pt idx="781">
                  <c:v>44959</c:v>
                </c:pt>
                <c:pt idx="782">
                  <c:v>44958</c:v>
                </c:pt>
                <c:pt idx="783">
                  <c:v>44957</c:v>
                </c:pt>
                <c:pt idx="784">
                  <c:v>44956</c:v>
                </c:pt>
                <c:pt idx="785">
                  <c:v>44953</c:v>
                </c:pt>
                <c:pt idx="786">
                  <c:v>44951</c:v>
                </c:pt>
                <c:pt idx="787">
                  <c:v>44950</c:v>
                </c:pt>
                <c:pt idx="788">
                  <c:v>44949</c:v>
                </c:pt>
                <c:pt idx="789">
                  <c:v>44946</c:v>
                </c:pt>
                <c:pt idx="790">
                  <c:v>44945</c:v>
                </c:pt>
                <c:pt idx="791">
                  <c:v>44944</c:v>
                </c:pt>
                <c:pt idx="792">
                  <c:v>44943</c:v>
                </c:pt>
                <c:pt idx="793">
                  <c:v>44942</c:v>
                </c:pt>
                <c:pt idx="794">
                  <c:v>44939</c:v>
                </c:pt>
                <c:pt idx="795">
                  <c:v>44938</c:v>
                </c:pt>
                <c:pt idx="796">
                  <c:v>44937</c:v>
                </c:pt>
                <c:pt idx="797">
                  <c:v>44936</c:v>
                </c:pt>
                <c:pt idx="798">
                  <c:v>44935</c:v>
                </c:pt>
                <c:pt idx="799">
                  <c:v>44932</c:v>
                </c:pt>
                <c:pt idx="800">
                  <c:v>44931</c:v>
                </c:pt>
                <c:pt idx="801">
                  <c:v>44930</c:v>
                </c:pt>
                <c:pt idx="802">
                  <c:v>44929</c:v>
                </c:pt>
                <c:pt idx="803">
                  <c:v>44928</c:v>
                </c:pt>
                <c:pt idx="804">
                  <c:v>44925</c:v>
                </c:pt>
                <c:pt idx="805">
                  <c:v>44924</c:v>
                </c:pt>
                <c:pt idx="806">
                  <c:v>44923</c:v>
                </c:pt>
                <c:pt idx="807">
                  <c:v>44922</c:v>
                </c:pt>
                <c:pt idx="808">
                  <c:v>44921</c:v>
                </c:pt>
                <c:pt idx="809">
                  <c:v>44918</c:v>
                </c:pt>
                <c:pt idx="810">
                  <c:v>44917</c:v>
                </c:pt>
                <c:pt idx="811">
                  <c:v>44916</c:v>
                </c:pt>
                <c:pt idx="812">
                  <c:v>44915</c:v>
                </c:pt>
                <c:pt idx="813">
                  <c:v>44914</c:v>
                </c:pt>
                <c:pt idx="814">
                  <c:v>44911</c:v>
                </c:pt>
                <c:pt idx="815">
                  <c:v>44910</c:v>
                </c:pt>
                <c:pt idx="816">
                  <c:v>44909</c:v>
                </c:pt>
                <c:pt idx="817">
                  <c:v>44908</c:v>
                </c:pt>
                <c:pt idx="818">
                  <c:v>44907</c:v>
                </c:pt>
                <c:pt idx="819">
                  <c:v>44904</c:v>
                </c:pt>
                <c:pt idx="820">
                  <c:v>44903</c:v>
                </c:pt>
                <c:pt idx="821">
                  <c:v>44902</c:v>
                </c:pt>
                <c:pt idx="822">
                  <c:v>44901</c:v>
                </c:pt>
                <c:pt idx="823">
                  <c:v>44900</c:v>
                </c:pt>
                <c:pt idx="824">
                  <c:v>44897</c:v>
                </c:pt>
                <c:pt idx="825">
                  <c:v>44896</c:v>
                </c:pt>
                <c:pt idx="826">
                  <c:v>44895</c:v>
                </c:pt>
                <c:pt idx="827">
                  <c:v>44894</c:v>
                </c:pt>
                <c:pt idx="828">
                  <c:v>44893</c:v>
                </c:pt>
                <c:pt idx="829">
                  <c:v>44890</c:v>
                </c:pt>
                <c:pt idx="830">
                  <c:v>44889</c:v>
                </c:pt>
                <c:pt idx="831">
                  <c:v>44888</c:v>
                </c:pt>
                <c:pt idx="832">
                  <c:v>44887</c:v>
                </c:pt>
                <c:pt idx="833">
                  <c:v>44886</c:v>
                </c:pt>
                <c:pt idx="834">
                  <c:v>44883</c:v>
                </c:pt>
                <c:pt idx="835">
                  <c:v>44882</c:v>
                </c:pt>
                <c:pt idx="836">
                  <c:v>44881</c:v>
                </c:pt>
                <c:pt idx="837">
                  <c:v>44880</c:v>
                </c:pt>
                <c:pt idx="838">
                  <c:v>44879</c:v>
                </c:pt>
                <c:pt idx="839">
                  <c:v>44876</c:v>
                </c:pt>
                <c:pt idx="840">
                  <c:v>44875</c:v>
                </c:pt>
                <c:pt idx="841">
                  <c:v>44874</c:v>
                </c:pt>
                <c:pt idx="842">
                  <c:v>44872</c:v>
                </c:pt>
                <c:pt idx="843">
                  <c:v>44869</c:v>
                </c:pt>
                <c:pt idx="844">
                  <c:v>44868</c:v>
                </c:pt>
                <c:pt idx="845">
                  <c:v>44867</c:v>
                </c:pt>
                <c:pt idx="846">
                  <c:v>44866</c:v>
                </c:pt>
                <c:pt idx="847">
                  <c:v>44865</c:v>
                </c:pt>
                <c:pt idx="848">
                  <c:v>44862</c:v>
                </c:pt>
                <c:pt idx="849">
                  <c:v>44861</c:v>
                </c:pt>
                <c:pt idx="850">
                  <c:v>44859</c:v>
                </c:pt>
                <c:pt idx="851">
                  <c:v>44858</c:v>
                </c:pt>
                <c:pt idx="852">
                  <c:v>44855</c:v>
                </c:pt>
                <c:pt idx="853">
                  <c:v>44854</c:v>
                </c:pt>
                <c:pt idx="854">
                  <c:v>44853</c:v>
                </c:pt>
                <c:pt idx="855">
                  <c:v>44852</c:v>
                </c:pt>
                <c:pt idx="856">
                  <c:v>44851</c:v>
                </c:pt>
                <c:pt idx="857">
                  <c:v>44848</c:v>
                </c:pt>
                <c:pt idx="858">
                  <c:v>44847</c:v>
                </c:pt>
                <c:pt idx="859">
                  <c:v>44846</c:v>
                </c:pt>
                <c:pt idx="860">
                  <c:v>44845</c:v>
                </c:pt>
                <c:pt idx="861">
                  <c:v>44844</c:v>
                </c:pt>
                <c:pt idx="862">
                  <c:v>44841</c:v>
                </c:pt>
                <c:pt idx="863">
                  <c:v>44840</c:v>
                </c:pt>
                <c:pt idx="864">
                  <c:v>44838</c:v>
                </c:pt>
                <c:pt idx="865">
                  <c:v>44837</c:v>
                </c:pt>
                <c:pt idx="866">
                  <c:v>44834</c:v>
                </c:pt>
                <c:pt idx="867">
                  <c:v>44833</c:v>
                </c:pt>
                <c:pt idx="868">
                  <c:v>44832</c:v>
                </c:pt>
                <c:pt idx="869">
                  <c:v>44831</c:v>
                </c:pt>
                <c:pt idx="870">
                  <c:v>44830</c:v>
                </c:pt>
                <c:pt idx="871">
                  <c:v>44827</c:v>
                </c:pt>
                <c:pt idx="872">
                  <c:v>44826</c:v>
                </c:pt>
                <c:pt idx="873">
                  <c:v>44825</c:v>
                </c:pt>
                <c:pt idx="874">
                  <c:v>44824</c:v>
                </c:pt>
                <c:pt idx="875">
                  <c:v>44823</c:v>
                </c:pt>
                <c:pt idx="876">
                  <c:v>44820</c:v>
                </c:pt>
                <c:pt idx="877">
                  <c:v>44819</c:v>
                </c:pt>
                <c:pt idx="878">
                  <c:v>44818</c:v>
                </c:pt>
                <c:pt idx="879">
                  <c:v>44817</c:v>
                </c:pt>
                <c:pt idx="880">
                  <c:v>44816</c:v>
                </c:pt>
                <c:pt idx="881">
                  <c:v>44813</c:v>
                </c:pt>
                <c:pt idx="882">
                  <c:v>44812</c:v>
                </c:pt>
                <c:pt idx="883">
                  <c:v>44811</c:v>
                </c:pt>
                <c:pt idx="884">
                  <c:v>44810</c:v>
                </c:pt>
                <c:pt idx="885">
                  <c:v>44809</c:v>
                </c:pt>
                <c:pt idx="886">
                  <c:v>44806</c:v>
                </c:pt>
                <c:pt idx="887">
                  <c:v>44805</c:v>
                </c:pt>
                <c:pt idx="888">
                  <c:v>44803</c:v>
                </c:pt>
                <c:pt idx="889">
                  <c:v>44802</c:v>
                </c:pt>
                <c:pt idx="890">
                  <c:v>44799</c:v>
                </c:pt>
                <c:pt idx="891">
                  <c:v>44798</c:v>
                </c:pt>
                <c:pt idx="892">
                  <c:v>44797</c:v>
                </c:pt>
                <c:pt idx="893">
                  <c:v>44796</c:v>
                </c:pt>
                <c:pt idx="894">
                  <c:v>44795</c:v>
                </c:pt>
                <c:pt idx="895">
                  <c:v>44792</c:v>
                </c:pt>
                <c:pt idx="896">
                  <c:v>44791</c:v>
                </c:pt>
                <c:pt idx="897">
                  <c:v>44790</c:v>
                </c:pt>
                <c:pt idx="898">
                  <c:v>44789</c:v>
                </c:pt>
                <c:pt idx="899">
                  <c:v>44785</c:v>
                </c:pt>
                <c:pt idx="900">
                  <c:v>44784</c:v>
                </c:pt>
                <c:pt idx="901">
                  <c:v>44783</c:v>
                </c:pt>
                <c:pt idx="902">
                  <c:v>44781</c:v>
                </c:pt>
                <c:pt idx="903">
                  <c:v>44778</c:v>
                </c:pt>
                <c:pt idx="904">
                  <c:v>44777</c:v>
                </c:pt>
                <c:pt idx="905">
                  <c:v>44776</c:v>
                </c:pt>
                <c:pt idx="906">
                  <c:v>44775</c:v>
                </c:pt>
                <c:pt idx="907">
                  <c:v>44774</c:v>
                </c:pt>
                <c:pt idx="908">
                  <c:v>44771</c:v>
                </c:pt>
                <c:pt idx="909">
                  <c:v>44770</c:v>
                </c:pt>
                <c:pt idx="910">
                  <c:v>44769</c:v>
                </c:pt>
                <c:pt idx="911">
                  <c:v>44768</c:v>
                </c:pt>
                <c:pt idx="912">
                  <c:v>44767</c:v>
                </c:pt>
                <c:pt idx="913">
                  <c:v>44764</c:v>
                </c:pt>
                <c:pt idx="914">
                  <c:v>44763</c:v>
                </c:pt>
                <c:pt idx="915">
                  <c:v>44762</c:v>
                </c:pt>
                <c:pt idx="916">
                  <c:v>44761</c:v>
                </c:pt>
                <c:pt idx="917">
                  <c:v>44760</c:v>
                </c:pt>
                <c:pt idx="918">
                  <c:v>44757</c:v>
                </c:pt>
                <c:pt idx="919">
                  <c:v>44756</c:v>
                </c:pt>
                <c:pt idx="920">
                  <c:v>44755</c:v>
                </c:pt>
                <c:pt idx="921">
                  <c:v>44754</c:v>
                </c:pt>
                <c:pt idx="922">
                  <c:v>44753</c:v>
                </c:pt>
                <c:pt idx="923">
                  <c:v>44750</c:v>
                </c:pt>
                <c:pt idx="924">
                  <c:v>44749</c:v>
                </c:pt>
                <c:pt idx="925">
                  <c:v>44748</c:v>
                </c:pt>
                <c:pt idx="926">
                  <c:v>44747</c:v>
                </c:pt>
                <c:pt idx="927">
                  <c:v>44746</c:v>
                </c:pt>
                <c:pt idx="928">
                  <c:v>44743</c:v>
                </c:pt>
                <c:pt idx="929">
                  <c:v>44742</c:v>
                </c:pt>
                <c:pt idx="930">
                  <c:v>44741</c:v>
                </c:pt>
                <c:pt idx="931">
                  <c:v>44740</c:v>
                </c:pt>
                <c:pt idx="932">
                  <c:v>44739</c:v>
                </c:pt>
                <c:pt idx="933">
                  <c:v>44736</c:v>
                </c:pt>
                <c:pt idx="934">
                  <c:v>44735</c:v>
                </c:pt>
                <c:pt idx="935">
                  <c:v>44734</c:v>
                </c:pt>
                <c:pt idx="936">
                  <c:v>44733</c:v>
                </c:pt>
                <c:pt idx="937">
                  <c:v>44732</c:v>
                </c:pt>
                <c:pt idx="938">
                  <c:v>44729</c:v>
                </c:pt>
                <c:pt idx="939">
                  <c:v>44728</c:v>
                </c:pt>
                <c:pt idx="940">
                  <c:v>44727</c:v>
                </c:pt>
                <c:pt idx="941">
                  <c:v>44726</c:v>
                </c:pt>
                <c:pt idx="942">
                  <c:v>44725</c:v>
                </c:pt>
                <c:pt idx="943">
                  <c:v>44722</c:v>
                </c:pt>
                <c:pt idx="944">
                  <c:v>44721</c:v>
                </c:pt>
                <c:pt idx="945">
                  <c:v>44720</c:v>
                </c:pt>
                <c:pt idx="946">
                  <c:v>44719</c:v>
                </c:pt>
                <c:pt idx="947">
                  <c:v>44718</c:v>
                </c:pt>
                <c:pt idx="948">
                  <c:v>44715</c:v>
                </c:pt>
                <c:pt idx="949">
                  <c:v>44714</c:v>
                </c:pt>
                <c:pt idx="950">
                  <c:v>44713</c:v>
                </c:pt>
                <c:pt idx="951">
                  <c:v>44712</c:v>
                </c:pt>
                <c:pt idx="952">
                  <c:v>44711</c:v>
                </c:pt>
                <c:pt idx="953">
                  <c:v>44708</c:v>
                </c:pt>
                <c:pt idx="954">
                  <c:v>44707</c:v>
                </c:pt>
                <c:pt idx="955">
                  <c:v>44706</c:v>
                </c:pt>
                <c:pt idx="956">
                  <c:v>44705</c:v>
                </c:pt>
                <c:pt idx="957">
                  <c:v>44704</c:v>
                </c:pt>
                <c:pt idx="958">
                  <c:v>44701</c:v>
                </c:pt>
                <c:pt idx="959">
                  <c:v>44700</c:v>
                </c:pt>
                <c:pt idx="960">
                  <c:v>44699</c:v>
                </c:pt>
                <c:pt idx="961">
                  <c:v>44698</c:v>
                </c:pt>
                <c:pt idx="962">
                  <c:v>44697</c:v>
                </c:pt>
                <c:pt idx="963">
                  <c:v>44694</c:v>
                </c:pt>
                <c:pt idx="964">
                  <c:v>44693</c:v>
                </c:pt>
                <c:pt idx="965">
                  <c:v>44692</c:v>
                </c:pt>
                <c:pt idx="966">
                  <c:v>44691</c:v>
                </c:pt>
                <c:pt idx="967">
                  <c:v>44690</c:v>
                </c:pt>
                <c:pt idx="968">
                  <c:v>44687</c:v>
                </c:pt>
                <c:pt idx="969">
                  <c:v>44686</c:v>
                </c:pt>
                <c:pt idx="970">
                  <c:v>44685</c:v>
                </c:pt>
                <c:pt idx="971">
                  <c:v>44683</c:v>
                </c:pt>
                <c:pt idx="972">
                  <c:v>44680</c:v>
                </c:pt>
                <c:pt idx="973">
                  <c:v>44679</c:v>
                </c:pt>
                <c:pt idx="974">
                  <c:v>44678</c:v>
                </c:pt>
                <c:pt idx="975">
                  <c:v>44677</c:v>
                </c:pt>
                <c:pt idx="976">
                  <c:v>44676</c:v>
                </c:pt>
                <c:pt idx="977">
                  <c:v>44673</c:v>
                </c:pt>
                <c:pt idx="978">
                  <c:v>44672</c:v>
                </c:pt>
                <c:pt idx="979">
                  <c:v>44671</c:v>
                </c:pt>
                <c:pt idx="980">
                  <c:v>44670</c:v>
                </c:pt>
                <c:pt idx="981">
                  <c:v>44669</c:v>
                </c:pt>
                <c:pt idx="982">
                  <c:v>44664</c:v>
                </c:pt>
                <c:pt idx="983">
                  <c:v>44663</c:v>
                </c:pt>
                <c:pt idx="984">
                  <c:v>44662</c:v>
                </c:pt>
                <c:pt idx="985">
                  <c:v>44659</c:v>
                </c:pt>
                <c:pt idx="986">
                  <c:v>44658</c:v>
                </c:pt>
                <c:pt idx="987">
                  <c:v>44657</c:v>
                </c:pt>
                <c:pt idx="988">
                  <c:v>44656</c:v>
                </c:pt>
                <c:pt idx="989">
                  <c:v>44655</c:v>
                </c:pt>
                <c:pt idx="990">
                  <c:v>44652</c:v>
                </c:pt>
                <c:pt idx="991">
                  <c:v>44651</c:v>
                </c:pt>
                <c:pt idx="992">
                  <c:v>44650</c:v>
                </c:pt>
                <c:pt idx="993">
                  <c:v>44649</c:v>
                </c:pt>
                <c:pt idx="994">
                  <c:v>44648</c:v>
                </c:pt>
                <c:pt idx="995">
                  <c:v>44645</c:v>
                </c:pt>
                <c:pt idx="996">
                  <c:v>44644</c:v>
                </c:pt>
                <c:pt idx="997">
                  <c:v>44643</c:v>
                </c:pt>
                <c:pt idx="998">
                  <c:v>44642</c:v>
                </c:pt>
                <c:pt idx="999">
                  <c:v>44641</c:v>
                </c:pt>
                <c:pt idx="1000">
                  <c:v>44637</c:v>
                </c:pt>
                <c:pt idx="1001">
                  <c:v>44636</c:v>
                </c:pt>
                <c:pt idx="1002">
                  <c:v>44635</c:v>
                </c:pt>
                <c:pt idx="1003">
                  <c:v>44634</c:v>
                </c:pt>
                <c:pt idx="1004">
                  <c:v>44631</c:v>
                </c:pt>
                <c:pt idx="1005">
                  <c:v>44630</c:v>
                </c:pt>
                <c:pt idx="1006">
                  <c:v>44629</c:v>
                </c:pt>
                <c:pt idx="1007">
                  <c:v>44628</c:v>
                </c:pt>
                <c:pt idx="1008">
                  <c:v>44627</c:v>
                </c:pt>
                <c:pt idx="1009">
                  <c:v>44624</c:v>
                </c:pt>
                <c:pt idx="1010">
                  <c:v>44623</c:v>
                </c:pt>
                <c:pt idx="1011">
                  <c:v>44622</c:v>
                </c:pt>
                <c:pt idx="1012">
                  <c:v>44620</c:v>
                </c:pt>
                <c:pt idx="1013">
                  <c:v>44617</c:v>
                </c:pt>
                <c:pt idx="1014">
                  <c:v>44616</c:v>
                </c:pt>
                <c:pt idx="1015">
                  <c:v>44615</c:v>
                </c:pt>
                <c:pt idx="1016">
                  <c:v>44614</c:v>
                </c:pt>
                <c:pt idx="1017">
                  <c:v>44613</c:v>
                </c:pt>
                <c:pt idx="1018">
                  <c:v>44610</c:v>
                </c:pt>
                <c:pt idx="1019">
                  <c:v>44609</c:v>
                </c:pt>
                <c:pt idx="1020">
                  <c:v>44608</c:v>
                </c:pt>
                <c:pt idx="1021">
                  <c:v>44607</c:v>
                </c:pt>
                <c:pt idx="1022">
                  <c:v>44606</c:v>
                </c:pt>
                <c:pt idx="1023">
                  <c:v>44603</c:v>
                </c:pt>
                <c:pt idx="1024">
                  <c:v>44602</c:v>
                </c:pt>
                <c:pt idx="1025">
                  <c:v>44601</c:v>
                </c:pt>
                <c:pt idx="1026">
                  <c:v>44600</c:v>
                </c:pt>
                <c:pt idx="1027">
                  <c:v>44599</c:v>
                </c:pt>
                <c:pt idx="1028">
                  <c:v>44596</c:v>
                </c:pt>
                <c:pt idx="1029">
                  <c:v>44595</c:v>
                </c:pt>
                <c:pt idx="1030">
                  <c:v>44594</c:v>
                </c:pt>
                <c:pt idx="1031">
                  <c:v>44593</c:v>
                </c:pt>
                <c:pt idx="1032">
                  <c:v>44592</c:v>
                </c:pt>
                <c:pt idx="1033">
                  <c:v>44589</c:v>
                </c:pt>
                <c:pt idx="1034">
                  <c:v>44588</c:v>
                </c:pt>
                <c:pt idx="1035">
                  <c:v>44586</c:v>
                </c:pt>
                <c:pt idx="1036">
                  <c:v>44585</c:v>
                </c:pt>
                <c:pt idx="1037">
                  <c:v>44582</c:v>
                </c:pt>
                <c:pt idx="1038">
                  <c:v>44581</c:v>
                </c:pt>
                <c:pt idx="1039">
                  <c:v>44580</c:v>
                </c:pt>
                <c:pt idx="1040">
                  <c:v>44579</c:v>
                </c:pt>
                <c:pt idx="1041">
                  <c:v>44578</c:v>
                </c:pt>
                <c:pt idx="1042">
                  <c:v>44575</c:v>
                </c:pt>
                <c:pt idx="1043">
                  <c:v>44574</c:v>
                </c:pt>
                <c:pt idx="1044">
                  <c:v>44573</c:v>
                </c:pt>
                <c:pt idx="1045">
                  <c:v>44572</c:v>
                </c:pt>
                <c:pt idx="1046">
                  <c:v>44571</c:v>
                </c:pt>
                <c:pt idx="1047">
                  <c:v>44568</c:v>
                </c:pt>
                <c:pt idx="1048">
                  <c:v>44567</c:v>
                </c:pt>
                <c:pt idx="1049">
                  <c:v>44566</c:v>
                </c:pt>
                <c:pt idx="1050">
                  <c:v>44565</c:v>
                </c:pt>
                <c:pt idx="1051">
                  <c:v>44564</c:v>
                </c:pt>
                <c:pt idx="1052">
                  <c:v>44561</c:v>
                </c:pt>
                <c:pt idx="1053">
                  <c:v>44560</c:v>
                </c:pt>
                <c:pt idx="1054">
                  <c:v>44559</c:v>
                </c:pt>
                <c:pt idx="1055">
                  <c:v>44558</c:v>
                </c:pt>
                <c:pt idx="1056">
                  <c:v>44557</c:v>
                </c:pt>
                <c:pt idx="1057">
                  <c:v>44554</c:v>
                </c:pt>
                <c:pt idx="1058">
                  <c:v>44553</c:v>
                </c:pt>
                <c:pt idx="1059">
                  <c:v>44552</c:v>
                </c:pt>
                <c:pt idx="1060">
                  <c:v>44551</c:v>
                </c:pt>
                <c:pt idx="1061">
                  <c:v>44550</c:v>
                </c:pt>
                <c:pt idx="1062">
                  <c:v>44547</c:v>
                </c:pt>
                <c:pt idx="1063">
                  <c:v>44546</c:v>
                </c:pt>
                <c:pt idx="1064">
                  <c:v>44545</c:v>
                </c:pt>
                <c:pt idx="1065">
                  <c:v>44544</c:v>
                </c:pt>
                <c:pt idx="1066">
                  <c:v>44543</c:v>
                </c:pt>
                <c:pt idx="1067">
                  <c:v>44540</c:v>
                </c:pt>
                <c:pt idx="1068">
                  <c:v>44539</c:v>
                </c:pt>
                <c:pt idx="1069">
                  <c:v>44538</c:v>
                </c:pt>
                <c:pt idx="1070">
                  <c:v>44537</c:v>
                </c:pt>
                <c:pt idx="1071">
                  <c:v>44536</c:v>
                </c:pt>
                <c:pt idx="1072">
                  <c:v>44533</c:v>
                </c:pt>
                <c:pt idx="1073">
                  <c:v>44532</c:v>
                </c:pt>
                <c:pt idx="1074">
                  <c:v>44531</c:v>
                </c:pt>
                <c:pt idx="1075">
                  <c:v>44530</c:v>
                </c:pt>
                <c:pt idx="1076">
                  <c:v>44529</c:v>
                </c:pt>
                <c:pt idx="1077">
                  <c:v>44526</c:v>
                </c:pt>
                <c:pt idx="1078">
                  <c:v>44525</c:v>
                </c:pt>
                <c:pt idx="1079">
                  <c:v>44524</c:v>
                </c:pt>
                <c:pt idx="1080">
                  <c:v>44523</c:v>
                </c:pt>
                <c:pt idx="1081">
                  <c:v>44522</c:v>
                </c:pt>
                <c:pt idx="1082">
                  <c:v>44518</c:v>
                </c:pt>
                <c:pt idx="1083">
                  <c:v>44517</c:v>
                </c:pt>
                <c:pt idx="1084">
                  <c:v>44516</c:v>
                </c:pt>
                <c:pt idx="1085">
                  <c:v>44515</c:v>
                </c:pt>
                <c:pt idx="1086">
                  <c:v>44512</c:v>
                </c:pt>
                <c:pt idx="1087">
                  <c:v>44511</c:v>
                </c:pt>
                <c:pt idx="1088">
                  <c:v>44510</c:v>
                </c:pt>
                <c:pt idx="1089">
                  <c:v>44509</c:v>
                </c:pt>
                <c:pt idx="1090">
                  <c:v>44508</c:v>
                </c:pt>
                <c:pt idx="1091">
                  <c:v>44504</c:v>
                </c:pt>
                <c:pt idx="1092">
                  <c:v>44503</c:v>
                </c:pt>
                <c:pt idx="1093">
                  <c:v>44502</c:v>
                </c:pt>
                <c:pt idx="1094">
                  <c:v>44501</c:v>
                </c:pt>
                <c:pt idx="1095">
                  <c:v>44498</c:v>
                </c:pt>
                <c:pt idx="1096">
                  <c:v>44497</c:v>
                </c:pt>
                <c:pt idx="1097">
                  <c:v>44496</c:v>
                </c:pt>
                <c:pt idx="1098">
                  <c:v>44495</c:v>
                </c:pt>
                <c:pt idx="1099">
                  <c:v>44494</c:v>
                </c:pt>
                <c:pt idx="1100">
                  <c:v>44491</c:v>
                </c:pt>
                <c:pt idx="1101">
                  <c:v>44490</c:v>
                </c:pt>
                <c:pt idx="1102">
                  <c:v>44489</c:v>
                </c:pt>
                <c:pt idx="1103">
                  <c:v>44488</c:v>
                </c:pt>
                <c:pt idx="1104">
                  <c:v>44487</c:v>
                </c:pt>
                <c:pt idx="1105">
                  <c:v>44483</c:v>
                </c:pt>
                <c:pt idx="1106">
                  <c:v>44482</c:v>
                </c:pt>
                <c:pt idx="1107">
                  <c:v>44481</c:v>
                </c:pt>
                <c:pt idx="1108">
                  <c:v>44480</c:v>
                </c:pt>
                <c:pt idx="1109">
                  <c:v>44477</c:v>
                </c:pt>
                <c:pt idx="1110">
                  <c:v>44476</c:v>
                </c:pt>
                <c:pt idx="1111">
                  <c:v>44475</c:v>
                </c:pt>
                <c:pt idx="1112">
                  <c:v>44474</c:v>
                </c:pt>
                <c:pt idx="1113">
                  <c:v>44473</c:v>
                </c:pt>
                <c:pt idx="1114">
                  <c:v>44470</c:v>
                </c:pt>
                <c:pt idx="1115">
                  <c:v>44469</c:v>
                </c:pt>
                <c:pt idx="1116">
                  <c:v>44468</c:v>
                </c:pt>
                <c:pt idx="1117">
                  <c:v>44467</c:v>
                </c:pt>
                <c:pt idx="1118">
                  <c:v>44466</c:v>
                </c:pt>
                <c:pt idx="1119">
                  <c:v>44463</c:v>
                </c:pt>
                <c:pt idx="1120">
                  <c:v>44462</c:v>
                </c:pt>
                <c:pt idx="1121">
                  <c:v>44461</c:v>
                </c:pt>
                <c:pt idx="1122">
                  <c:v>44460</c:v>
                </c:pt>
                <c:pt idx="1123">
                  <c:v>44459</c:v>
                </c:pt>
                <c:pt idx="1124">
                  <c:v>44456</c:v>
                </c:pt>
                <c:pt idx="1125">
                  <c:v>44455</c:v>
                </c:pt>
                <c:pt idx="1126">
                  <c:v>44454</c:v>
                </c:pt>
                <c:pt idx="1127">
                  <c:v>44453</c:v>
                </c:pt>
                <c:pt idx="1128">
                  <c:v>44452</c:v>
                </c:pt>
                <c:pt idx="1129">
                  <c:v>44448</c:v>
                </c:pt>
                <c:pt idx="1130">
                  <c:v>44447</c:v>
                </c:pt>
                <c:pt idx="1131">
                  <c:v>44446</c:v>
                </c:pt>
                <c:pt idx="1132">
                  <c:v>44445</c:v>
                </c:pt>
                <c:pt idx="1133">
                  <c:v>44442</c:v>
                </c:pt>
                <c:pt idx="1134">
                  <c:v>44441</c:v>
                </c:pt>
                <c:pt idx="1135">
                  <c:v>44440</c:v>
                </c:pt>
                <c:pt idx="1136">
                  <c:v>44439</c:v>
                </c:pt>
                <c:pt idx="1137">
                  <c:v>44438</c:v>
                </c:pt>
                <c:pt idx="1138">
                  <c:v>44435</c:v>
                </c:pt>
                <c:pt idx="1139">
                  <c:v>44434</c:v>
                </c:pt>
                <c:pt idx="1140">
                  <c:v>44433</c:v>
                </c:pt>
                <c:pt idx="1141">
                  <c:v>44432</c:v>
                </c:pt>
                <c:pt idx="1142">
                  <c:v>44431</c:v>
                </c:pt>
                <c:pt idx="1143">
                  <c:v>44428</c:v>
                </c:pt>
                <c:pt idx="1144">
                  <c:v>44426</c:v>
                </c:pt>
                <c:pt idx="1145">
                  <c:v>44425</c:v>
                </c:pt>
                <c:pt idx="1146">
                  <c:v>44424</c:v>
                </c:pt>
                <c:pt idx="1147">
                  <c:v>44421</c:v>
                </c:pt>
                <c:pt idx="1148">
                  <c:v>44420</c:v>
                </c:pt>
                <c:pt idx="1149">
                  <c:v>44419</c:v>
                </c:pt>
                <c:pt idx="1150">
                  <c:v>44418</c:v>
                </c:pt>
                <c:pt idx="1151">
                  <c:v>44417</c:v>
                </c:pt>
                <c:pt idx="1152">
                  <c:v>44414</c:v>
                </c:pt>
                <c:pt idx="1153">
                  <c:v>44413</c:v>
                </c:pt>
                <c:pt idx="1154">
                  <c:v>44412</c:v>
                </c:pt>
                <c:pt idx="1155">
                  <c:v>44411</c:v>
                </c:pt>
                <c:pt idx="1156">
                  <c:v>44410</c:v>
                </c:pt>
                <c:pt idx="1157">
                  <c:v>44407</c:v>
                </c:pt>
                <c:pt idx="1158">
                  <c:v>44406</c:v>
                </c:pt>
                <c:pt idx="1159">
                  <c:v>44405</c:v>
                </c:pt>
                <c:pt idx="1160">
                  <c:v>44404</c:v>
                </c:pt>
                <c:pt idx="1161">
                  <c:v>44403</c:v>
                </c:pt>
                <c:pt idx="1162">
                  <c:v>44400</c:v>
                </c:pt>
                <c:pt idx="1163">
                  <c:v>44399</c:v>
                </c:pt>
                <c:pt idx="1164">
                  <c:v>44397</c:v>
                </c:pt>
                <c:pt idx="1165">
                  <c:v>44396</c:v>
                </c:pt>
                <c:pt idx="1166">
                  <c:v>44393</c:v>
                </c:pt>
                <c:pt idx="1167">
                  <c:v>44392</c:v>
                </c:pt>
                <c:pt idx="1168">
                  <c:v>44391</c:v>
                </c:pt>
                <c:pt idx="1169">
                  <c:v>44390</c:v>
                </c:pt>
                <c:pt idx="1170">
                  <c:v>44389</c:v>
                </c:pt>
                <c:pt idx="1171">
                  <c:v>44386</c:v>
                </c:pt>
                <c:pt idx="1172">
                  <c:v>44385</c:v>
                </c:pt>
                <c:pt idx="1173">
                  <c:v>44384</c:v>
                </c:pt>
                <c:pt idx="1174">
                  <c:v>44383</c:v>
                </c:pt>
                <c:pt idx="1175">
                  <c:v>44382</c:v>
                </c:pt>
                <c:pt idx="1176">
                  <c:v>44379</c:v>
                </c:pt>
                <c:pt idx="1177">
                  <c:v>44378</c:v>
                </c:pt>
                <c:pt idx="1178">
                  <c:v>44377</c:v>
                </c:pt>
                <c:pt idx="1179">
                  <c:v>44376</c:v>
                </c:pt>
                <c:pt idx="1180">
                  <c:v>44375</c:v>
                </c:pt>
                <c:pt idx="1181">
                  <c:v>44372</c:v>
                </c:pt>
                <c:pt idx="1182">
                  <c:v>44371</c:v>
                </c:pt>
                <c:pt idx="1183">
                  <c:v>44370</c:v>
                </c:pt>
                <c:pt idx="1184">
                  <c:v>44369</c:v>
                </c:pt>
                <c:pt idx="1185">
                  <c:v>44368</c:v>
                </c:pt>
                <c:pt idx="1186">
                  <c:v>44365</c:v>
                </c:pt>
                <c:pt idx="1187">
                  <c:v>44364</c:v>
                </c:pt>
                <c:pt idx="1188">
                  <c:v>44363</c:v>
                </c:pt>
                <c:pt idx="1189">
                  <c:v>44362</c:v>
                </c:pt>
                <c:pt idx="1190">
                  <c:v>44361</c:v>
                </c:pt>
                <c:pt idx="1191">
                  <c:v>44358</c:v>
                </c:pt>
                <c:pt idx="1192">
                  <c:v>44357</c:v>
                </c:pt>
                <c:pt idx="1193">
                  <c:v>44356</c:v>
                </c:pt>
                <c:pt idx="1194">
                  <c:v>44355</c:v>
                </c:pt>
                <c:pt idx="1195">
                  <c:v>44354</c:v>
                </c:pt>
                <c:pt idx="1196">
                  <c:v>44351</c:v>
                </c:pt>
                <c:pt idx="1197">
                  <c:v>44350</c:v>
                </c:pt>
                <c:pt idx="1198">
                  <c:v>44349</c:v>
                </c:pt>
                <c:pt idx="1199">
                  <c:v>44348</c:v>
                </c:pt>
                <c:pt idx="1200">
                  <c:v>44347</c:v>
                </c:pt>
                <c:pt idx="1201">
                  <c:v>44344</c:v>
                </c:pt>
                <c:pt idx="1202">
                  <c:v>44343</c:v>
                </c:pt>
                <c:pt idx="1203">
                  <c:v>44342</c:v>
                </c:pt>
                <c:pt idx="1204">
                  <c:v>44341</c:v>
                </c:pt>
                <c:pt idx="1205">
                  <c:v>44340</c:v>
                </c:pt>
                <c:pt idx="1206">
                  <c:v>44337</c:v>
                </c:pt>
                <c:pt idx="1207">
                  <c:v>44336</c:v>
                </c:pt>
                <c:pt idx="1208">
                  <c:v>44335</c:v>
                </c:pt>
                <c:pt idx="1209">
                  <c:v>44334</c:v>
                </c:pt>
                <c:pt idx="1210">
                  <c:v>44333</c:v>
                </c:pt>
                <c:pt idx="1211">
                  <c:v>44330</c:v>
                </c:pt>
                <c:pt idx="1212">
                  <c:v>44328</c:v>
                </c:pt>
                <c:pt idx="1213">
                  <c:v>44327</c:v>
                </c:pt>
                <c:pt idx="1214">
                  <c:v>44326</c:v>
                </c:pt>
                <c:pt idx="1215">
                  <c:v>44323</c:v>
                </c:pt>
                <c:pt idx="1216">
                  <c:v>44322</c:v>
                </c:pt>
                <c:pt idx="1217">
                  <c:v>44321</c:v>
                </c:pt>
                <c:pt idx="1218">
                  <c:v>44320</c:v>
                </c:pt>
                <c:pt idx="1219">
                  <c:v>44319</c:v>
                </c:pt>
                <c:pt idx="1220">
                  <c:v>44316</c:v>
                </c:pt>
                <c:pt idx="1221">
                  <c:v>44315</c:v>
                </c:pt>
                <c:pt idx="1222">
                  <c:v>44314</c:v>
                </c:pt>
                <c:pt idx="1223">
                  <c:v>44313</c:v>
                </c:pt>
                <c:pt idx="1224">
                  <c:v>44312</c:v>
                </c:pt>
                <c:pt idx="1225">
                  <c:v>44309</c:v>
                </c:pt>
                <c:pt idx="1226">
                  <c:v>44308</c:v>
                </c:pt>
                <c:pt idx="1227">
                  <c:v>44306</c:v>
                </c:pt>
                <c:pt idx="1228">
                  <c:v>44305</c:v>
                </c:pt>
                <c:pt idx="1229">
                  <c:v>44302</c:v>
                </c:pt>
                <c:pt idx="1230">
                  <c:v>44301</c:v>
                </c:pt>
                <c:pt idx="1231">
                  <c:v>44299</c:v>
                </c:pt>
                <c:pt idx="1232">
                  <c:v>44298</c:v>
                </c:pt>
                <c:pt idx="1233">
                  <c:v>44295</c:v>
                </c:pt>
                <c:pt idx="1234">
                  <c:v>44294</c:v>
                </c:pt>
                <c:pt idx="1235">
                  <c:v>44293</c:v>
                </c:pt>
                <c:pt idx="1236">
                  <c:v>44292</c:v>
                </c:pt>
                <c:pt idx="1237">
                  <c:v>44291</c:v>
                </c:pt>
                <c:pt idx="1238">
                  <c:v>44287</c:v>
                </c:pt>
              </c:numCache>
            </c:numRef>
          </c:cat>
          <c:val>
            <c:numRef>
              <c:f>'share Price'!$C$3:$C$1241</c:f>
              <c:numCache>
                <c:formatCode>#,##0.00</c:formatCode>
                <c:ptCount val="1239"/>
                <c:pt idx="0">
                  <c:v>1250.5999999999999</c:v>
                </c:pt>
                <c:pt idx="1">
                  <c:v>1269.7</c:v>
                </c:pt>
                <c:pt idx="2">
                  <c:v>1279.0999999999999</c:v>
                </c:pt>
                <c:pt idx="3">
                  <c:v>1278.3</c:v>
                </c:pt>
                <c:pt idx="4">
                  <c:v>1256.8</c:v>
                </c:pt>
                <c:pt idx="5">
                  <c:v>1255.9000000000001</c:v>
                </c:pt>
                <c:pt idx="6">
                  <c:v>1220.8</c:v>
                </c:pt>
                <c:pt idx="7">
                  <c:v>1267.0999999999999</c:v>
                </c:pt>
                <c:pt idx="8">
                  <c:v>1232.9000000000001</c:v>
                </c:pt>
                <c:pt idx="9">
                  <c:v>1249.8</c:v>
                </c:pt>
                <c:pt idx="10">
                  <c:v>1248.3</c:v>
                </c:pt>
                <c:pt idx="11">
                  <c:v>1265.8</c:v>
                </c:pt>
                <c:pt idx="12">
                  <c:v>1276.3</c:v>
                </c:pt>
                <c:pt idx="13">
                  <c:v>1295.5999999999999</c:v>
                </c:pt>
                <c:pt idx="14">
                  <c:v>1315</c:v>
                </c:pt>
                <c:pt idx="15">
                  <c:v>1308.4000000000001</c:v>
                </c:pt>
                <c:pt idx="16">
                  <c:v>1305.8</c:v>
                </c:pt>
                <c:pt idx="17">
                  <c:v>1307.4000000000001</c:v>
                </c:pt>
                <c:pt idx="18">
                  <c:v>1288.9000000000001</c:v>
                </c:pt>
                <c:pt idx="19">
                  <c:v>1300.0999999999999</c:v>
                </c:pt>
                <c:pt idx="20">
                  <c:v>1289.0999999999999</c:v>
                </c:pt>
                <c:pt idx="21">
                  <c:v>1290.0999999999999</c:v>
                </c:pt>
                <c:pt idx="22">
                  <c:v>1275.5</c:v>
                </c:pt>
                <c:pt idx="23">
                  <c:v>1327.5</c:v>
                </c:pt>
                <c:pt idx="24">
                  <c:v>1353.2</c:v>
                </c:pt>
                <c:pt idx="25">
                  <c:v>1370.5</c:v>
                </c:pt>
                <c:pt idx="26">
                  <c:v>1373.7</c:v>
                </c:pt>
                <c:pt idx="27">
                  <c:v>1391.2</c:v>
                </c:pt>
                <c:pt idx="28">
                  <c:v>1365.6</c:v>
                </c:pt>
                <c:pt idx="29">
                  <c:v>1369.1</c:v>
                </c:pt>
                <c:pt idx="30">
                  <c:v>1386</c:v>
                </c:pt>
                <c:pt idx="31">
                  <c:v>1471.9</c:v>
                </c:pt>
                <c:pt idx="32">
                  <c:v>1497.8</c:v>
                </c:pt>
                <c:pt idx="33">
                  <c:v>1497.2</c:v>
                </c:pt>
                <c:pt idx="34">
                  <c:v>1507.1</c:v>
                </c:pt>
                <c:pt idx="35">
                  <c:v>1520.2</c:v>
                </c:pt>
                <c:pt idx="36">
                  <c:v>1535.8</c:v>
                </c:pt>
                <c:pt idx="37">
                  <c:v>1656</c:v>
                </c:pt>
                <c:pt idx="38">
                  <c:v>1629.4</c:v>
                </c:pt>
                <c:pt idx="39">
                  <c:v>1654.5</c:v>
                </c:pt>
                <c:pt idx="40">
                  <c:v>1641</c:v>
                </c:pt>
                <c:pt idx="41">
                  <c:v>1659.5</c:v>
                </c:pt>
                <c:pt idx="42">
                  <c:v>1666.5</c:v>
                </c:pt>
                <c:pt idx="43">
                  <c:v>1682.7</c:v>
                </c:pt>
                <c:pt idx="44">
                  <c:v>1670.8</c:v>
                </c:pt>
                <c:pt idx="45">
                  <c:v>1663.5</c:v>
                </c:pt>
                <c:pt idx="46">
                  <c:v>1654.4</c:v>
                </c:pt>
                <c:pt idx="47">
                  <c:v>1658.9</c:v>
                </c:pt>
                <c:pt idx="48">
                  <c:v>1681.2</c:v>
                </c:pt>
                <c:pt idx="49">
                  <c:v>1689.8</c:v>
                </c:pt>
                <c:pt idx="50">
                  <c:v>1599.8</c:v>
                </c:pt>
                <c:pt idx="51">
                  <c:v>1599</c:v>
                </c:pt>
                <c:pt idx="52">
                  <c:v>1595.9</c:v>
                </c:pt>
                <c:pt idx="53">
                  <c:v>1614.1</c:v>
                </c:pt>
                <c:pt idx="54">
                  <c:v>1613.3</c:v>
                </c:pt>
                <c:pt idx="55">
                  <c:v>1639</c:v>
                </c:pt>
                <c:pt idx="56">
                  <c:v>1612.2</c:v>
                </c:pt>
                <c:pt idx="57">
                  <c:v>1606.4</c:v>
                </c:pt>
                <c:pt idx="58">
                  <c:v>1640.4</c:v>
                </c:pt>
                <c:pt idx="59">
                  <c:v>1629.8</c:v>
                </c:pt>
                <c:pt idx="60">
                  <c:v>1615.4</c:v>
                </c:pt>
                <c:pt idx="61">
                  <c:v>1621.6</c:v>
                </c:pt>
                <c:pt idx="62">
                  <c:v>1644.7</c:v>
                </c:pt>
                <c:pt idx="63">
                  <c:v>1656.1</c:v>
                </c:pt>
                <c:pt idx="64">
                  <c:v>1663.4</c:v>
                </c:pt>
                <c:pt idx="65">
                  <c:v>1668.3</c:v>
                </c:pt>
                <c:pt idx="66">
                  <c:v>1689.6</c:v>
                </c:pt>
                <c:pt idx="67">
                  <c:v>1638.7</c:v>
                </c:pt>
                <c:pt idx="68">
                  <c:v>1626.8</c:v>
                </c:pt>
                <c:pt idx="69">
                  <c:v>1602</c:v>
                </c:pt>
                <c:pt idx="70">
                  <c:v>1592.9</c:v>
                </c:pt>
                <c:pt idx="71">
                  <c:v>1606.8</c:v>
                </c:pt>
                <c:pt idx="72">
                  <c:v>1598.2</c:v>
                </c:pt>
                <c:pt idx="73">
                  <c:v>1598</c:v>
                </c:pt>
                <c:pt idx="74">
                  <c:v>1584.8</c:v>
                </c:pt>
                <c:pt idx="75">
                  <c:v>1599</c:v>
                </c:pt>
                <c:pt idx="76">
                  <c:v>1610.8</c:v>
                </c:pt>
                <c:pt idx="77">
                  <c:v>1616.2</c:v>
                </c:pt>
                <c:pt idx="78">
                  <c:v>1597.6</c:v>
                </c:pt>
                <c:pt idx="79">
                  <c:v>1578.7</c:v>
                </c:pt>
                <c:pt idx="80">
                  <c:v>1561</c:v>
                </c:pt>
                <c:pt idx="81">
                  <c:v>1564</c:v>
                </c:pt>
                <c:pt idx="82">
                  <c:v>1560.1</c:v>
                </c:pt>
                <c:pt idx="83">
                  <c:v>1566.4</c:v>
                </c:pt>
                <c:pt idx="84">
                  <c:v>1557.9</c:v>
                </c:pt>
                <c:pt idx="85">
                  <c:v>1530.6</c:v>
                </c:pt>
                <c:pt idx="86">
                  <c:v>1548</c:v>
                </c:pt>
                <c:pt idx="87">
                  <c:v>1545</c:v>
                </c:pt>
                <c:pt idx="88">
                  <c:v>1536.5</c:v>
                </c:pt>
                <c:pt idx="89">
                  <c:v>1541.1</c:v>
                </c:pt>
                <c:pt idx="90">
                  <c:v>1486.4</c:v>
                </c:pt>
                <c:pt idx="91">
                  <c:v>1507.6</c:v>
                </c:pt>
                <c:pt idx="92">
                  <c:v>1502.8</c:v>
                </c:pt>
                <c:pt idx="93">
                  <c:v>1541.8</c:v>
                </c:pt>
                <c:pt idx="94">
                  <c:v>1551.7</c:v>
                </c:pt>
                <c:pt idx="95">
                  <c:v>1530.3</c:v>
                </c:pt>
                <c:pt idx="96">
                  <c:v>1513.5</c:v>
                </c:pt>
                <c:pt idx="97">
                  <c:v>1476.8</c:v>
                </c:pt>
                <c:pt idx="98">
                  <c:v>1466.7</c:v>
                </c:pt>
                <c:pt idx="99">
                  <c:v>1467.9</c:v>
                </c:pt>
                <c:pt idx="100">
                  <c:v>1485.5</c:v>
                </c:pt>
                <c:pt idx="101">
                  <c:v>1482.3</c:v>
                </c:pt>
                <c:pt idx="102">
                  <c:v>1493.8</c:v>
                </c:pt>
                <c:pt idx="103">
                  <c:v>1510.4</c:v>
                </c:pt>
                <c:pt idx="104">
                  <c:v>1500.2</c:v>
                </c:pt>
                <c:pt idx="105">
                  <c:v>1504.5</c:v>
                </c:pt>
                <c:pt idx="106">
                  <c:v>1525.4</c:v>
                </c:pt>
                <c:pt idx="107">
                  <c:v>1528.5</c:v>
                </c:pt>
                <c:pt idx="108">
                  <c:v>1472.4</c:v>
                </c:pt>
                <c:pt idx="109">
                  <c:v>1460.9</c:v>
                </c:pt>
                <c:pt idx="110">
                  <c:v>1441.1</c:v>
                </c:pt>
                <c:pt idx="111">
                  <c:v>1471.5</c:v>
                </c:pt>
                <c:pt idx="112">
                  <c:v>1474.4</c:v>
                </c:pt>
                <c:pt idx="113">
                  <c:v>1489.9</c:v>
                </c:pt>
                <c:pt idx="114">
                  <c:v>1493.2</c:v>
                </c:pt>
                <c:pt idx="115">
                  <c:v>1514.9</c:v>
                </c:pt>
                <c:pt idx="116">
                  <c:v>1509.3</c:v>
                </c:pt>
                <c:pt idx="117">
                  <c:v>1495</c:v>
                </c:pt>
                <c:pt idx="118">
                  <c:v>1458.5</c:v>
                </c:pt>
                <c:pt idx="119">
                  <c:v>1476</c:v>
                </c:pt>
                <c:pt idx="120">
                  <c:v>1446.6</c:v>
                </c:pt>
                <c:pt idx="121">
                  <c:v>1445.8</c:v>
                </c:pt>
                <c:pt idx="122">
                  <c:v>1441.8</c:v>
                </c:pt>
                <c:pt idx="123">
                  <c:v>1441.8</c:v>
                </c:pt>
                <c:pt idx="124">
                  <c:v>1448.9</c:v>
                </c:pt>
                <c:pt idx="125">
                  <c:v>1484.8</c:v>
                </c:pt>
                <c:pt idx="126">
                  <c:v>1494.6</c:v>
                </c:pt>
                <c:pt idx="127">
                  <c:v>1497.5</c:v>
                </c:pt>
                <c:pt idx="128">
                  <c:v>1499.5</c:v>
                </c:pt>
                <c:pt idx="129">
                  <c:v>1540.2</c:v>
                </c:pt>
                <c:pt idx="130">
                  <c:v>1540.6</c:v>
                </c:pt>
                <c:pt idx="131">
                  <c:v>1522.4</c:v>
                </c:pt>
                <c:pt idx="132">
                  <c:v>1511.3</c:v>
                </c:pt>
                <c:pt idx="133">
                  <c:v>1508.4</c:v>
                </c:pt>
                <c:pt idx="134">
                  <c:v>1525.6</c:v>
                </c:pt>
                <c:pt idx="135">
                  <c:v>1509.7</c:v>
                </c:pt>
                <c:pt idx="136">
                  <c:v>1532.6</c:v>
                </c:pt>
                <c:pt idx="137">
                  <c:v>1504.3</c:v>
                </c:pt>
                <c:pt idx="138">
                  <c:v>1432.9</c:v>
                </c:pt>
                <c:pt idx="139">
                  <c:v>1444.6</c:v>
                </c:pt>
                <c:pt idx="140">
                  <c:v>1463</c:v>
                </c:pt>
                <c:pt idx="141">
                  <c:v>1479.1</c:v>
                </c:pt>
                <c:pt idx="142">
                  <c:v>1498.7</c:v>
                </c:pt>
                <c:pt idx="143">
                  <c:v>1499.4</c:v>
                </c:pt>
                <c:pt idx="144">
                  <c:v>1469.6</c:v>
                </c:pt>
                <c:pt idx="145">
                  <c:v>1500.1</c:v>
                </c:pt>
                <c:pt idx="146">
                  <c:v>1529.6</c:v>
                </c:pt>
                <c:pt idx="147">
                  <c:v>1532.1</c:v>
                </c:pt>
                <c:pt idx="148">
                  <c:v>1487.5</c:v>
                </c:pt>
                <c:pt idx="149">
                  <c:v>1496.4</c:v>
                </c:pt>
                <c:pt idx="150">
                  <c:v>1496.2</c:v>
                </c:pt>
                <c:pt idx="151">
                  <c:v>1440</c:v>
                </c:pt>
                <c:pt idx="152">
                  <c:v>1435.8</c:v>
                </c:pt>
                <c:pt idx="153">
                  <c:v>1447.7</c:v>
                </c:pt>
                <c:pt idx="154">
                  <c:v>1426.6</c:v>
                </c:pt>
                <c:pt idx="155">
                  <c:v>1424.1</c:v>
                </c:pt>
                <c:pt idx="156">
                  <c:v>1428.2</c:v>
                </c:pt>
                <c:pt idx="157">
                  <c:v>1423.1</c:v>
                </c:pt>
                <c:pt idx="158">
                  <c:v>1436.9</c:v>
                </c:pt>
                <c:pt idx="159">
                  <c:v>1436.7</c:v>
                </c:pt>
                <c:pt idx="160">
                  <c:v>1460.3</c:v>
                </c:pt>
                <c:pt idx="161">
                  <c:v>1480.5</c:v>
                </c:pt>
                <c:pt idx="162">
                  <c:v>1469.6</c:v>
                </c:pt>
                <c:pt idx="163">
                  <c:v>1509</c:v>
                </c:pt>
                <c:pt idx="164">
                  <c:v>1519</c:v>
                </c:pt>
                <c:pt idx="165">
                  <c:v>1513.7</c:v>
                </c:pt>
                <c:pt idx="166">
                  <c:v>1516</c:v>
                </c:pt>
                <c:pt idx="167">
                  <c:v>1515.7</c:v>
                </c:pt>
                <c:pt idx="168">
                  <c:v>1552.5</c:v>
                </c:pt>
                <c:pt idx="169">
                  <c:v>1574.5</c:v>
                </c:pt>
                <c:pt idx="170">
                  <c:v>1570.9</c:v>
                </c:pt>
                <c:pt idx="171">
                  <c:v>1584.3</c:v>
                </c:pt>
                <c:pt idx="172">
                  <c:v>1586.1</c:v>
                </c:pt>
                <c:pt idx="173">
                  <c:v>1583.5</c:v>
                </c:pt>
                <c:pt idx="174">
                  <c:v>1607.9</c:v>
                </c:pt>
                <c:pt idx="175">
                  <c:v>1585.6</c:v>
                </c:pt>
                <c:pt idx="176">
                  <c:v>1570.3</c:v>
                </c:pt>
                <c:pt idx="177">
                  <c:v>1594.9</c:v>
                </c:pt>
                <c:pt idx="178">
                  <c:v>1615.8</c:v>
                </c:pt>
                <c:pt idx="179">
                  <c:v>1633.7</c:v>
                </c:pt>
                <c:pt idx="180">
                  <c:v>1638.7</c:v>
                </c:pt>
                <c:pt idx="181">
                  <c:v>1627</c:v>
                </c:pt>
                <c:pt idx="182">
                  <c:v>1640.7</c:v>
                </c:pt>
                <c:pt idx="183">
                  <c:v>1618.7</c:v>
                </c:pt>
                <c:pt idx="184">
                  <c:v>1610.5</c:v>
                </c:pt>
                <c:pt idx="185">
                  <c:v>1606.8</c:v>
                </c:pt>
                <c:pt idx="186">
                  <c:v>1601.8</c:v>
                </c:pt>
                <c:pt idx="187">
                  <c:v>1608</c:v>
                </c:pt>
                <c:pt idx="188">
                  <c:v>1616</c:v>
                </c:pt>
                <c:pt idx="189">
                  <c:v>1614.9</c:v>
                </c:pt>
                <c:pt idx="190">
                  <c:v>1581.6</c:v>
                </c:pt>
                <c:pt idx="191">
                  <c:v>1584</c:v>
                </c:pt>
                <c:pt idx="192">
                  <c:v>1622.9</c:v>
                </c:pt>
                <c:pt idx="193">
                  <c:v>1618.4</c:v>
                </c:pt>
                <c:pt idx="194">
                  <c:v>1632.9</c:v>
                </c:pt>
                <c:pt idx="195">
                  <c:v>1639.9</c:v>
                </c:pt>
                <c:pt idx="196">
                  <c:v>1623.8</c:v>
                </c:pt>
                <c:pt idx="197">
                  <c:v>1602</c:v>
                </c:pt>
                <c:pt idx="198">
                  <c:v>1608.6</c:v>
                </c:pt>
                <c:pt idx="199">
                  <c:v>1631.1</c:v>
                </c:pt>
                <c:pt idx="200">
                  <c:v>1596</c:v>
                </c:pt>
                <c:pt idx="201">
                  <c:v>1572.9</c:v>
                </c:pt>
                <c:pt idx="202">
                  <c:v>1563.8</c:v>
                </c:pt>
                <c:pt idx="203">
                  <c:v>1554.3</c:v>
                </c:pt>
                <c:pt idx="204">
                  <c:v>1551.2</c:v>
                </c:pt>
                <c:pt idx="205">
                  <c:v>1543</c:v>
                </c:pt>
                <c:pt idx="206">
                  <c:v>1553.8</c:v>
                </c:pt>
                <c:pt idx="207">
                  <c:v>1562.7</c:v>
                </c:pt>
                <c:pt idx="208">
                  <c:v>1585.6</c:v>
                </c:pt>
                <c:pt idx="209">
                  <c:v>1571.8</c:v>
                </c:pt>
                <c:pt idx="210">
                  <c:v>1570.1</c:v>
                </c:pt>
                <c:pt idx="211">
                  <c:v>1580.5</c:v>
                </c:pt>
                <c:pt idx="212">
                  <c:v>1564.8</c:v>
                </c:pt>
                <c:pt idx="213">
                  <c:v>1547.5</c:v>
                </c:pt>
                <c:pt idx="214">
                  <c:v>1568.5</c:v>
                </c:pt>
                <c:pt idx="215">
                  <c:v>1560.6</c:v>
                </c:pt>
                <c:pt idx="216">
                  <c:v>1559.8</c:v>
                </c:pt>
                <c:pt idx="217">
                  <c:v>1589.9</c:v>
                </c:pt>
                <c:pt idx="218">
                  <c:v>1613</c:v>
                </c:pt>
                <c:pt idx="219">
                  <c:v>1592.4</c:v>
                </c:pt>
                <c:pt idx="220">
                  <c:v>1568.6</c:v>
                </c:pt>
                <c:pt idx="221">
                  <c:v>1626.9</c:v>
                </c:pt>
                <c:pt idx="222">
                  <c:v>1507.6</c:v>
                </c:pt>
                <c:pt idx="223">
                  <c:v>1511.4</c:v>
                </c:pt>
                <c:pt idx="224">
                  <c:v>1508.3</c:v>
                </c:pt>
                <c:pt idx="225">
                  <c:v>1511.5</c:v>
                </c:pt>
                <c:pt idx="226">
                  <c:v>1508.6</c:v>
                </c:pt>
                <c:pt idx="227">
                  <c:v>1506.8</c:v>
                </c:pt>
                <c:pt idx="228">
                  <c:v>1500.1</c:v>
                </c:pt>
                <c:pt idx="229">
                  <c:v>1497.5</c:v>
                </c:pt>
                <c:pt idx="230">
                  <c:v>1482.1</c:v>
                </c:pt>
                <c:pt idx="231">
                  <c:v>1480.2</c:v>
                </c:pt>
                <c:pt idx="232">
                  <c:v>1471.4</c:v>
                </c:pt>
                <c:pt idx="233">
                  <c:v>1474.9</c:v>
                </c:pt>
                <c:pt idx="234">
                  <c:v>1422.8</c:v>
                </c:pt>
                <c:pt idx="235">
                  <c:v>1451</c:v>
                </c:pt>
                <c:pt idx="236">
                  <c:v>1419.5</c:v>
                </c:pt>
                <c:pt idx="237">
                  <c:v>1413.1</c:v>
                </c:pt>
                <c:pt idx="238">
                  <c:v>1426</c:v>
                </c:pt>
                <c:pt idx="239">
                  <c:v>1409.45</c:v>
                </c:pt>
                <c:pt idx="240">
                  <c:v>1403.7</c:v>
                </c:pt>
                <c:pt idx="241">
                  <c:v>1428.8</c:v>
                </c:pt>
                <c:pt idx="242">
                  <c:v>1396.75</c:v>
                </c:pt>
                <c:pt idx="243">
                  <c:v>1451.65</c:v>
                </c:pt>
                <c:pt idx="244">
                  <c:v>1496.5</c:v>
                </c:pt>
                <c:pt idx="245">
                  <c:v>1550.15</c:v>
                </c:pt>
                <c:pt idx="246">
                  <c:v>1526.5</c:v>
                </c:pt>
                <c:pt idx="247">
                  <c:v>1570.65</c:v>
                </c:pt>
                <c:pt idx="248">
                  <c:v>1603.55</c:v>
                </c:pt>
                <c:pt idx="249">
                  <c:v>1599.45</c:v>
                </c:pt>
                <c:pt idx="250">
                  <c:v>1628.45</c:v>
                </c:pt>
                <c:pt idx="251">
                  <c:v>1592.75</c:v>
                </c:pt>
                <c:pt idx="252">
                  <c:v>1592.55</c:v>
                </c:pt>
                <c:pt idx="253">
                  <c:v>1615.55</c:v>
                </c:pt>
                <c:pt idx="254">
                  <c:v>1586.55</c:v>
                </c:pt>
                <c:pt idx="255">
                  <c:v>1609.35</c:v>
                </c:pt>
                <c:pt idx="256">
                  <c:v>1590.05</c:v>
                </c:pt>
                <c:pt idx="257">
                  <c:v>1579.85</c:v>
                </c:pt>
                <c:pt idx="258">
                  <c:v>1590.85</c:v>
                </c:pt>
                <c:pt idx="259">
                  <c:v>1661.6</c:v>
                </c:pt>
                <c:pt idx="260">
                  <c:v>1701.45</c:v>
                </c:pt>
                <c:pt idx="261">
                  <c:v>1686</c:v>
                </c:pt>
                <c:pt idx="262">
                  <c:v>1715.85</c:v>
                </c:pt>
                <c:pt idx="263">
                  <c:v>1711.5</c:v>
                </c:pt>
                <c:pt idx="264">
                  <c:v>1688.3</c:v>
                </c:pt>
                <c:pt idx="265">
                  <c:v>1708.6</c:v>
                </c:pt>
                <c:pt idx="266">
                  <c:v>1687.7</c:v>
                </c:pt>
                <c:pt idx="267">
                  <c:v>1764.3</c:v>
                </c:pt>
                <c:pt idx="268">
                  <c:v>1767.7</c:v>
                </c:pt>
                <c:pt idx="269">
                  <c:v>1764.1</c:v>
                </c:pt>
                <c:pt idx="270">
                  <c:v>1815</c:v>
                </c:pt>
                <c:pt idx="271">
                  <c:v>1825.15</c:v>
                </c:pt>
                <c:pt idx="272">
                  <c:v>1810.8</c:v>
                </c:pt>
                <c:pt idx="273">
                  <c:v>1851.95</c:v>
                </c:pt>
                <c:pt idx="274">
                  <c:v>1842.3</c:v>
                </c:pt>
                <c:pt idx="275">
                  <c:v>1856.4</c:v>
                </c:pt>
                <c:pt idx="276">
                  <c:v>1843.25</c:v>
                </c:pt>
                <c:pt idx="277">
                  <c:v>1863.15</c:v>
                </c:pt>
                <c:pt idx="278">
                  <c:v>1875.65</c:v>
                </c:pt>
                <c:pt idx="279">
                  <c:v>1880.3</c:v>
                </c:pt>
                <c:pt idx="280">
                  <c:v>1903.65</c:v>
                </c:pt>
                <c:pt idx="281">
                  <c:v>1915.65</c:v>
                </c:pt>
                <c:pt idx="282">
                  <c:v>1897.05</c:v>
                </c:pt>
                <c:pt idx="283">
                  <c:v>1898.8</c:v>
                </c:pt>
                <c:pt idx="284">
                  <c:v>1863.3</c:v>
                </c:pt>
                <c:pt idx="285">
                  <c:v>1851.35</c:v>
                </c:pt>
                <c:pt idx="286">
                  <c:v>1879.8</c:v>
                </c:pt>
                <c:pt idx="287">
                  <c:v>1859.95</c:v>
                </c:pt>
                <c:pt idx="288">
                  <c:v>1881.25</c:v>
                </c:pt>
                <c:pt idx="289">
                  <c:v>1829.75</c:v>
                </c:pt>
                <c:pt idx="290">
                  <c:v>1822</c:v>
                </c:pt>
                <c:pt idx="291">
                  <c:v>1875.45</c:v>
                </c:pt>
                <c:pt idx="292">
                  <c:v>1865.45</c:v>
                </c:pt>
                <c:pt idx="293">
                  <c:v>1856.45</c:v>
                </c:pt>
                <c:pt idx="294">
                  <c:v>1800.7</c:v>
                </c:pt>
                <c:pt idx="295">
                  <c:v>1813.3</c:v>
                </c:pt>
                <c:pt idx="296">
                  <c:v>1815.45</c:v>
                </c:pt>
                <c:pt idx="297">
                  <c:v>1928.45</c:v>
                </c:pt>
                <c:pt idx="298">
                  <c:v>1949.65</c:v>
                </c:pt>
                <c:pt idx="299">
                  <c:v>1940.05</c:v>
                </c:pt>
                <c:pt idx="300">
                  <c:v>1962.2</c:v>
                </c:pt>
                <c:pt idx="301">
                  <c:v>1966.95</c:v>
                </c:pt>
                <c:pt idx="302">
                  <c:v>1917.3</c:v>
                </c:pt>
                <c:pt idx="303">
                  <c:v>1933.15</c:v>
                </c:pt>
                <c:pt idx="304">
                  <c:v>1930.85</c:v>
                </c:pt>
                <c:pt idx="305">
                  <c:v>1937.85</c:v>
                </c:pt>
                <c:pt idx="306">
                  <c:v>1938.75</c:v>
                </c:pt>
                <c:pt idx="307">
                  <c:v>1957.85</c:v>
                </c:pt>
                <c:pt idx="308">
                  <c:v>1882.5</c:v>
                </c:pt>
                <c:pt idx="309">
                  <c:v>1880</c:v>
                </c:pt>
                <c:pt idx="310">
                  <c:v>1906</c:v>
                </c:pt>
                <c:pt idx="311">
                  <c:v>1916.75</c:v>
                </c:pt>
                <c:pt idx="312">
                  <c:v>1907.4</c:v>
                </c:pt>
                <c:pt idx="313">
                  <c:v>1909.05</c:v>
                </c:pt>
                <c:pt idx="314">
                  <c:v>1924.3</c:v>
                </c:pt>
                <c:pt idx="315">
                  <c:v>1922.15</c:v>
                </c:pt>
                <c:pt idx="316">
                  <c:v>1946.2</c:v>
                </c:pt>
                <c:pt idx="317">
                  <c:v>1979.15</c:v>
                </c:pt>
                <c:pt idx="318">
                  <c:v>1976.6</c:v>
                </c:pt>
                <c:pt idx="319">
                  <c:v>1980.05</c:v>
                </c:pt>
                <c:pt idx="320">
                  <c:v>1999.7</c:v>
                </c:pt>
                <c:pt idx="321">
                  <c:v>1987</c:v>
                </c:pt>
                <c:pt idx="322">
                  <c:v>1974.15</c:v>
                </c:pt>
                <c:pt idx="323">
                  <c:v>1948.55</c:v>
                </c:pt>
                <c:pt idx="324">
                  <c:v>1923.65</c:v>
                </c:pt>
                <c:pt idx="325">
                  <c:v>1922.4</c:v>
                </c:pt>
                <c:pt idx="326">
                  <c:v>1934.85</c:v>
                </c:pt>
                <c:pt idx="327">
                  <c:v>1889.25</c:v>
                </c:pt>
                <c:pt idx="328">
                  <c:v>1892.1</c:v>
                </c:pt>
                <c:pt idx="329">
                  <c:v>1879.8</c:v>
                </c:pt>
                <c:pt idx="330">
                  <c:v>1857.85</c:v>
                </c:pt>
                <c:pt idx="331">
                  <c:v>1856.65</c:v>
                </c:pt>
                <c:pt idx="332">
                  <c:v>1924.5</c:v>
                </c:pt>
                <c:pt idx="333">
                  <c:v>1924.15</c:v>
                </c:pt>
                <c:pt idx="334">
                  <c:v>1889.7</c:v>
                </c:pt>
                <c:pt idx="335">
                  <c:v>1902.25</c:v>
                </c:pt>
                <c:pt idx="336">
                  <c:v>1834.05</c:v>
                </c:pt>
                <c:pt idx="337">
                  <c:v>1824.75</c:v>
                </c:pt>
                <c:pt idx="338">
                  <c:v>1811.45</c:v>
                </c:pt>
                <c:pt idx="339">
                  <c:v>1864.55</c:v>
                </c:pt>
                <c:pt idx="340">
                  <c:v>1868.4</c:v>
                </c:pt>
                <c:pt idx="341">
                  <c:v>1868.8</c:v>
                </c:pt>
                <c:pt idx="342">
                  <c:v>1860.1</c:v>
                </c:pt>
                <c:pt idx="343">
                  <c:v>1829.95</c:v>
                </c:pt>
                <c:pt idx="344">
                  <c:v>1803.05</c:v>
                </c:pt>
                <c:pt idx="345">
                  <c:v>1823.7</c:v>
                </c:pt>
                <c:pt idx="346">
                  <c:v>1754.2</c:v>
                </c:pt>
                <c:pt idx="347">
                  <c:v>1763.65</c:v>
                </c:pt>
                <c:pt idx="348">
                  <c:v>1760.85</c:v>
                </c:pt>
                <c:pt idx="349">
                  <c:v>1757.25</c:v>
                </c:pt>
                <c:pt idx="350">
                  <c:v>1802.1</c:v>
                </c:pt>
                <c:pt idx="351">
                  <c:v>1839.3</c:v>
                </c:pt>
                <c:pt idx="352">
                  <c:v>1865.35</c:v>
                </c:pt>
                <c:pt idx="353">
                  <c:v>1862.05</c:v>
                </c:pt>
                <c:pt idx="354">
                  <c:v>1863.35</c:v>
                </c:pt>
                <c:pt idx="355">
                  <c:v>1873.4</c:v>
                </c:pt>
                <c:pt idx="356">
                  <c:v>1851.6</c:v>
                </c:pt>
                <c:pt idx="357">
                  <c:v>1852.75</c:v>
                </c:pt>
                <c:pt idx="358">
                  <c:v>1879.6</c:v>
                </c:pt>
                <c:pt idx="359">
                  <c:v>1968.1</c:v>
                </c:pt>
                <c:pt idx="360">
                  <c:v>1920.1</c:v>
                </c:pt>
                <c:pt idx="361">
                  <c:v>1959.3</c:v>
                </c:pt>
                <c:pt idx="362">
                  <c:v>1958.9</c:v>
                </c:pt>
                <c:pt idx="363">
                  <c:v>1935.1</c:v>
                </c:pt>
                <c:pt idx="364">
                  <c:v>1919</c:v>
                </c:pt>
                <c:pt idx="365">
                  <c:v>1952.75</c:v>
                </c:pt>
                <c:pt idx="366">
                  <c:v>1948.55</c:v>
                </c:pt>
                <c:pt idx="367">
                  <c:v>1934.3</c:v>
                </c:pt>
                <c:pt idx="368">
                  <c:v>1918.15</c:v>
                </c:pt>
                <c:pt idx="369">
                  <c:v>1893.4</c:v>
                </c:pt>
                <c:pt idx="370">
                  <c:v>1904.35</c:v>
                </c:pt>
                <c:pt idx="371">
                  <c:v>1875.6</c:v>
                </c:pt>
                <c:pt idx="372">
                  <c:v>1906.75</c:v>
                </c:pt>
                <c:pt idx="373">
                  <c:v>1900.25</c:v>
                </c:pt>
                <c:pt idx="374">
                  <c:v>1895.3</c:v>
                </c:pt>
                <c:pt idx="375">
                  <c:v>1898.6</c:v>
                </c:pt>
                <c:pt idx="376">
                  <c:v>1896.45</c:v>
                </c:pt>
                <c:pt idx="377">
                  <c:v>1905.75</c:v>
                </c:pt>
                <c:pt idx="378">
                  <c:v>1894.2</c:v>
                </c:pt>
                <c:pt idx="379">
                  <c:v>1892.15</c:v>
                </c:pt>
                <c:pt idx="380">
                  <c:v>1952.55</c:v>
                </c:pt>
                <c:pt idx="381">
                  <c:v>1950.25</c:v>
                </c:pt>
                <c:pt idx="382">
                  <c:v>1944.1</c:v>
                </c:pt>
                <c:pt idx="383">
                  <c:v>1950.45</c:v>
                </c:pt>
                <c:pt idx="384">
                  <c:v>1910.15</c:v>
                </c:pt>
                <c:pt idx="385">
                  <c:v>1912.3</c:v>
                </c:pt>
                <c:pt idx="386">
                  <c:v>1894.65</c:v>
                </c:pt>
                <c:pt idx="387">
                  <c:v>1901.85</c:v>
                </c:pt>
                <c:pt idx="388">
                  <c:v>1933.15</c:v>
                </c:pt>
                <c:pt idx="389">
                  <c:v>1922.45</c:v>
                </c:pt>
                <c:pt idx="390">
                  <c:v>1941.25</c:v>
                </c:pt>
                <c:pt idx="391">
                  <c:v>1964.5</c:v>
                </c:pt>
                <c:pt idx="392">
                  <c:v>1943.7</c:v>
                </c:pt>
                <c:pt idx="393">
                  <c:v>1933.35</c:v>
                </c:pt>
                <c:pt idx="394">
                  <c:v>1939.1</c:v>
                </c:pt>
                <c:pt idx="395">
                  <c:v>1900.1</c:v>
                </c:pt>
                <c:pt idx="396">
                  <c:v>1876.15</c:v>
                </c:pt>
                <c:pt idx="397">
                  <c:v>1862.1</c:v>
                </c:pt>
                <c:pt idx="398">
                  <c:v>1880.25</c:v>
                </c:pt>
                <c:pt idx="399">
                  <c:v>1872.7</c:v>
                </c:pt>
                <c:pt idx="400">
                  <c:v>1872.2</c:v>
                </c:pt>
                <c:pt idx="401">
                  <c:v>1864.8</c:v>
                </c:pt>
                <c:pt idx="402">
                  <c:v>1858.95</c:v>
                </c:pt>
                <c:pt idx="403">
                  <c:v>1823.25</c:v>
                </c:pt>
                <c:pt idx="404">
                  <c:v>1797.45</c:v>
                </c:pt>
                <c:pt idx="405">
                  <c:v>1797.4</c:v>
                </c:pt>
                <c:pt idx="406">
                  <c:v>1770.75</c:v>
                </c:pt>
                <c:pt idx="407">
                  <c:v>1743.15</c:v>
                </c:pt>
                <c:pt idx="408">
                  <c:v>1791.65</c:v>
                </c:pt>
                <c:pt idx="409">
                  <c:v>1751.1</c:v>
                </c:pt>
                <c:pt idx="410">
                  <c:v>1751.9</c:v>
                </c:pt>
                <c:pt idx="411">
                  <c:v>1821.2</c:v>
                </c:pt>
                <c:pt idx="412">
                  <c:v>1852.6</c:v>
                </c:pt>
                <c:pt idx="413">
                  <c:v>1868.25</c:v>
                </c:pt>
                <c:pt idx="414">
                  <c:v>1877.15</c:v>
                </c:pt>
                <c:pt idx="415">
                  <c:v>1871.1</c:v>
                </c:pt>
                <c:pt idx="416">
                  <c:v>1878.9</c:v>
                </c:pt>
                <c:pt idx="417">
                  <c:v>1824.85</c:v>
                </c:pt>
                <c:pt idx="418">
                  <c:v>1833.95</c:v>
                </c:pt>
                <c:pt idx="419">
                  <c:v>1836.9</c:v>
                </c:pt>
                <c:pt idx="420">
                  <c:v>1810.85</c:v>
                </c:pt>
                <c:pt idx="421">
                  <c:v>1792.95</c:v>
                </c:pt>
                <c:pt idx="422">
                  <c:v>1758.05</c:v>
                </c:pt>
                <c:pt idx="423">
                  <c:v>1726.05</c:v>
                </c:pt>
                <c:pt idx="424">
                  <c:v>1707.05</c:v>
                </c:pt>
                <c:pt idx="425">
                  <c:v>1711.75</c:v>
                </c:pt>
                <c:pt idx="426">
                  <c:v>1652.7</c:v>
                </c:pt>
                <c:pt idx="427">
                  <c:v>1648.25</c:v>
                </c:pt>
                <c:pt idx="428">
                  <c:v>1657.15</c:v>
                </c:pt>
                <c:pt idx="429">
                  <c:v>1661.65</c:v>
                </c:pt>
                <c:pt idx="430">
                  <c:v>1647.45</c:v>
                </c:pt>
                <c:pt idx="431">
                  <c:v>1650.65</c:v>
                </c:pt>
                <c:pt idx="432">
                  <c:v>1627.4</c:v>
                </c:pt>
                <c:pt idx="433">
                  <c:v>1621.05</c:v>
                </c:pt>
                <c:pt idx="434">
                  <c:v>1590.8</c:v>
                </c:pt>
                <c:pt idx="435">
                  <c:v>1566.75</c:v>
                </c:pt>
                <c:pt idx="436">
                  <c:v>1573.35</c:v>
                </c:pt>
                <c:pt idx="437">
                  <c:v>1540.7</c:v>
                </c:pt>
                <c:pt idx="438">
                  <c:v>1541.95</c:v>
                </c:pt>
                <c:pt idx="439">
                  <c:v>1527.15</c:v>
                </c:pt>
                <c:pt idx="440">
                  <c:v>1532.7</c:v>
                </c:pt>
                <c:pt idx="441">
                  <c:v>1515.4</c:v>
                </c:pt>
                <c:pt idx="442">
                  <c:v>1511.35</c:v>
                </c:pt>
                <c:pt idx="443">
                  <c:v>1498.2</c:v>
                </c:pt>
                <c:pt idx="444">
                  <c:v>1488.9</c:v>
                </c:pt>
                <c:pt idx="445">
                  <c:v>1493.95</c:v>
                </c:pt>
                <c:pt idx="446">
                  <c:v>1485.2</c:v>
                </c:pt>
                <c:pt idx="447">
                  <c:v>1495.75</c:v>
                </c:pt>
                <c:pt idx="448">
                  <c:v>1499.75</c:v>
                </c:pt>
                <c:pt idx="449">
                  <c:v>1533.6</c:v>
                </c:pt>
                <c:pt idx="450">
                  <c:v>1472.25</c:v>
                </c:pt>
                <c:pt idx="451">
                  <c:v>1430.1</c:v>
                </c:pt>
                <c:pt idx="452">
                  <c:v>1393.65</c:v>
                </c:pt>
                <c:pt idx="453">
                  <c:v>1405.9</c:v>
                </c:pt>
                <c:pt idx="454">
                  <c:v>1406.9</c:v>
                </c:pt>
                <c:pt idx="455">
                  <c:v>1419.45</c:v>
                </c:pt>
                <c:pt idx="456">
                  <c:v>1442.82</c:v>
                </c:pt>
                <c:pt idx="457">
                  <c:v>1458.83</c:v>
                </c:pt>
                <c:pt idx="458">
                  <c:v>1463.1</c:v>
                </c:pt>
                <c:pt idx="459">
                  <c:v>1456.89</c:v>
                </c:pt>
                <c:pt idx="460">
                  <c:v>1464.15</c:v>
                </c:pt>
                <c:pt idx="461">
                  <c:v>1446.65</c:v>
                </c:pt>
                <c:pt idx="462">
                  <c:v>1426.11</c:v>
                </c:pt>
                <c:pt idx="463">
                  <c:v>1443.65</c:v>
                </c:pt>
                <c:pt idx="464">
                  <c:v>1436.21</c:v>
                </c:pt>
                <c:pt idx="465">
                  <c:v>1445.2</c:v>
                </c:pt>
                <c:pt idx="466">
                  <c:v>1411.99</c:v>
                </c:pt>
                <c:pt idx="467">
                  <c:v>1416.72</c:v>
                </c:pt>
                <c:pt idx="468">
                  <c:v>1415.47</c:v>
                </c:pt>
                <c:pt idx="469">
                  <c:v>1416.92</c:v>
                </c:pt>
                <c:pt idx="470">
                  <c:v>1431.48</c:v>
                </c:pt>
                <c:pt idx="471">
                  <c:v>1419.3</c:v>
                </c:pt>
                <c:pt idx="472">
                  <c:v>1432.88</c:v>
                </c:pt>
                <c:pt idx="473">
                  <c:v>1417.91</c:v>
                </c:pt>
                <c:pt idx="474">
                  <c:v>1408.36</c:v>
                </c:pt>
                <c:pt idx="475">
                  <c:v>1406.52</c:v>
                </c:pt>
                <c:pt idx="476">
                  <c:v>1412.59</c:v>
                </c:pt>
                <c:pt idx="477">
                  <c:v>1426.71</c:v>
                </c:pt>
                <c:pt idx="478">
                  <c:v>1422.23</c:v>
                </c:pt>
                <c:pt idx="479">
                  <c:v>1430.39</c:v>
                </c:pt>
                <c:pt idx="480">
                  <c:v>1422.73</c:v>
                </c:pt>
                <c:pt idx="481">
                  <c:v>1434.32</c:v>
                </c:pt>
                <c:pt idx="482">
                  <c:v>1424.72</c:v>
                </c:pt>
                <c:pt idx="483">
                  <c:v>1403.34</c:v>
                </c:pt>
                <c:pt idx="484">
                  <c:v>1411.3</c:v>
                </c:pt>
                <c:pt idx="485">
                  <c:v>1406.52</c:v>
                </c:pt>
                <c:pt idx="486">
                  <c:v>1459.92</c:v>
                </c:pt>
                <c:pt idx="487">
                  <c:v>1476.43</c:v>
                </c:pt>
                <c:pt idx="488">
                  <c:v>1498.36</c:v>
                </c:pt>
                <c:pt idx="489">
                  <c:v>1486.47</c:v>
                </c:pt>
                <c:pt idx="490">
                  <c:v>1468.43</c:v>
                </c:pt>
                <c:pt idx="491">
                  <c:v>1470.81</c:v>
                </c:pt>
                <c:pt idx="492">
                  <c:v>1478.37</c:v>
                </c:pt>
                <c:pt idx="493">
                  <c:v>1472.35</c:v>
                </c:pt>
                <c:pt idx="494">
                  <c:v>1474.54</c:v>
                </c:pt>
                <c:pt idx="495">
                  <c:v>1487.07</c:v>
                </c:pt>
                <c:pt idx="496">
                  <c:v>1489.66</c:v>
                </c:pt>
                <c:pt idx="497">
                  <c:v>1475.54</c:v>
                </c:pt>
                <c:pt idx="498">
                  <c:v>1484.29</c:v>
                </c:pt>
                <c:pt idx="499">
                  <c:v>1500.39</c:v>
                </c:pt>
                <c:pt idx="500">
                  <c:v>1545.99</c:v>
                </c:pt>
                <c:pt idx="501">
                  <c:v>1546.24</c:v>
                </c:pt>
                <c:pt idx="502">
                  <c:v>1552.7</c:v>
                </c:pt>
                <c:pt idx="503">
                  <c:v>1593.67</c:v>
                </c:pt>
                <c:pt idx="504">
                  <c:v>1624.84</c:v>
                </c:pt>
                <c:pt idx="505">
                  <c:v>1644.04</c:v>
                </c:pt>
                <c:pt idx="506">
                  <c:v>1602.37</c:v>
                </c:pt>
                <c:pt idx="507">
                  <c:v>1603.91</c:v>
                </c:pt>
                <c:pt idx="508">
                  <c:v>1591.63</c:v>
                </c:pt>
                <c:pt idx="509">
                  <c:v>1607.39</c:v>
                </c:pt>
                <c:pt idx="510">
                  <c:v>1608.48</c:v>
                </c:pt>
                <c:pt idx="511">
                  <c:v>1597.5</c:v>
                </c:pt>
                <c:pt idx="512">
                  <c:v>1628.03</c:v>
                </c:pt>
                <c:pt idx="513">
                  <c:v>1656.3</c:v>
                </c:pt>
                <c:pt idx="514">
                  <c:v>1645.43</c:v>
                </c:pt>
                <c:pt idx="515">
                  <c:v>1664.52</c:v>
                </c:pt>
                <c:pt idx="516">
                  <c:v>1661.88</c:v>
                </c:pt>
                <c:pt idx="517">
                  <c:v>1654.28</c:v>
                </c:pt>
                <c:pt idx="518">
                  <c:v>1650.85</c:v>
                </c:pt>
                <c:pt idx="519">
                  <c:v>1667.45</c:v>
                </c:pt>
                <c:pt idx="520">
                  <c:v>1671.93</c:v>
                </c:pt>
                <c:pt idx="521">
                  <c:v>1646.27</c:v>
                </c:pt>
                <c:pt idx="522">
                  <c:v>1675.81</c:v>
                </c:pt>
                <c:pt idx="523">
                  <c:v>1690.22</c:v>
                </c:pt>
                <c:pt idx="524">
                  <c:v>1692.11</c:v>
                </c:pt>
                <c:pt idx="525">
                  <c:v>1666.96</c:v>
                </c:pt>
                <c:pt idx="526">
                  <c:v>1656.86</c:v>
                </c:pt>
                <c:pt idx="527">
                  <c:v>1675.11</c:v>
                </c:pt>
                <c:pt idx="528">
                  <c:v>1670.69</c:v>
                </c:pt>
                <c:pt idx="529">
                  <c:v>1659.99</c:v>
                </c:pt>
                <c:pt idx="530">
                  <c:v>1682.62</c:v>
                </c:pt>
                <c:pt idx="531">
                  <c:v>1684.26</c:v>
                </c:pt>
                <c:pt idx="532">
                  <c:v>1719.76</c:v>
                </c:pt>
                <c:pt idx="533">
                  <c:v>1677.74</c:v>
                </c:pt>
                <c:pt idx="534">
                  <c:v>1683.86</c:v>
                </c:pt>
                <c:pt idx="535">
                  <c:v>1647.76</c:v>
                </c:pt>
                <c:pt idx="536">
                  <c:v>1651.59</c:v>
                </c:pt>
                <c:pt idx="537">
                  <c:v>1642.19</c:v>
                </c:pt>
                <c:pt idx="538">
                  <c:v>1647.32</c:v>
                </c:pt>
                <c:pt idx="539">
                  <c:v>1659.75</c:v>
                </c:pt>
                <c:pt idx="540">
                  <c:v>1666.01</c:v>
                </c:pt>
                <c:pt idx="541">
                  <c:v>1632.95</c:v>
                </c:pt>
                <c:pt idx="542">
                  <c:v>1648.85</c:v>
                </c:pt>
                <c:pt idx="543">
                  <c:v>1649.9</c:v>
                </c:pt>
                <c:pt idx="544">
                  <c:v>1633.4</c:v>
                </c:pt>
                <c:pt idx="545">
                  <c:v>1631.01</c:v>
                </c:pt>
                <c:pt idx="546">
                  <c:v>1622.41</c:v>
                </c:pt>
                <c:pt idx="547">
                  <c:v>1642.84</c:v>
                </c:pt>
                <c:pt idx="548">
                  <c:v>1603.71</c:v>
                </c:pt>
                <c:pt idx="549">
                  <c:v>1485.83</c:v>
                </c:pt>
                <c:pt idx="550">
                  <c:v>1511.38</c:v>
                </c:pt>
                <c:pt idx="551">
                  <c:v>1520.73</c:v>
                </c:pt>
                <c:pt idx="552">
                  <c:v>1514.27</c:v>
                </c:pt>
                <c:pt idx="553">
                  <c:v>1523.96</c:v>
                </c:pt>
                <c:pt idx="554">
                  <c:v>1504.22</c:v>
                </c:pt>
                <c:pt idx="555">
                  <c:v>1481.65</c:v>
                </c:pt>
                <c:pt idx="556">
                  <c:v>1525.8</c:v>
                </c:pt>
                <c:pt idx="557">
                  <c:v>1542.66</c:v>
                </c:pt>
                <c:pt idx="558">
                  <c:v>1534.25</c:v>
                </c:pt>
                <c:pt idx="559">
                  <c:v>1553.89</c:v>
                </c:pt>
                <c:pt idx="560">
                  <c:v>1558.32</c:v>
                </c:pt>
                <c:pt idx="561">
                  <c:v>1535.3</c:v>
                </c:pt>
                <c:pt idx="562">
                  <c:v>1554.14</c:v>
                </c:pt>
                <c:pt idx="563">
                  <c:v>1527.39</c:v>
                </c:pt>
                <c:pt idx="564">
                  <c:v>1527.79</c:v>
                </c:pt>
                <c:pt idx="565">
                  <c:v>1549.57</c:v>
                </c:pt>
                <c:pt idx="566">
                  <c:v>1555.58</c:v>
                </c:pt>
                <c:pt idx="567">
                  <c:v>1569.56</c:v>
                </c:pt>
                <c:pt idx="568">
                  <c:v>1493.04</c:v>
                </c:pt>
                <c:pt idx="569">
                  <c:v>1440.88</c:v>
                </c:pt>
                <c:pt idx="570">
                  <c:v>1467.78</c:v>
                </c:pt>
                <c:pt idx="571">
                  <c:v>1480.16</c:v>
                </c:pt>
                <c:pt idx="572">
                  <c:v>1482.79</c:v>
                </c:pt>
                <c:pt idx="573">
                  <c:v>1457.69</c:v>
                </c:pt>
                <c:pt idx="574">
                  <c:v>1466.04</c:v>
                </c:pt>
                <c:pt idx="575">
                  <c:v>1445.8</c:v>
                </c:pt>
                <c:pt idx="576">
                  <c:v>1456.14</c:v>
                </c:pt>
                <c:pt idx="577">
                  <c:v>1444.16</c:v>
                </c:pt>
                <c:pt idx="578">
                  <c:v>1446.99</c:v>
                </c:pt>
                <c:pt idx="579">
                  <c:v>1451.42</c:v>
                </c:pt>
                <c:pt idx="580">
                  <c:v>1434.61</c:v>
                </c:pt>
                <c:pt idx="581">
                  <c:v>1429.34</c:v>
                </c:pt>
                <c:pt idx="582">
                  <c:v>1441.13</c:v>
                </c:pt>
                <c:pt idx="583">
                  <c:v>1449.63</c:v>
                </c:pt>
                <c:pt idx="584">
                  <c:v>1430.94</c:v>
                </c:pt>
                <c:pt idx="585">
                  <c:v>1428.55</c:v>
                </c:pt>
                <c:pt idx="586">
                  <c:v>1429.49</c:v>
                </c:pt>
                <c:pt idx="587">
                  <c:v>1436.8</c:v>
                </c:pt>
                <c:pt idx="588">
                  <c:v>1402.6</c:v>
                </c:pt>
                <c:pt idx="589">
                  <c:v>1365.85</c:v>
                </c:pt>
                <c:pt idx="590">
                  <c:v>1388.2</c:v>
                </c:pt>
                <c:pt idx="591">
                  <c:v>1361.18</c:v>
                </c:pt>
                <c:pt idx="592">
                  <c:v>1367.1</c:v>
                </c:pt>
                <c:pt idx="593">
                  <c:v>1383.2</c:v>
                </c:pt>
                <c:pt idx="594">
                  <c:v>1396.43</c:v>
                </c:pt>
                <c:pt idx="595">
                  <c:v>1395.44</c:v>
                </c:pt>
                <c:pt idx="596">
                  <c:v>1381.27</c:v>
                </c:pt>
                <c:pt idx="597">
                  <c:v>1362.47</c:v>
                </c:pt>
                <c:pt idx="598">
                  <c:v>1346.56</c:v>
                </c:pt>
                <c:pt idx="599">
                  <c:v>1360.73</c:v>
                </c:pt>
                <c:pt idx="600">
                  <c:v>1369.33</c:v>
                </c:pt>
                <c:pt idx="601">
                  <c:v>1372.61</c:v>
                </c:pt>
                <c:pt idx="602">
                  <c:v>1351.83</c:v>
                </c:pt>
                <c:pt idx="603">
                  <c:v>1362.37</c:v>
                </c:pt>
                <c:pt idx="604">
                  <c:v>1400.76</c:v>
                </c:pt>
                <c:pt idx="605">
                  <c:v>1419.25</c:v>
                </c:pt>
                <c:pt idx="606">
                  <c:v>1425.62</c:v>
                </c:pt>
                <c:pt idx="607">
                  <c:v>1432.48</c:v>
                </c:pt>
                <c:pt idx="608">
                  <c:v>1434.37</c:v>
                </c:pt>
                <c:pt idx="609">
                  <c:v>1426.11</c:v>
                </c:pt>
                <c:pt idx="610">
                  <c:v>1423.13</c:v>
                </c:pt>
                <c:pt idx="611">
                  <c:v>1457.29</c:v>
                </c:pt>
                <c:pt idx="612">
                  <c:v>1486.03</c:v>
                </c:pt>
                <c:pt idx="613">
                  <c:v>1486.77</c:v>
                </c:pt>
                <c:pt idx="614">
                  <c:v>1467.18</c:v>
                </c:pt>
                <c:pt idx="615">
                  <c:v>1470.41</c:v>
                </c:pt>
                <c:pt idx="616">
                  <c:v>1455.25</c:v>
                </c:pt>
                <c:pt idx="617">
                  <c:v>1436.26</c:v>
                </c:pt>
                <c:pt idx="618">
                  <c:v>1425.96</c:v>
                </c:pt>
                <c:pt idx="619">
                  <c:v>1427.41</c:v>
                </c:pt>
                <c:pt idx="620">
                  <c:v>1431.38</c:v>
                </c:pt>
                <c:pt idx="621">
                  <c:v>1458.78</c:v>
                </c:pt>
                <c:pt idx="622">
                  <c:v>1452.46</c:v>
                </c:pt>
                <c:pt idx="623">
                  <c:v>1465.89</c:v>
                </c:pt>
                <c:pt idx="624">
                  <c:v>1487.77</c:v>
                </c:pt>
                <c:pt idx="625">
                  <c:v>1493.33</c:v>
                </c:pt>
                <c:pt idx="626">
                  <c:v>1481.9</c:v>
                </c:pt>
                <c:pt idx="627">
                  <c:v>1483.44</c:v>
                </c:pt>
                <c:pt idx="628">
                  <c:v>1503.13</c:v>
                </c:pt>
                <c:pt idx="629">
                  <c:v>1498.51</c:v>
                </c:pt>
                <c:pt idx="630">
                  <c:v>1489.95</c:v>
                </c:pt>
                <c:pt idx="631">
                  <c:v>1492.69</c:v>
                </c:pt>
                <c:pt idx="632">
                  <c:v>1468.18</c:v>
                </c:pt>
                <c:pt idx="633">
                  <c:v>1461.36</c:v>
                </c:pt>
                <c:pt idx="634">
                  <c:v>1457.98</c:v>
                </c:pt>
                <c:pt idx="635">
                  <c:v>1469.17</c:v>
                </c:pt>
                <c:pt idx="636">
                  <c:v>1470.61</c:v>
                </c:pt>
                <c:pt idx="637">
                  <c:v>1456.89</c:v>
                </c:pt>
                <c:pt idx="638">
                  <c:v>1435.76</c:v>
                </c:pt>
                <c:pt idx="639">
                  <c:v>1427.41</c:v>
                </c:pt>
                <c:pt idx="640">
                  <c:v>1427.11</c:v>
                </c:pt>
                <c:pt idx="641">
                  <c:v>1409.7</c:v>
                </c:pt>
                <c:pt idx="642">
                  <c:v>1407.72</c:v>
                </c:pt>
                <c:pt idx="643">
                  <c:v>1412.14</c:v>
                </c:pt>
                <c:pt idx="644">
                  <c:v>1415.62</c:v>
                </c:pt>
                <c:pt idx="645">
                  <c:v>1400.06</c:v>
                </c:pt>
                <c:pt idx="646">
                  <c:v>1395.88</c:v>
                </c:pt>
                <c:pt idx="647">
                  <c:v>1397.52</c:v>
                </c:pt>
                <c:pt idx="648">
                  <c:v>1381.02</c:v>
                </c:pt>
                <c:pt idx="649">
                  <c:v>1403.64</c:v>
                </c:pt>
                <c:pt idx="650">
                  <c:v>1410.55</c:v>
                </c:pt>
                <c:pt idx="651">
                  <c:v>1385.74</c:v>
                </c:pt>
                <c:pt idx="652">
                  <c:v>1364.16</c:v>
                </c:pt>
                <c:pt idx="653">
                  <c:v>1381.31</c:v>
                </c:pt>
                <c:pt idx="654">
                  <c:v>1386.59</c:v>
                </c:pt>
                <c:pt idx="655">
                  <c:v>1382.41</c:v>
                </c:pt>
                <c:pt idx="656">
                  <c:v>1385.19</c:v>
                </c:pt>
                <c:pt idx="657">
                  <c:v>1370.63</c:v>
                </c:pt>
                <c:pt idx="658">
                  <c:v>1356.65</c:v>
                </c:pt>
                <c:pt idx="659">
                  <c:v>1349.25</c:v>
                </c:pt>
                <c:pt idx="660">
                  <c:v>1357.55</c:v>
                </c:pt>
                <c:pt idx="661">
                  <c:v>1348.1</c:v>
                </c:pt>
                <c:pt idx="662">
                  <c:v>1332.99</c:v>
                </c:pt>
                <c:pt idx="663">
                  <c:v>1345.57</c:v>
                </c:pt>
                <c:pt idx="664">
                  <c:v>1341.29</c:v>
                </c:pt>
                <c:pt idx="665">
                  <c:v>1327.12</c:v>
                </c:pt>
                <c:pt idx="666">
                  <c:v>1329.11</c:v>
                </c:pt>
                <c:pt idx="667">
                  <c:v>1324.14</c:v>
                </c:pt>
                <c:pt idx="668">
                  <c:v>1441.38</c:v>
                </c:pt>
                <c:pt idx="669">
                  <c:v>1466.68</c:v>
                </c:pt>
                <c:pt idx="670">
                  <c:v>1466.93</c:v>
                </c:pt>
                <c:pt idx="671">
                  <c:v>1414.98</c:v>
                </c:pt>
                <c:pt idx="672">
                  <c:v>1417.96</c:v>
                </c:pt>
                <c:pt idx="673">
                  <c:v>1357.45</c:v>
                </c:pt>
                <c:pt idx="674">
                  <c:v>1325.83</c:v>
                </c:pt>
                <c:pt idx="675">
                  <c:v>1341.04</c:v>
                </c:pt>
                <c:pt idx="676">
                  <c:v>1321.7</c:v>
                </c:pt>
                <c:pt idx="677">
                  <c:v>1322.75</c:v>
                </c:pt>
                <c:pt idx="678">
                  <c:v>1336.37</c:v>
                </c:pt>
                <c:pt idx="679">
                  <c:v>1339.75</c:v>
                </c:pt>
                <c:pt idx="680">
                  <c:v>1337.61</c:v>
                </c:pt>
                <c:pt idx="681">
                  <c:v>1326.23</c:v>
                </c:pt>
                <c:pt idx="682">
                  <c:v>1328.02</c:v>
                </c:pt>
                <c:pt idx="683">
                  <c:v>1286.0999999999999</c:v>
                </c:pt>
                <c:pt idx="684">
                  <c:v>1271.98</c:v>
                </c:pt>
                <c:pt idx="685">
                  <c:v>1263.23</c:v>
                </c:pt>
                <c:pt idx="686">
                  <c:v>1257.9100000000001</c:v>
                </c:pt>
                <c:pt idx="687">
                  <c:v>1274.3699999999999</c:v>
                </c:pt>
                <c:pt idx="688">
                  <c:v>1292.07</c:v>
                </c:pt>
                <c:pt idx="689">
                  <c:v>1296.0999999999999</c:v>
                </c:pt>
                <c:pt idx="690">
                  <c:v>1286.75</c:v>
                </c:pt>
                <c:pt idx="691">
                  <c:v>1284.4100000000001</c:v>
                </c:pt>
                <c:pt idx="692">
                  <c:v>1279.5899999999999</c:v>
                </c:pt>
                <c:pt idx="693">
                  <c:v>1293.1099999999999</c:v>
                </c:pt>
                <c:pt idx="694">
                  <c:v>1297.54</c:v>
                </c:pt>
                <c:pt idx="695">
                  <c:v>1284.71</c:v>
                </c:pt>
                <c:pt idx="696">
                  <c:v>1258.8599999999999</c:v>
                </c:pt>
                <c:pt idx="697">
                  <c:v>1275.6099999999999</c:v>
                </c:pt>
                <c:pt idx="698">
                  <c:v>1281.73</c:v>
                </c:pt>
                <c:pt idx="699">
                  <c:v>1271.83</c:v>
                </c:pt>
                <c:pt idx="700">
                  <c:v>1297.19</c:v>
                </c:pt>
                <c:pt idx="701">
                  <c:v>1291.72</c:v>
                </c:pt>
                <c:pt idx="702">
                  <c:v>1312.11</c:v>
                </c:pt>
                <c:pt idx="703">
                  <c:v>1310.91</c:v>
                </c:pt>
                <c:pt idx="704">
                  <c:v>1316.43</c:v>
                </c:pt>
                <c:pt idx="705">
                  <c:v>1307.03</c:v>
                </c:pt>
                <c:pt idx="706">
                  <c:v>1310.07</c:v>
                </c:pt>
                <c:pt idx="707">
                  <c:v>1297.04</c:v>
                </c:pt>
                <c:pt idx="708">
                  <c:v>1291.3699999999999</c:v>
                </c:pt>
                <c:pt idx="709">
                  <c:v>1292.77</c:v>
                </c:pt>
                <c:pt idx="710">
                  <c:v>1285.56</c:v>
                </c:pt>
                <c:pt idx="711">
                  <c:v>1261.79</c:v>
                </c:pt>
                <c:pt idx="712">
                  <c:v>1239.02</c:v>
                </c:pt>
                <c:pt idx="713">
                  <c:v>1239.9100000000001</c:v>
                </c:pt>
                <c:pt idx="714">
                  <c:v>1257.21</c:v>
                </c:pt>
                <c:pt idx="715">
                  <c:v>1251.3</c:v>
                </c:pt>
                <c:pt idx="716">
                  <c:v>1238.22</c:v>
                </c:pt>
                <c:pt idx="717">
                  <c:v>1249.06</c:v>
                </c:pt>
                <c:pt idx="718">
                  <c:v>1256.17</c:v>
                </c:pt>
                <c:pt idx="719">
                  <c:v>1263.58</c:v>
                </c:pt>
                <c:pt idx="720">
                  <c:v>1258.51</c:v>
                </c:pt>
                <c:pt idx="721">
                  <c:v>1252.04</c:v>
                </c:pt>
                <c:pt idx="722">
                  <c:v>1266.4100000000001</c:v>
                </c:pt>
                <c:pt idx="723">
                  <c:v>1262.04</c:v>
                </c:pt>
                <c:pt idx="724">
                  <c:v>1270.29</c:v>
                </c:pt>
                <c:pt idx="725">
                  <c:v>1245.73</c:v>
                </c:pt>
                <c:pt idx="726">
                  <c:v>1239.27</c:v>
                </c:pt>
                <c:pt idx="727">
                  <c:v>1220.67</c:v>
                </c:pt>
                <c:pt idx="728">
                  <c:v>1218.04</c:v>
                </c:pt>
                <c:pt idx="729">
                  <c:v>1219.43</c:v>
                </c:pt>
                <c:pt idx="730">
                  <c:v>1220.47</c:v>
                </c:pt>
                <c:pt idx="731">
                  <c:v>1216.54</c:v>
                </c:pt>
                <c:pt idx="732">
                  <c:v>1225.3</c:v>
                </c:pt>
                <c:pt idx="733">
                  <c:v>1252.29</c:v>
                </c:pt>
                <c:pt idx="734">
                  <c:v>1251.25</c:v>
                </c:pt>
                <c:pt idx="735">
                  <c:v>1381.42</c:v>
                </c:pt>
                <c:pt idx="736">
                  <c:v>1420.3</c:v>
                </c:pt>
                <c:pt idx="737">
                  <c:v>1398.27</c:v>
                </c:pt>
                <c:pt idx="738">
                  <c:v>1419.6</c:v>
                </c:pt>
                <c:pt idx="739">
                  <c:v>1413.93</c:v>
                </c:pt>
                <c:pt idx="740">
                  <c:v>1415.57</c:v>
                </c:pt>
                <c:pt idx="741">
                  <c:v>1402.94</c:v>
                </c:pt>
                <c:pt idx="742">
                  <c:v>1419.95</c:v>
                </c:pt>
                <c:pt idx="743">
                  <c:v>1375.8</c:v>
                </c:pt>
                <c:pt idx="744">
                  <c:v>1369.88</c:v>
                </c:pt>
                <c:pt idx="745">
                  <c:v>1381.17</c:v>
                </c:pt>
                <c:pt idx="746">
                  <c:v>1372.91</c:v>
                </c:pt>
                <c:pt idx="747">
                  <c:v>1366.85</c:v>
                </c:pt>
                <c:pt idx="748">
                  <c:v>1381.46</c:v>
                </c:pt>
                <c:pt idx="749">
                  <c:v>1382.91</c:v>
                </c:pt>
                <c:pt idx="750">
                  <c:v>1395.78</c:v>
                </c:pt>
                <c:pt idx="751">
                  <c:v>1412.74</c:v>
                </c:pt>
                <c:pt idx="752">
                  <c:v>1396.23</c:v>
                </c:pt>
                <c:pt idx="753">
                  <c:v>1411.69</c:v>
                </c:pt>
                <c:pt idx="754">
                  <c:v>1412.04</c:v>
                </c:pt>
                <c:pt idx="755">
                  <c:v>1427.06</c:v>
                </c:pt>
                <c:pt idx="756">
                  <c:v>1463.3</c:v>
                </c:pt>
                <c:pt idx="757">
                  <c:v>1472.1</c:v>
                </c:pt>
                <c:pt idx="758">
                  <c:v>1484.33</c:v>
                </c:pt>
                <c:pt idx="759">
                  <c:v>1499</c:v>
                </c:pt>
                <c:pt idx="760">
                  <c:v>1471.01</c:v>
                </c:pt>
                <c:pt idx="761">
                  <c:v>1463.9</c:v>
                </c:pt>
                <c:pt idx="762">
                  <c:v>1487.67</c:v>
                </c:pt>
                <c:pt idx="763">
                  <c:v>1479.21</c:v>
                </c:pt>
                <c:pt idx="764">
                  <c:v>1500.84</c:v>
                </c:pt>
                <c:pt idx="765">
                  <c:v>1541.96</c:v>
                </c:pt>
                <c:pt idx="766">
                  <c:v>1542.01</c:v>
                </c:pt>
                <c:pt idx="767">
                  <c:v>1553.05</c:v>
                </c:pt>
                <c:pt idx="768">
                  <c:v>1570.65</c:v>
                </c:pt>
                <c:pt idx="769">
                  <c:v>1583.53</c:v>
                </c:pt>
                <c:pt idx="770">
                  <c:v>1574.92</c:v>
                </c:pt>
                <c:pt idx="771">
                  <c:v>1592.82</c:v>
                </c:pt>
                <c:pt idx="772">
                  <c:v>1588.1</c:v>
                </c:pt>
                <c:pt idx="773">
                  <c:v>1584.32</c:v>
                </c:pt>
                <c:pt idx="774">
                  <c:v>1558.67</c:v>
                </c:pt>
                <c:pt idx="775">
                  <c:v>1599.54</c:v>
                </c:pt>
                <c:pt idx="776">
                  <c:v>1607.94</c:v>
                </c:pt>
                <c:pt idx="777">
                  <c:v>1581.59</c:v>
                </c:pt>
                <c:pt idx="778">
                  <c:v>1553.64</c:v>
                </c:pt>
                <c:pt idx="779">
                  <c:v>1561.05</c:v>
                </c:pt>
                <c:pt idx="780">
                  <c:v>1590.44</c:v>
                </c:pt>
                <c:pt idx="781">
                  <c:v>1574.88</c:v>
                </c:pt>
                <c:pt idx="782">
                  <c:v>1542.41</c:v>
                </c:pt>
                <c:pt idx="783">
                  <c:v>1525.16</c:v>
                </c:pt>
                <c:pt idx="784">
                  <c:v>1530.18</c:v>
                </c:pt>
                <c:pt idx="785">
                  <c:v>1510.64</c:v>
                </c:pt>
                <c:pt idx="786">
                  <c:v>1534.35</c:v>
                </c:pt>
                <c:pt idx="787">
                  <c:v>1543.2</c:v>
                </c:pt>
                <c:pt idx="788">
                  <c:v>1539.32</c:v>
                </c:pt>
                <c:pt idx="789">
                  <c:v>1517</c:v>
                </c:pt>
                <c:pt idx="790">
                  <c:v>1530.28</c:v>
                </c:pt>
                <c:pt idx="791">
                  <c:v>1536.74</c:v>
                </c:pt>
                <c:pt idx="792">
                  <c:v>1530.87</c:v>
                </c:pt>
                <c:pt idx="793">
                  <c:v>1516.95</c:v>
                </c:pt>
                <c:pt idx="794">
                  <c:v>1495.22</c:v>
                </c:pt>
                <c:pt idx="795">
                  <c:v>1472.3</c:v>
                </c:pt>
                <c:pt idx="796">
                  <c:v>1463.01</c:v>
                </c:pt>
                <c:pt idx="797">
                  <c:v>1461.51</c:v>
                </c:pt>
                <c:pt idx="798">
                  <c:v>1476.13</c:v>
                </c:pt>
                <c:pt idx="799">
                  <c:v>1440.38</c:v>
                </c:pt>
                <c:pt idx="800">
                  <c:v>1466.93</c:v>
                </c:pt>
                <c:pt idx="801">
                  <c:v>1486.42</c:v>
                </c:pt>
                <c:pt idx="802">
                  <c:v>1514.02</c:v>
                </c:pt>
                <c:pt idx="803">
                  <c:v>1515.46</c:v>
                </c:pt>
                <c:pt idx="804">
                  <c:v>1499.75</c:v>
                </c:pt>
                <c:pt idx="805">
                  <c:v>1509.05</c:v>
                </c:pt>
                <c:pt idx="806">
                  <c:v>1501.69</c:v>
                </c:pt>
                <c:pt idx="807">
                  <c:v>1506.36</c:v>
                </c:pt>
                <c:pt idx="808">
                  <c:v>1493.98</c:v>
                </c:pt>
                <c:pt idx="809">
                  <c:v>1488.71</c:v>
                </c:pt>
                <c:pt idx="810">
                  <c:v>1513.52</c:v>
                </c:pt>
                <c:pt idx="811">
                  <c:v>1501.09</c:v>
                </c:pt>
                <c:pt idx="812">
                  <c:v>1498.85</c:v>
                </c:pt>
                <c:pt idx="813">
                  <c:v>1498.9</c:v>
                </c:pt>
                <c:pt idx="814">
                  <c:v>1513.67</c:v>
                </c:pt>
                <c:pt idx="815">
                  <c:v>1531.87</c:v>
                </c:pt>
                <c:pt idx="816">
                  <c:v>1570.55</c:v>
                </c:pt>
                <c:pt idx="817">
                  <c:v>1563.34</c:v>
                </c:pt>
                <c:pt idx="818">
                  <c:v>1538.53</c:v>
                </c:pt>
                <c:pt idx="819">
                  <c:v>1560.51</c:v>
                </c:pt>
                <c:pt idx="820">
                  <c:v>1611.07</c:v>
                </c:pt>
                <c:pt idx="821">
                  <c:v>1596.5</c:v>
                </c:pt>
                <c:pt idx="822">
                  <c:v>1603.86</c:v>
                </c:pt>
                <c:pt idx="823">
                  <c:v>1630.56</c:v>
                </c:pt>
                <c:pt idx="824">
                  <c:v>1628.72</c:v>
                </c:pt>
                <c:pt idx="825">
                  <c:v>1647.81</c:v>
                </c:pt>
                <c:pt idx="826">
                  <c:v>1625.79</c:v>
                </c:pt>
                <c:pt idx="827">
                  <c:v>1619.92</c:v>
                </c:pt>
                <c:pt idx="828">
                  <c:v>1614.3</c:v>
                </c:pt>
                <c:pt idx="829">
                  <c:v>1626.48</c:v>
                </c:pt>
                <c:pt idx="830">
                  <c:v>1620.67</c:v>
                </c:pt>
                <c:pt idx="831">
                  <c:v>1574.28</c:v>
                </c:pt>
                <c:pt idx="832">
                  <c:v>1576.17</c:v>
                </c:pt>
                <c:pt idx="833">
                  <c:v>1559.41</c:v>
                </c:pt>
                <c:pt idx="834">
                  <c:v>1584.47</c:v>
                </c:pt>
                <c:pt idx="835">
                  <c:v>1578.5</c:v>
                </c:pt>
                <c:pt idx="836">
                  <c:v>1593.82</c:v>
                </c:pt>
                <c:pt idx="837">
                  <c:v>1585.07</c:v>
                </c:pt>
                <c:pt idx="838">
                  <c:v>1576.42</c:v>
                </c:pt>
                <c:pt idx="839">
                  <c:v>1561.3</c:v>
                </c:pt>
                <c:pt idx="840">
                  <c:v>1493.53</c:v>
                </c:pt>
                <c:pt idx="841">
                  <c:v>1502.73</c:v>
                </c:pt>
                <c:pt idx="842">
                  <c:v>1499</c:v>
                </c:pt>
                <c:pt idx="843">
                  <c:v>1505.52</c:v>
                </c:pt>
                <c:pt idx="844">
                  <c:v>1522.17</c:v>
                </c:pt>
                <c:pt idx="845">
                  <c:v>1544.59</c:v>
                </c:pt>
                <c:pt idx="846">
                  <c:v>1564.19</c:v>
                </c:pt>
                <c:pt idx="847">
                  <c:v>1529.03</c:v>
                </c:pt>
                <c:pt idx="848">
                  <c:v>1504.77</c:v>
                </c:pt>
                <c:pt idx="849">
                  <c:v>1515.41</c:v>
                </c:pt>
                <c:pt idx="850">
                  <c:v>1517.75</c:v>
                </c:pt>
                <c:pt idx="851">
                  <c:v>1509.34</c:v>
                </c:pt>
                <c:pt idx="852">
                  <c:v>1492.09</c:v>
                </c:pt>
                <c:pt idx="853">
                  <c:v>1492.49</c:v>
                </c:pt>
                <c:pt idx="854">
                  <c:v>1477.13</c:v>
                </c:pt>
                <c:pt idx="855">
                  <c:v>1495.27</c:v>
                </c:pt>
                <c:pt idx="856">
                  <c:v>1481.6</c:v>
                </c:pt>
                <c:pt idx="857">
                  <c:v>1465.99</c:v>
                </c:pt>
                <c:pt idx="858">
                  <c:v>1411.94</c:v>
                </c:pt>
                <c:pt idx="859">
                  <c:v>1420.69</c:v>
                </c:pt>
                <c:pt idx="860">
                  <c:v>1415.82</c:v>
                </c:pt>
                <c:pt idx="861">
                  <c:v>1454.45</c:v>
                </c:pt>
                <c:pt idx="862">
                  <c:v>1443.07</c:v>
                </c:pt>
                <c:pt idx="863">
                  <c:v>1446.99</c:v>
                </c:pt>
                <c:pt idx="864">
                  <c:v>1421.39</c:v>
                </c:pt>
                <c:pt idx="865">
                  <c:v>1385.94</c:v>
                </c:pt>
                <c:pt idx="866">
                  <c:v>1405.53</c:v>
                </c:pt>
                <c:pt idx="867">
                  <c:v>1390.81</c:v>
                </c:pt>
                <c:pt idx="868">
                  <c:v>1386.88</c:v>
                </c:pt>
                <c:pt idx="869">
                  <c:v>1385.74</c:v>
                </c:pt>
                <c:pt idx="870">
                  <c:v>1372.52</c:v>
                </c:pt>
                <c:pt idx="871">
                  <c:v>1357.8</c:v>
                </c:pt>
                <c:pt idx="872">
                  <c:v>1360.28</c:v>
                </c:pt>
                <c:pt idx="873">
                  <c:v>1369.53</c:v>
                </c:pt>
                <c:pt idx="874">
                  <c:v>1380.77</c:v>
                </c:pt>
                <c:pt idx="875">
                  <c:v>1382.51</c:v>
                </c:pt>
                <c:pt idx="876">
                  <c:v>1369.33</c:v>
                </c:pt>
                <c:pt idx="877">
                  <c:v>1424.77</c:v>
                </c:pt>
                <c:pt idx="878">
                  <c:v>1467.13</c:v>
                </c:pt>
                <c:pt idx="879">
                  <c:v>1536.29</c:v>
                </c:pt>
                <c:pt idx="880">
                  <c:v>1527.59</c:v>
                </c:pt>
                <c:pt idx="881">
                  <c:v>1503.18</c:v>
                </c:pt>
                <c:pt idx="882">
                  <c:v>1467.63</c:v>
                </c:pt>
                <c:pt idx="883">
                  <c:v>1449.48</c:v>
                </c:pt>
                <c:pt idx="884">
                  <c:v>1446.95</c:v>
                </c:pt>
                <c:pt idx="885">
                  <c:v>1453.11</c:v>
                </c:pt>
                <c:pt idx="886">
                  <c:v>1444.86</c:v>
                </c:pt>
                <c:pt idx="887">
                  <c:v>1455.99</c:v>
                </c:pt>
                <c:pt idx="888">
                  <c:v>1484.58</c:v>
                </c:pt>
                <c:pt idx="889">
                  <c:v>1453.56</c:v>
                </c:pt>
                <c:pt idx="890">
                  <c:v>1513.02</c:v>
                </c:pt>
                <c:pt idx="891">
                  <c:v>1509.64</c:v>
                </c:pt>
                <c:pt idx="892">
                  <c:v>1528.88</c:v>
                </c:pt>
                <c:pt idx="893">
                  <c:v>1533.76</c:v>
                </c:pt>
                <c:pt idx="894">
                  <c:v>1566.82</c:v>
                </c:pt>
                <c:pt idx="895">
                  <c:v>1588.15</c:v>
                </c:pt>
                <c:pt idx="896">
                  <c:v>1574.08</c:v>
                </c:pt>
                <c:pt idx="897">
                  <c:v>1597.25</c:v>
                </c:pt>
                <c:pt idx="898">
                  <c:v>1587.5</c:v>
                </c:pt>
                <c:pt idx="899">
                  <c:v>1585.17</c:v>
                </c:pt>
                <c:pt idx="900">
                  <c:v>1610.87</c:v>
                </c:pt>
                <c:pt idx="901">
                  <c:v>1593.47</c:v>
                </c:pt>
                <c:pt idx="902">
                  <c:v>1610.32</c:v>
                </c:pt>
                <c:pt idx="903">
                  <c:v>1607.59</c:v>
                </c:pt>
                <c:pt idx="904">
                  <c:v>1590.93</c:v>
                </c:pt>
                <c:pt idx="905">
                  <c:v>1557.32</c:v>
                </c:pt>
                <c:pt idx="906">
                  <c:v>1534.95</c:v>
                </c:pt>
                <c:pt idx="907">
                  <c:v>1542.36</c:v>
                </c:pt>
                <c:pt idx="908">
                  <c:v>1541.02</c:v>
                </c:pt>
                <c:pt idx="909">
                  <c:v>1508.9</c:v>
                </c:pt>
                <c:pt idx="910">
                  <c:v>1462.81</c:v>
                </c:pt>
                <c:pt idx="911">
                  <c:v>1443.02</c:v>
                </c:pt>
                <c:pt idx="912">
                  <c:v>1495.17</c:v>
                </c:pt>
                <c:pt idx="913">
                  <c:v>1497.86</c:v>
                </c:pt>
                <c:pt idx="914">
                  <c:v>1524.31</c:v>
                </c:pt>
                <c:pt idx="915">
                  <c:v>1506.81</c:v>
                </c:pt>
                <c:pt idx="916">
                  <c:v>1475.83</c:v>
                </c:pt>
                <c:pt idx="917">
                  <c:v>1481.55</c:v>
                </c:pt>
                <c:pt idx="918">
                  <c:v>1422.33</c:v>
                </c:pt>
                <c:pt idx="919">
                  <c:v>1420.84</c:v>
                </c:pt>
                <c:pt idx="920">
                  <c:v>1436.35</c:v>
                </c:pt>
                <c:pt idx="921">
                  <c:v>1430.54</c:v>
                </c:pt>
                <c:pt idx="922">
                  <c:v>1464.89</c:v>
                </c:pt>
                <c:pt idx="923">
                  <c:v>1505.96</c:v>
                </c:pt>
                <c:pt idx="924">
                  <c:v>1490.3</c:v>
                </c:pt>
                <c:pt idx="925">
                  <c:v>1483.29</c:v>
                </c:pt>
                <c:pt idx="926">
                  <c:v>1467.68</c:v>
                </c:pt>
                <c:pt idx="927">
                  <c:v>1479.66</c:v>
                </c:pt>
                <c:pt idx="928">
                  <c:v>1471.11</c:v>
                </c:pt>
                <c:pt idx="929">
                  <c:v>1453.71</c:v>
                </c:pt>
                <c:pt idx="930">
                  <c:v>1455.05</c:v>
                </c:pt>
                <c:pt idx="931">
                  <c:v>1471.85</c:v>
                </c:pt>
                <c:pt idx="932">
                  <c:v>1466.34</c:v>
                </c:pt>
                <c:pt idx="933">
                  <c:v>1433.02</c:v>
                </c:pt>
                <c:pt idx="934">
                  <c:v>1444.31</c:v>
                </c:pt>
                <c:pt idx="935">
                  <c:v>1429.2</c:v>
                </c:pt>
                <c:pt idx="936">
                  <c:v>1441.78</c:v>
                </c:pt>
                <c:pt idx="937">
                  <c:v>1406.22</c:v>
                </c:pt>
                <c:pt idx="938">
                  <c:v>1379.53</c:v>
                </c:pt>
                <c:pt idx="939">
                  <c:v>1389.37</c:v>
                </c:pt>
                <c:pt idx="940">
                  <c:v>1414.23</c:v>
                </c:pt>
                <c:pt idx="941">
                  <c:v>1432.48</c:v>
                </c:pt>
                <c:pt idx="942">
                  <c:v>1416.52</c:v>
                </c:pt>
                <c:pt idx="943">
                  <c:v>1468.52</c:v>
                </c:pt>
                <c:pt idx="944">
                  <c:v>1506.51</c:v>
                </c:pt>
                <c:pt idx="945">
                  <c:v>1491.59</c:v>
                </c:pt>
                <c:pt idx="946">
                  <c:v>1498.26</c:v>
                </c:pt>
                <c:pt idx="947">
                  <c:v>1521.48</c:v>
                </c:pt>
                <c:pt idx="948">
                  <c:v>1513.17</c:v>
                </c:pt>
                <c:pt idx="949">
                  <c:v>1499.55</c:v>
                </c:pt>
                <c:pt idx="950">
                  <c:v>1470.26</c:v>
                </c:pt>
                <c:pt idx="951">
                  <c:v>1495.17</c:v>
                </c:pt>
                <c:pt idx="952">
                  <c:v>1518.24</c:v>
                </c:pt>
                <c:pt idx="953">
                  <c:v>1453.16</c:v>
                </c:pt>
                <c:pt idx="954">
                  <c:v>1415.97</c:v>
                </c:pt>
                <c:pt idx="955">
                  <c:v>1402.55</c:v>
                </c:pt>
                <c:pt idx="956">
                  <c:v>1432.93</c:v>
                </c:pt>
                <c:pt idx="957">
                  <c:v>1460.17</c:v>
                </c:pt>
                <c:pt idx="958">
                  <c:v>1446.99</c:v>
                </c:pt>
                <c:pt idx="959">
                  <c:v>1419.15</c:v>
                </c:pt>
                <c:pt idx="960">
                  <c:v>1500.74</c:v>
                </c:pt>
                <c:pt idx="961">
                  <c:v>1509.94</c:v>
                </c:pt>
                <c:pt idx="962">
                  <c:v>1489.1</c:v>
                </c:pt>
                <c:pt idx="963">
                  <c:v>1504.4</c:v>
                </c:pt>
                <c:pt idx="964">
                  <c:v>1508.8</c:v>
                </c:pt>
                <c:pt idx="965">
                  <c:v>1526.75</c:v>
                </c:pt>
                <c:pt idx="966">
                  <c:v>1553</c:v>
                </c:pt>
                <c:pt idx="967">
                  <c:v>1570.35</c:v>
                </c:pt>
                <c:pt idx="968">
                  <c:v>1542.85</c:v>
                </c:pt>
                <c:pt idx="969">
                  <c:v>1585.15</c:v>
                </c:pt>
                <c:pt idx="970">
                  <c:v>1535.55</c:v>
                </c:pt>
                <c:pt idx="971">
                  <c:v>1541</c:v>
                </c:pt>
                <c:pt idx="972">
                  <c:v>1567.55</c:v>
                </c:pt>
                <c:pt idx="973">
                  <c:v>1582.6</c:v>
                </c:pt>
                <c:pt idx="974">
                  <c:v>1552.8</c:v>
                </c:pt>
                <c:pt idx="975">
                  <c:v>1581</c:v>
                </c:pt>
                <c:pt idx="976">
                  <c:v>1561.1</c:v>
                </c:pt>
                <c:pt idx="977">
                  <c:v>1585.45</c:v>
                </c:pt>
                <c:pt idx="978">
                  <c:v>1618.8</c:v>
                </c:pt>
                <c:pt idx="979">
                  <c:v>1587.7</c:v>
                </c:pt>
                <c:pt idx="980">
                  <c:v>1562</c:v>
                </c:pt>
                <c:pt idx="981">
                  <c:v>1621.4</c:v>
                </c:pt>
                <c:pt idx="982">
                  <c:v>1748.55</c:v>
                </c:pt>
                <c:pt idx="983">
                  <c:v>1742.45</c:v>
                </c:pt>
                <c:pt idx="984">
                  <c:v>1766.55</c:v>
                </c:pt>
                <c:pt idx="985">
                  <c:v>1814.6</c:v>
                </c:pt>
                <c:pt idx="986">
                  <c:v>1811</c:v>
                </c:pt>
                <c:pt idx="987">
                  <c:v>1828.85</c:v>
                </c:pt>
                <c:pt idx="988">
                  <c:v>1861.1</c:v>
                </c:pt>
                <c:pt idx="989">
                  <c:v>1882.95</c:v>
                </c:pt>
                <c:pt idx="990">
                  <c:v>1903.55</c:v>
                </c:pt>
                <c:pt idx="991">
                  <c:v>1906.85</c:v>
                </c:pt>
                <c:pt idx="992">
                  <c:v>1903.95</c:v>
                </c:pt>
                <c:pt idx="993">
                  <c:v>1886</c:v>
                </c:pt>
                <c:pt idx="994">
                  <c:v>1873.9</c:v>
                </c:pt>
                <c:pt idx="995">
                  <c:v>1876.55</c:v>
                </c:pt>
                <c:pt idx="996">
                  <c:v>1886.7</c:v>
                </c:pt>
                <c:pt idx="997">
                  <c:v>1872.4</c:v>
                </c:pt>
                <c:pt idx="998">
                  <c:v>1887.4</c:v>
                </c:pt>
                <c:pt idx="999">
                  <c:v>1853.05</c:v>
                </c:pt>
                <c:pt idx="1000">
                  <c:v>1854.6</c:v>
                </c:pt>
                <c:pt idx="1001">
                  <c:v>1889.4</c:v>
                </c:pt>
                <c:pt idx="1002">
                  <c:v>1839.3</c:v>
                </c:pt>
                <c:pt idx="1003">
                  <c:v>1890.7</c:v>
                </c:pt>
                <c:pt idx="1004">
                  <c:v>1822</c:v>
                </c:pt>
                <c:pt idx="1005">
                  <c:v>1825.9</c:v>
                </c:pt>
                <c:pt idx="1006">
                  <c:v>1813.35</c:v>
                </c:pt>
                <c:pt idx="1007">
                  <c:v>1778.2</c:v>
                </c:pt>
                <c:pt idx="1008">
                  <c:v>1739.85</c:v>
                </c:pt>
                <c:pt idx="1009">
                  <c:v>1723.3</c:v>
                </c:pt>
                <c:pt idx="1010">
                  <c:v>1720.85</c:v>
                </c:pt>
                <c:pt idx="1011">
                  <c:v>1702.8</c:v>
                </c:pt>
                <c:pt idx="1012">
                  <c:v>1715.6</c:v>
                </c:pt>
                <c:pt idx="1013">
                  <c:v>1694.6</c:v>
                </c:pt>
                <c:pt idx="1014">
                  <c:v>1678.15</c:v>
                </c:pt>
                <c:pt idx="1015">
                  <c:v>1742.85</c:v>
                </c:pt>
                <c:pt idx="1016">
                  <c:v>1734.35</c:v>
                </c:pt>
                <c:pt idx="1017">
                  <c:v>1730.7</c:v>
                </c:pt>
                <c:pt idx="1018">
                  <c:v>1706.95</c:v>
                </c:pt>
                <c:pt idx="1019">
                  <c:v>1724.8</c:v>
                </c:pt>
                <c:pt idx="1020">
                  <c:v>1733.3</c:v>
                </c:pt>
                <c:pt idx="1021">
                  <c:v>1738.25</c:v>
                </c:pt>
                <c:pt idx="1022">
                  <c:v>1682.2</c:v>
                </c:pt>
                <c:pt idx="1023">
                  <c:v>1721.35</c:v>
                </c:pt>
                <c:pt idx="1024">
                  <c:v>1769.6</c:v>
                </c:pt>
                <c:pt idx="1025">
                  <c:v>1737.3</c:v>
                </c:pt>
                <c:pt idx="1026">
                  <c:v>1717.3</c:v>
                </c:pt>
                <c:pt idx="1027">
                  <c:v>1715</c:v>
                </c:pt>
                <c:pt idx="1028">
                  <c:v>1741.1</c:v>
                </c:pt>
                <c:pt idx="1029">
                  <c:v>1738.55</c:v>
                </c:pt>
                <c:pt idx="1030">
                  <c:v>1787.1</c:v>
                </c:pt>
                <c:pt idx="1031">
                  <c:v>1772.05</c:v>
                </c:pt>
                <c:pt idx="1032">
                  <c:v>1736.2</c:v>
                </c:pt>
                <c:pt idx="1033">
                  <c:v>1686.2</c:v>
                </c:pt>
                <c:pt idx="1034">
                  <c:v>1678.6</c:v>
                </c:pt>
                <c:pt idx="1035">
                  <c:v>1722.15</c:v>
                </c:pt>
                <c:pt idx="1036">
                  <c:v>1736.8</c:v>
                </c:pt>
                <c:pt idx="1037">
                  <c:v>1785.7</c:v>
                </c:pt>
                <c:pt idx="1038">
                  <c:v>1823.7</c:v>
                </c:pt>
                <c:pt idx="1039">
                  <c:v>1867.05</c:v>
                </c:pt>
                <c:pt idx="1040">
                  <c:v>1920.75</c:v>
                </c:pt>
                <c:pt idx="1041">
                  <c:v>1939.5</c:v>
                </c:pt>
                <c:pt idx="1042">
                  <c:v>1929.35</c:v>
                </c:pt>
                <c:pt idx="1043">
                  <c:v>1896.8</c:v>
                </c:pt>
                <c:pt idx="1044">
                  <c:v>1877.45</c:v>
                </c:pt>
                <c:pt idx="1045">
                  <c:v>1855.6</c:v>
                </c:pt>
                <c:pt idx="1046">
                  <c:v>1850.75</c:v>
                </c:pt>
                <c:pt idx="1047">
                  <c:v>1814.3</c:v>
                </c:pt>
                <c:pt idx="1048">
                  <c:v>1817.8</c:v>
                </c:pt>
                <c:pt idx="1049">
                  <c:v>1844.65</c:v>
                </c:pt>
                <c:pt idx="1050">
                  <c:v>1899.15</c:v>
                </c:pt>
                <c:pt idx="1051">
                  <c:v>1898.45</c:v>
                </c:pt>
                <c:pt idx="1052">
                  <c:v>1887.75</c:v>
                </c:pt>
                <c:pt idx="1053">
                  <c:v>1892.85</c:v>
                </c:pt>
                <c:pt idx="1054">
                  <c:v>1885.55</c:v>
                </c:pt>
                <c:pt idx="1055">
                  <c:v>1888</c:v>
                </c:pt>
                <c:pt idx="1056">
                  <c:v>1866.15</c:v>
                </c:pt>
                <c:pt idx="1057">
                  <c:v>1863.5</c:v>
                </c:pt>
                <c:pt idx="1058">
                  <c:v>1857.6</c:v>
                </c:pt>
                <c:pt idx="1059">
                  <c:v>1824.7</c:v>
                </c:pt>
                <c:pt idx="1060">
                  <c:v>1811.6</c:v>
                </c:pt>
                <c:pt idx="1061">
                  <c:v>1798.9</c:v>
                </c:pt>
                <c:pt idx="1062">
                  <c:v>1820.85</c:v>
                </c:pt>
                <c:pt idx="1063">
                  <c:v>1771.6</c:v>
                </c:pt>
                <c:pt idx="1064">
                  <c:v>1734.2</c:v>
                </c:pt>
                <c:pt idx="1065">
                  <c:v>1752.15</c:v>
                </c:pt>
                <c:pt idx="1066">
                  <c:v>1744.65</c:v>
                </c:pt>
                <c:pt idx="1067">
                  <c:v>1759.25</c:v>
                </c:pt>
                <c:pt idx="1068">
                  <c:v>1763.45</c:v>
                </c:pt>
                <c:pt idx="1069">
                  <c:v>1753.35</c:v>
                </c:pt>
                <c:pt idx="1070">
                  <c:v>1711.65</c:v>
                </c:pt>
                <c:pt idx="1071">
                  <c:v>1695.3</c:v>
                </c:pt>
                <c:pt idx="1072">
                  <c:v>1735.55</c:v>
                </c:pt>
                <c:pt idx="1073">
                  <c:v>1748.25</c:v>
                </c:pt>
                <c:pt idx="1074">
                  <c:v>1714.9</c:v>
                </c:pt>
                <c:pt idx="1075">
                  <c:v>1712.65</c:v>
                </c:pt>
                <c:pt idx="1076">
                  <c:v>1696.35</c:v>
                </c:pt>
                <c:pt idx="1077">
                  <c:v>1691.65</c:v>
                </c:pt>
                <c:pt idx="1078">
                  <c:v>1722.4</c:v>
                </c:pt>
                <c:pt idx="1079">
                  <c:v>1696</c:v>
                </c:pt>
                <c:pt idx="1080">
                  <c:v>1736.9</c:v>
                </c:pt>
                <c:pt idx="1081">
                  <c:v>1759.4</c:v>
                </c:pt>
                <c:pt idx="1082">
                  <c:v>1779.4</c:v>
                </c:pt>
                <c:pt idx="1083">
                  <c:v>1787.45</c:v>
                </c:pt>
                <c:pt idx="1084">
                  <c:v>1792.3</c:v>
                </c:pt>
                <c:pt idx="1085">
                  <c:v>1787.15</c:v>
                </c:pt>
                <c:pt idx="1086">
                  <c:v>1780.2</c:v>
                </c:pt>
                <c:pt idx="1087">
                  <c:v>1733.3</c:v>
                </c:pt>
                <c:pt idx="1088">
                  <c:v>1740.15</c:v>
                </c:pt>
                <c:pt idx="1089">
                  <c:v>1742.5</c:v>
                </c:pt>
                <c:pt idx="1090">
                  <c:v>1737.5</c:v>
                </c:pt>
                <c:pt idx="1091">
                  <c:v>1708.7</c:v>
                </c:pt>
                <c:pt idx="1092">
                  <c:v>1702.5</c:v>
                </c:pt>
                <c:pt idx="1093">
                  <c:v>1697.9</c:v>
                </c:pt>
                <c:pt idx="1094">
                  <c:v>1700.05</c:v>
                </c:pt>
                <c:pt idx="1095">
                  <c:v>1667.75</c:v>
                </c:pt>
                <c:pt idx="1096">
                  <c:v>1703.9</c:v>
                </c:pt>
                <c:pt idx="1097">
                  <c:v>1728.95</c:v>
                </c:pt>
                <c:pt idx="1098">
                  <c:v>1703.7</c:v>
                </c:pt>
                <c:pt idx="1099">
                  <c:v>1707.55</c:v>
                </c:pt>
                <c:pt idx="1100">
                  <c:v>1719.8</c:v>
                </c:pt>
                <c:pt idx="1101">
                  <c:v>1753.65</c:v>
                </c:pt>
                <c:pt idx="1102">
                  <c:v>1802.35</c:v>
                </c:pt>
                <c:pt idx="1103">
                  <c:v>1822.15</c:v>
                </c:pt>
                <c:pt idx="1104">
                  <c:v>1792.15</c:v>
                </c:pt>
                <c:pt idx="1105">
                  <c:v>1715.75</c:v>
                </c:pt>
                <c:pt idx="1106">
                  <c:v>1709.2</c:v>
                </c:pt>
                <c:pt idx="1107">
                  <c:v>1685.15</c:v>
                </c:pt>
                <c:pt idx="1108">
                  <c:v>1690.95</c:v>
                </c:pt>
                <c:pt idx="1109">
                  <c:v>1723.85</c:v>
                </c:pt>
                <c:pt idx="1110">
                  <c:v>1691</c:v>
                </c:pt>
                <c:pt idx="1111">
                  <c:v>1673.55</c:v>
                </c:pt>
                <c:pt idx="1112">
                  <c:v>1692.8</c:v>
                </c:pt>
                <c:pt idx="1113">
                  <c:v>1678.75</c:v>
                </c:pt>
                <c:pt idx="1114">
                  <c:v>1665.15</c:v>
                </c:pt>
                <c:pt idx="1115">
                  <c:v>1675.2</c:v>
                </c:pt>
                <c:pt idx="1116">
                  <c:v>1692.25</c:v>
                </c:pt>
                <c:pt idx="1117">
                  <c:v>1687.1</c:v>
                </c:pt>
                <c:pt idx="1118">
                  <c:v>1721.15</c:v>
                </c:pt>
                <c:pt idx="1119">
                  <c:v>1763.85</c:v>
                </c:pt>
                <c:pt idx="1120">
                  <c:v>1742.55</c:v>
                </c:pt>
                <c:pt idx="1121">
                  <c:v>1716.9</c:v>
                </c:pt>
                <c:pt idx="1122">
                  <c:v>1718.45</c:v>
                </c:pt>
                <c:pt idx="1123">
                  <c:v>1687.85</c:v>
                </c:pt>
                <c:pt idx="1124">
                  <c:v>1691.3</c:v>
                </c:pt>
                <c:pt idx="1125">
                  <c:v>1702.25</c:v>
                </c:pt>
                <c:pt idx="1126">
                  <c:v>1711.45</c:v>
                </c:pt>
                <c:pt idx="1127">
                  <c:v>1686.15</c:v>
                </c:pt>
                <c:pt idx="1128">
                  <c:v>1691.9</c:v>
                </c:pt>
                <c:pt idx="1129">
                  <c:v>1691.6</c:v>
                </c:pt>
                <c:pt idx="1130">
                  <c:v>1693.25</c:v>
                </c:pt>
                <c:pt idx="1131">
                  <c:v>1706.65</c:v>
                </c:pt>
                <c:pt idx="1132">
                  <c:v>1730.4</c:v>
                </c:pt>
                <c:pt idx="1133">
                  <c:v>1700.65</c:v>
                </c:pt>
                <c:pt idx="1134">
                  <c:v>1689.1</c:v>
                </c:pt>
                <c:pt idx="1135">
                  <c:v>1677.75</c:v>
                </c:pt>
                <c:pt idx="1136">
                  <c:v>1706.45</c:v>
                </c:pt>
                <c:pt idx="1137">
                  <c:v>1698.05</c:v>
                </c:pt>
                <c:pt idx="1138">
                  <c:v>1708.8</c:v>
                </c:pt>
                <c:pt idx="1139">
                  <c:v>1727.7</c:v>
                </c:pt>
                <c:pt idx="1140">
                  <c:v>1735.55</c:v>
                </c:pt>
                <c:pt idx="1141">
                  <c:v>1720.85</c:v>
                </c:pt>
                <c:pt idx="1142">
                  <c:v>1738.75</c:v>
                </c:pt>
                <c:pt idx="1143">
                  <c:v>1732.95</c:v>
                </c:pt>
                <c:pt idx="1144">
                  <c:v>1733.45</c:v>
                </c:pt>
                <c:pt idx="1145">
                  <c:v>1741.65</c:v>
                </c:pt>
                <c:pt idx="1146">
                  <c:v>1704.4</c:v>
                </c:pt>
                <c:pt idx="1147">
                  <c:v>1712.2</c:v>
                </c:pt>
                <c:pt idx="1148">
                  <c:v>1689.6</c:v>
                </c:pt>
                <c:pt idx="1149">
                  <c:v>1677.55</c:v>
                </c:pt>
                <c:pt idx="1150">
                  <c:v>1677.25</c:v>
                </c:pt>
                <c:pt idx="1151">
                  <c:v>1663.3</c:v>
                </c:pt>
                <c:pt idx="1152">
                  <c:v>1650.2</c:v>
                </c:pt>
                <c:pt idx="1153">
                  <c:v>1653.55</c:v>
                </c:pt>
                <c:pt idx="1154">
                  <c:v>1649.25</c:v>
                </c:pt>
                <c:pt idx="1155">
                  <c:v>1655.2</c:v>
                </c:pt>
                <c:pt idx="1156">
                  <c:v>1631.55</c:v>
                </c:pt>
                <c:pt idx="1157">
                  <c:v>1610.5</c:v>
                </c:pt>
                <c:pt idx="1158">
                  <c:v>1617</c:v>
                </c:pt>
                <c:pt idx="1159">
                  <c:v>1605.6</c:v>
                </c:pt>
                <c:pt idx="1160">
                  <c:v>1602.55</c:v>
                </c:pt>
                <c:pt idx="1161">
                  <c:v>1603.9</c:v>
                </c:pt>
                <c:pt idx="1162">
                  <c:v>1590.45</c:v>
                </c:pt>
                <c:pt idx="1163">
                  <c:v>1590.2</c:v>
                </c:pt>
                <c:pt idx="1164">
                  <c:v>1550.05</c:v>
                </c:pt>
                <c:pt idx="1165">
                  <c:v>1541.7</c:v>
                </c:pt>
                <c:pt idx="1166">
                  <c:v>1555.45</c:v>
                </c:pt>
                <c:pt idx="1167">
                  <c:v>1580.8</c:v>
                </c:pt>
                <c:pt idx="1168">
                  <c:v>1576.9</c:v>
                </c:pt>
                <c:pt idx="1169">
                  <c:v>1544.95</c:v>
                </c:pt>
                <c:pt idx="1170">
                  <c:v>1547.85</c:v>
                </c:pt>
                <c:pt idx="1171">
                  <c:v>1562.9</c:v>
                </c:pt>
                <c:pt idx="1172">
                  <c:v>1560.75</c:v>
                </c:pt>
                <c:pt idx="1173">
                  <c:v>1564.6</c:v>
                </c:pt>
                <c:pt idx="1174">
                  <c:v>1562.2</c:v>
                </c:pt>
                <c:pt idx="1175">
                  <c:v>1578.95</c:v>
                </c:pt>
                <c:pt idx="1176">
                  <c:v>1567.8</c:v>
                </c:pt>
                <c:pt idx="1177">
                  <c:v>1560.4</c:v>
                </c:pt>
                <c:pt idx="1178">
                  <c:v>1580.8</c:v>
                </c:pt>
                <c:pt idx="1179">
                  <c:v>1563.05</c:v>
                </c:pt>
                <c:pt idx="1180">
                  <c:v>1571.8</c:v>
                </c:pt>
                <c:pt idx="1181">
                  <c:v>1574.2</c:v>
                </c:pt>
                <c:pt idx="1182">
                  <c:v>1559.2</c:v>
                </c:pt>
                <c:pt idx="1183">
                  <c:v>1503.15</c:v>
                </c:pt>
                <c:pt idx="1184">
                  <c:v>1511.85</c:v>
                </c:pt>
                <c:pt idx="1185">
                  <c:v>1500.3</c:v>
                </c:pt>
                <c:pt idx="1186">
                  <c:v>1503.3</c:v>
                </c:pt>
                <c:pt idx="1187">
                  <c:v>1495.3</c:v>
                </c:pt>
                <c:pt idx="1188">
                  <c:v>1480.6</c:v>
                </c:pt>
                <c:pt idx="1189">
                  <c:v>1473.9</c:v>
                </c:pt>
                <c:pt idx="1190">
                  <c:v>1461.8</c:v>
                </c:pt>
                <c:pt idx="1191">
                  <c:v>1446.9</c:v>
                </c:pt>
                <c:pt idx="1192">
                  <c:v>1424.3</c:v>
                </c:pt>
                <c:pt idx="1193">
                  <c:v>1415.3</c:v>
                </c:pt>
                <c:pt idx="1194">
                  <c:v>1412.95</c:v>
                </c:pt>
                <c:pt idx="1195">
                  <c:v>1389.65</c:v>
                </c:pt>
                <c:pt idx="1196">
                  <c:v>1385.65</c:v>
                </c:pt>
                <c:pt idx="1197">
                  <c:v>1389.65</c:v>
                </c:pt>
                <c:pt idx="1198">
                  <c:v>1378.65</c:v>
                </c:pt>
                <c:pt idx="1199">
                  <c:v>1387.2</c:v>
                </c:pt>
                <c:pt idx="1200">
                  <c:v>1393.75</c:v>
                </c:pt>
                <c:pt idx="1201">
                  <c:v>1405.05</c:v>
                </c:pt>
                <c:pt idx="1202">
                  <c:v>1402.25</c:v>
                </c:pt>
                <c:pt idx="1203">
                  <c:v>1397.25</c:v>
                </c:pt>
                <c:pt idx="1204">
                  <c:v>1361.6</c:v>
                </c:pt>
                <c:pt idx="1205">
                  <c:v>1348.05</c:v>
                </c:pt>
                <c:pt idx="1206">
                  <c:v>1354.5</c:v>
                </c:pt>
                <c:pt idx="1207">
                  <c:v>1339.3</c:v>
                </c:pt>
                <c:pt idx="1208">
                  <c:v>1337</c:v>
                </c:pt>
                <c:pt idx="1209">
                  <c:v>1340</c:v>
                </c:pt>
                <c:pt idx="1210">
                  <c:v>1329.4</c:v>
                </c:pt>
                <c:pt idx="1211">
                  <c:v>1316.4</c:v>
                </c:pt>
                <c:pt idx="1212">
                  <c:v>1327</c:v>
                </c:pt>
                <c:pt idx="1213">
                  <c:v>1330.65</c:v>
                </c:pt>
                <c:pt idx="1214">
                  <c:v>1339.55</c:v>
                </c:pt>
                <c:pt idx="1215">
                  <c:v>1352.55</c:v>
                </c:pt>
                <c:pt idx="1216">
                  <c:v>1361.6</c:v>
                </c:pt>
                <c:pt idx="1217">
                  <c:v>1341.5</c:v>
                </c:pt>
                <c:pt idx="1218">
                  <c:v>1329.4</c:v>
                </c:pt>
                <c:pt idx="1219">
                  <c:v>1352.05</c:v>
                </c:pt>
                <c:pt idx="1220">
                  <c:v>1354.35</c:v>
                </c:pt>
                <c:pt idx="1221">
                  <c:v>1356.35</c:v>
                </c:pt>
                <c:pt idx="1222">
                  <c:v>1356</c:v>
                </c:pt>
                <c:pt idx="1223">
                  <c:v>1348.5</c:v>
                </c:pt>
                <c:pt idx="1224">
                  <c:v>1343.55</c:v>
                </c:pt>
                <c:pt idx="1225">
                  <c:v>1333.8</c:v>
                </c:pt>
                <c:pt idx="1226">
                  <c:v>1351.1</c:v>
                </c:pt>
                <c:pt idx="1227">
                  <c:v>1351.35</c:v>
                </c:pt>
                <c:pt idx="1228">
                  <c:v>1362.55</c:v>
                </c:pt>
                <c:pt idx="1229">
                  <c:v>1353.75</c:v>
                </c:pt>
                <c:pt idx="1230">
                  <c:v>1360.75</c:v>
                </c:pt>
                <c:pt idx="1231">
                  <c:v>1397.15</c:v>
                </c:pt>
                <c:pt idx="1232">
                  <c:v>1425.75</c:v>
                </c:pt>
                <c:pt idx="1233">
                  <c:v>1441.05</c:v>
                </c:pt>
                <c:pt idx="1234">
                  <c:v>1439.85</c:v>
                </c:pt>
                <c:pt idx="1235">
                  <c:v>1430.2</c:v>
                </c:pt>
                <c:pt idx="1236">
                  <c:v>1411.05</c:v>
                </c:pt>
                <c:pt idx="1237">
                  <c:v>1409.9</c:v>
                </c:pt>
                <c:pt idx="1238">
                  <c:v>1385.2</c:v>
                </c:pt>
              </c:numCache>
            </c:numRef>
          </c:val>
          <c:smooth val="0"/>
          <c:extLst>
            <c:ext xmlns:c16="http://schemas.microsoft.com/office/drawing/2014/chart" uri="{C3380CC4-5D6E-409C-BE32-E72D297353CC}">
              <c16:uniqueId val="{00000000-6E2E-4145-BA8C-91288084E17D}"/>
            </c:ext>
          </c:extLst>
        </c:ser>
        <c:dLbls>
          <c:showLegendKey val="0"/>
          <c:showVal val="0"/>
          <c:showCatName val="0"/>
          <c:showSerName val="0"/>
          <c:showPercent val="0"/>
          <c:showBubbleSize val="0"/>
        </c:dLbls>
        <c:smooth val="0"/>
        <c:axId val="966318911"/>
        <c:axId val="966302591"/>
      </c:lineChart>
      <c:dateAx>
        <c:axId val="966318911"/>
        <c:scaling>
          <c:orientation val="minMax"/>
        </c:scaling>
        <c:delete val="0"/>
        <c:axPos val="b"/>
        <c:numFmt formatCode="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02591"/>
        <c:crosses val="autoZero"/>
        <c:auto val="1"/>
        <c:lblOffset val="100"/>
        <c:baseTimeUnit val="days"/>
      </c:dateAx>
      <c:valAx>
        <c:axId val="9663025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18911"/>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bg1">
                <a:lumMod val="75000"/>
              </a:schemeClr>
            </a:solidFill>
            <a:ln>
              <a:noFill/>
            </a:ln>
            <a:effectLst/>
          </c:spPr>
          <c:cat>
            <c:numRef>
              <c:f>'share Price'!$B$3:$B$1241</c:f>
              <c:numCache>
                <c:formatCode>m/d/yyyy</c:formatCode>
                <c:ptCount val="1239"/>
                <c:pt idx="0">
                  <c:v>46111</c:v>
                </c:pt>
                <c:pt idx="1">
                  <c:v>46108</c:v>
                </c:pt>
                <c:pt idx="2">
                  <c:v>46106</c:v>
                </c:pt>
                <c:pt idx="3">
                  <c:v>46105</c:v>
                </c:pt>
                <c:pt idx="4">
                  <c:v>46104</c:v>
                </c:pt>
                <c:pt idx="5">
                  <c:v>46101</c:v>
                </c:pt>
                <c:pt idx="6">
                  <c:v>46100</c:v>
                </c:pt>
                <c:pt idx="7">
                  <c:v>46099</c:v>
                </c:pt>
                <c:pt idx="8">
                  <c:v>46098</c:v>
                </c:pt>
                <c:pt idx="9">
                  <c:v>46097</c:v>
                </c:pt>
                <c:pt idx="10">
                  <c:v>46094</c:v>
                </c:pt>
                <c:pt idx="11">
                  <c:v>46093</c:v>
                </c:pt>
                <c:pt idx="12">
                  <c:v>46092</c:v>
                </c:pt>
                <c:pt idx="13">
                  <c:v>46091</c:v>
                </c:pt>
                <c:pt idx="14">
                  <c:v>46090</c:v>
                </c:pt>
                <c:pt idx="15">
                  <c:v>46087</c:v>
                </c:pt>
                <c:pt idx="16">
                  <c:v>46086</c:v>
                </c:pt>
                <c:pt idx="17">
                  <c:v>46085</c:v>
                </c:pt>
                <c:pt idx="18">
                  <c:v>46083</c:v>
                </c:pt>
                <c:pt idx="19">
                  <c:v>46080</c:v>
                </c:pt>
                <c:pt idx="20">
                  <c:v>46079</c:v>
                </c:pt>
                <c:pt idx="21">
                  <c:v>46078</c:v>
                </c:pt>
                <c:pt idx="22">
                  <c:v>46077</c:v>
                </c:pt>
                <c:pt idx="23">
                  <c:v>46076</c:v>
                </c:pt>
                <c:pt idx="24">
                  <c:v>46073</c:v>
                </c:pt>
                <c:pt idx="25">
                  <c:v>46072</c:v>
                </c:pt>
                <c:pt idx="26">
                  <c:v>46071</c:v>
                </c:pt>
                <c:pt idx="27">
                  <c:v>46070</c:v>
                </c:pt>
                <c:pt idx="28">
                  <c:v>46069</c:v>
                </c:pt>
                <c:pt idx="29">
                  <c:v>46066</c:v>
                </c:pt>
                <c:pt idx="30">
                  <c:v>46065</c:v>
                </c:pt>
                <c:pt idx="31">
                  <c:v>46064</c:v>
                </c:pt>
                <c:pt idx="32">
                  <c:v>46063</c:v>
                </c:pt>
                <c:pt idx="33">
                  <c:v>46062</c:v>
                </c:pt>
                <c:pt idx="34">
                  <c:v>46059</c:v>
                </c:pt>
                <c:pt idx="35">
                  <c:v>46058</c:v>
                </c:pt>
                <c:pt idx="36">
                  <c:v>46057</c:v>
                </c:pt>
                <c:pt idx="37">
                  <c:v>46056</c:v>
                </c:pt>
                <c:pt idx="38">
                  <c:v>46055</c:v>
                </c:pt>
                <c:pt idx="39">
                  <c:v>46054</c:v>
                </c:pt>
                <c:pt idx="40">
                  <c:v>46052</c:v>
                </c:pt>
                <c:pt idx="41">
                  <c:v>46051</c:v>
                </c:pt>
                <c:pt idx="42">
                  <c:v>46050</c:v>
                </c:pt>
                <c:pt idx="43">
                  <c:v>46049</c:v>
                </c:pt>
                <c:pt idx="44">
                  <c:v>46045</c:v>
                </c:pt>
                <c:pt idx="45">
                  <c:v>46044</c:v>
                </c:pt>
                <c:pt idx="46">
                  <c:v>46043</c:v>
                </c:pt>
                <c:pt idx="47">
                  <c:v>46042</c:v>
                </c:pt>
                <c:pt idx="48">
                  <c:v>46041</c:v>
                </c:pt>
                <c:pt idx="49">
                  <c:v>46038</c:v>
                </c:pt>
                <c:pt idx="50">
                  <c:v>46036</c:v>
                </c:pt>
                <c:pt idx="51">
                  <c:v>46035</c:v>
                </c:pt>
                <c:pt idx="52">
                  <c:v>46034</c:v>
                </c:pt>
                <c:pt idx="53">
                  <c:v>46031</c:v>
                </c:pt>
                <c:pt idx="54">
                  <c:v>46030</c:v>
                </c:pt>
                <c:pt idx="55">
                  <c:v>46029</c:v>
                </c:pt>
                <c:pt idx="56">
                  <c:v>46028</c:v>
                </c:pt>
                <c:pt idx="57">
                  <c:v>46027</c:v>
                </c:pt>
                <c:pt idx="58">
                  <c:v>46024</c:v>
                </c:pt>
                <c:pt idx="59">
                  <c:v>46023</c:v>
                </c:pt>
                <c:pt idx="60">
                  <c:v>46022</c:v>
                </c:pt>
                <c:pt idx="61">
                  <c:v>46021</c:v>
                </c:pt>
                <c:pt idx="62">
                  <c:v>46020</c:v>
                </c:pt>
                <c:pt idx="63">
                  <c:v>46017</c:v>
                </c:pt>
                <c:pt idx="64">
                  <c:v>46015</c:v>
                </c:pt>
                <c:pt idx="65">
                  <c:v>46014</c:v>
                </c:pt>
                <c:pt idx="66">
                  <c:v>46013</c:v>
                </c:pt>
                <c:pt idx="67">
                  <c:v>46010</c:v>
                </c:pt>
                <c:pt idx="68">
                  <c:v>46009</c:v>
                </c:pt>
                <c:pt idx="69">
                  <c:v>46008</c:v>
                </c:pt>
                <c:pt idx="70">
                  <c:v>46007</c:v>
                </c:pt>
                <c:pt idx="71">
                  <c:v>46006</c:v>
                </c:pt>
                <c:pt idx="72">
                  <c:v>46003</c:v>
                </c:pt>
                <c:pt idx="73">
                  <c:v>46002</c:v>
                </c:pt>
                <c:pt idx="74">
                  <c:v>46001</c:v>
                </c:pt>
                <c:pt idx="75">
                  <c:v>46000</c:v>
                </c:pt>
                <c:pt idx="76">
                  <c:v>45999</c:v>
                </c:pt>
                <c:pt idx="77">
                  <c:v>45996</c:v>
                </c:pt>
                <c:pt idx="78">
                  <c:v>45995</c:v>
                </c:pt>
                <c:pt idx="79">
                  <c:v>45994</c:v>
                </c:pt>
                <c:pt idx="80">
                  <c:v>45993</c:v>
                </c:pt>
                <c:pt idx="81">
                  <c:v>45992</c:v>
                </c:pt>
                <c:pt idx="82">
                  <c:v>45989</c:v>
                </c:pt>
                <c:pt idx="83">
                  <c:v>45988</c:v>
                </c:pt>
                <c:pt idx="84">
                  <c:v>45987</c:v>
                </c:pt>
                <c:pt idx="85">
                  <c:v>45986</c:v>
                </c:pt>
                <c:pt idx="86">
                  <c:v>45985</c:v>
                </c:pt>
                <c:pt idx="87">
                  <c:v>45982</c:v>
                </c:pt>
                <c:pt idx="88">
                  <c:v>45981</c:v>
                </c:pt>
                <c:pt idx="89">
                  <c:v>45980</c:v>
                </c:pt>
                <c:pt idx="90">
                  <c:v>45979</c:v>
                </c:pt>
                <c:pt idx="91">
                  <c:v>45978</c:v>
                </c:pt>
                <c:pt idx="92">
                  <c:v>45975</c:v>
                </c:pt>
                <c:pt idx="93">
                  <c:v>45974</c:v>
                </c:pt>
                <c:pt idx="94">
                  <c:v>45973</c:v>
                </c:pt>
                <c:pt idx="95">
                  <c:v>45972</c:v>
                </c:pt>
                <c:pt idx="96">
                  <c:v>45971</c:v>
                </c:pt>
                <c:pt idx="97">
                  <c:v>45968</c:v>
                </c:pt>
                <c:pt idx="98">
                  <c:v>45967</c:v>
                </c:pt>
                <c:pt idx="99">
                  <c:v>45965</c:v>
                </c:pt>
                <c:pt idx="100">
                  <c:v>45964</c:v>
                </c:pt>
                <c:pt idx="101">
                  <c:v>45961</c:v>
                </c:pt>
                <c:pt idx="102">
                  <c:v>45960</c:v>
                </c:pt>
                <c:pt idx="103">
                  <c:v>45959</c:v>
                </c:pt>
                <c:pt idx="104">
                  <c:v>45958</c:v>
                </c:pt>
                <c:pt idx="105">
                  <c:v>45957</c:v>
                </c:pt>
                <c:pt idx="106">
                  <c:v>45954</c:v>
                </c:pt>
                <c:pt idx="107">
                  <c:v>45953</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45931</c:v>
                </c:pt>
                <c:pt idx="122">
                  <c:v>45930</c:v>
                </c:pt>
                <c:pt idx="123">
                  <c:v>45929</c:v>
                </c:pt>
                <c:pt idx="124">
                  <c:v>45926</c:v>
                </c:pt>
                <c:pt idx="125">
                  <c:v>45925</c:v>
                </c:pt>
                <c:pt idx="126">
                  <c:v>45924</c:v>
                </c:pt>
                <c:pt idx="127">
                  <c:v>45923</c:v>
                </c:pt>
                <c:pt idx="128">
                  <c:v>45922</c:v>
                </c:pt>
                <c:pt idx="129">
                  <c:v>45919</c:v>
                </c:pt>
                <c:pt idx="130">
                  <c:v>45918</c:v>
                </c:pt>
                <c:pt idx="131">
                  <c:v>45917</c:v>
                </c:pt>
                <c:pt idx="132">
                  <c:v>45916</c:v>
                </c:pt>
                <c:pt idx="133">
                  <c:v>45915</c:v>
                </c:pt>
                <c:pt idx="134">
                  <c:v>45912</c:v>
                </c:pt>
                <c:pt idx="135">
                  <c:v>45911</c:v>
                </c:pt>
                <c:pt idx="136">
                  <c:v>45910</c:v>
                </c:pt>
                <c:pt idx="137">
                  <c:v>45909</c:v>
                </c:pt>
                <c:pt idx="138">
                  <c:v>45908</c:v>
                </c:pt>
                <c:pt idx="139">
                  <c:v>45905</c:v>
                </c:pt>
                <c:pt idx="140">
                  <c:v>45904</c:v>
                </c:pt>
                <c:pt idx="141">
                  <c:v>45903</c:v>
                </c:pt>
                <c:pt idx="142">
                  <c:v>45902</c:v>
                </c:pt>
                <c:pt idx="143">
                  <c:v>45901</c:v>
                </c:pt>
                <c:pt idx="144">
                  <c:v>45898</c:v>
                </c:pt>
                <c:pt idx="145">
                  <c:v>45897</c:v>
                </c:pt>
                <c:pt idx="146">
                  <c:v>45895</c:v>
                </c:pt>
                <c:pt idx="147">
                  <c:v>45894</c:v>
                </c:pt>
                <c:pt idx="148">
                  <c:v>45891</c:v>
                </c:pt>
                <c:pt idx="149">
                  <c:v>45890</c:v>
                </c:pt>
                <c:pt idx="150">
                  <c:v>45889</c:v>
                </c:pt>
                <c:pt idx="151">
                  <c:v>45888</c:v>
                </c:pt>
                <c:pt idx="152">
                  <c:v>45887</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45777</c:v>
                </c:pt>
                <c:pt idx="229">
                  <c:v>45776</c:v>
                </c:pt>
                <c:pt idx="230">
                  <c:v>45775</c:v>
                </c:pt>
                <c:pt idx="231">
                  <c:v>45772</c:v>
                </c:pt>
                <c:pt idx="232">
                  <c:v>45771</c:v>
                </c:pt>
                <c:pt idx="233">
                  <c:v>45770</c:v>
                </c:pt>
                <c:pt idx="234">
                  <c:v>45769</c:v>
                </c:pt>
                <c:pt idx="235">
                  <c:v>45768</c:v>
                </c:pt>
                <c:pt idx="236">
                  <c:v>45764</c:v>
                </c:pt>
                <c:pt idx="237">
                  <c:v>45763</c:v>
                </c:pt>
                <c:pt idx="238">
                  <c:v>45762</c:v>
                </c:pt>
                <c:pt idx="239">
                  <c:v>45758</c:v>
                </c:pt>
                <c:pt idx="240">
                  <c:v>45756</c:v>
                </c:pt>
                <c:pt idx="241">
                  <c:v>45755</c:v>
                </c:pt>
                <c:pt idx="242">
                  <c:v>45754</c:v>
                </c:pt>
                <c:pt idx="243">
                  <c:v>45751</c:v>
                </c:pt>
                <c:pt idx="244">
                  <c:v>45750</c:v>
                </c:pt>
                <c:pt idx="245">
                  <c:v>45749</c:v>
                </c:pt>
                <c:pt idx="246">
                  <c:v>45748</c:v>
                </c:pt>
                <c:pt idx="247">
                  <c:v>45744</c:v>
                </c:pt>
                <c:pt idx="248">
                  <c:v>45743</c:v>
                </c:pt>
                <c:pt idx="249">
                  <c:v>45742</c:v>
                </c:pt>
                <c:pt idx="250">
                  <c:v>45741</c:v>
                </c:pt>
                <c:pt idx="251">
                  <c:v>45740</c:v>
                </c:pt>
                <c:pt idx="252">
                  <c:v>45737</c:v>
                </c:pt>
                <c:pt idx="253">
                  <c:v>45736</c:v>
                </c:pt>
                <c:pt idx="254">
                  <c:v>45735</c:v>
                </c:pt>
                <c:pt idx="255">
                  <c:v>45734</c:v>
                </c:pt>
                <c:pt idx="256">
                  <c:v>45733</c:v>
                </c:pt>
                <c:pt idx="257">
                  <c:v>45729</c:v>
                </c:pt>
                <c:pt idx="258">
                  <c:v>45728</c:v>
                </c:pt>
                <c:pt idx="259">
                  <c:v>45727</c:v>
                </c:pt>
                <c:pt idx="260">
                  <c:v>45726</c:v>
                </c:pt>
                <c:pt idx="261">
                  <c:v>45723</c:v>
                </c:pt>
                <c:pt idx="262">
                  <c:v>45722</c:v>
                </c:pt>
                <c:pt idx="263">
                  <c:v>45721</c:v>
                </c:pt>
                <c:pt idx="264">
                  <c:v>45720</c:v>
                </c:pt>
                <c:pt idx="265">
                  <c:v>45719</c:v>
                </c:pt>
                <c:pt idx="266">
                  <c:v>45716</c:v>
                </c:pt>
                <c:pt idx="267">
                  <c:v>45715</c:v>
                </c:pt>
                <c:pt idx="268">
                  <c:v>45713</c:v>
                </c:pt>
                <c:pt idx="269">
                  <c:v>45712</c:v>
                </c:pt>
                <c:pt idx="270">
                  <c:v>45709</c:v>
                </c:pt>
                <c:pt idx="271">
                  <c:v>45708</c:v>
                </c:pt>
                <c:pt idx="272">
                  <c:v>45707</c:v>
                </c:pt>
                <c:pt idx="273">
                  <c:v>45706</c:v>
                </c:pt>
                <c:pt idx="274">
                  <c:v>45705</c:v>
                </c:pt>
                <c:pt idx="275">
                  <c:v>45702</c:v>
                </c:pt>
                <c:pt idx="276">
                  <c:v>45701</c:v>
                </c:pt>
                <c:pt idx="277">
                  <c:v>45700</c:v>
                </c:pt>
                <c:pt idx="278">
                  <c:v>45699</c:v>
                </c:pt>
                <c:pt idx="279">
                  <c:v>45698</c:v>
                </c:pt>
                <c:pt idx="280">
                  <c:v>45695</c:v>
                </c:pt>
                <c:pt idx="281">
                  <c:v>45694</c:v>
                </c:pt>
                <c:pt idx="282">
                  <c:v>45693</c:v>
                </c:pt>
                <c:pt idx="283">
                  <c:v>45692</c:v>
                </c:pt>
                <c:pt idx="284">
                  <c:v>45691</c:v>
                </c:pt>
                <c:pt idx="285">
                  <c:v>45689</c:v>
                </c:pt>
                <c:pt idx="286">
                  <c:v>45688</c:v>
                </c:pt>
                <c:pt idx="287">
                  <c:v>45687</c:v>
                </c:pt>
                <c:pt idx="288">
                  <c:v>45686</c:v>
                </c:pt>
                <c:pt idx="289">
                  <c:v>45685</c:v>
                </c:pt>
                <c:pt idx="290">
                  <c:v>45684</c:v>
                </c:pt>
                <c:pt idx="291">
                  <c:v>45681</c:v>
                </c:pt>
                <c:pt idx="292">
                  <c:v>45680</c:v>
                </c:pt>
                <c:pt idx="293">
                  <c:v>45679</c:v>
                </c:pt>
                <c:pt idx="294">
                  <c:v>45678</c:v>
                </c:pt>
                <c:pt idx="295">
                  <c:v>45677</c:v>
                </c:pt>
                <c:pt idx="296">
                  <c:v>45674</c:v>
                </c:pt>
                <c:pt idx="297">
                  <c:v>45673</c:v>
                </c:pt>
                <c:pt idx="298">
                  <c:v>45672</c:v>
                </c:pt>
                <c:pt idx="299">
                  <c:v>45671</c:v>
                </c:pt>
                <c:pt idx="300">
                  <c:v>45670</c:v>
                </c:pt>
                <c:pt idx="301">
                  <c:v>45667</c:v>
                </c:pt>
                <c:pt idx="302">
                  <c:v>45666</c:v>
                </c:pt>
                <c:pt idx="303">
                  <c:v>45665</c:v>
                </c:pt>
                <c:pt idx="304">
                  <c:v>45664</c:v>
                </c:pt>
                <c:pt idx="305">
                  <c:v>45663</c:v>
                </c:pt>
                <c:pt idx="306">
                  <c:v>45660</c:v>
                </c:pt>
                <c:pt idx="307">
                  <c:v>45659</c:v>
                </c:pt>
                <c:pt idx="308">
                  <c:v>45658</c:v>
                </c:pt>
                <c:pt idx="309">
                  <c:v>45657</c:v>
                </c:pt>
                <c:pt idx="310">
                  <c:v>45656</c:v>
                </c:pt>
                <c:pt idx="311">
                  <c:v>45653</c:v>
                </c:pt>
                <c:pt idx="312">
                  <c:v>45652</c:v>
                </c:pt>
                <c:pt idx="313">
                  <c:v>45650</c:v>
                </c:pt>
                <c:pt idx="314">
                  <c:v>45649</c:v>
                </c:pt>
                <c:pt idx="315">
                  <c:v>45646</c:v>
                </c:pt>
                <c:pt idx="316">
                  <c:v>45645</c:v>
                </c:pt>
                <c:pt idx="317">
                  <c:v>45644</c:v>
                </c:pt>
                <c:pt idx="318">
                  <c:v>45643</c:v>
                </c:pt>
                <c:pt idx="319">
                  <c:v>45642</c:v>
                </c:pt>
                <c:pt idx="320">
                  <c:v>45639</c:v>
                </c:pt>
                <c:pt idx="321">
                  <c:v>45638</c:v>
                </c:pt>
                <c:pt idx="322">
                  <c:v>45637</c:v>
                </c:pt>
                <c:pt idx="323">
                  <c:v>45636</c:v>
                </c:pt>
                <c:pt idx="324">
                  <c:v>45635</c:v>
                </c:pt>
                <c:pt idx="325">
                  <c:v>45632</c:v>
                </c:pt>
                <c:pt idx="326">
                  <c:v>45631</c:v>
                </c:pt>
                <c:pt idx="327">
                  <c:v>45630</c:v>
                </c:pt>
                <c:pt idx="328">
                  <c:v>45629</c:v>
                </c:pt>
                <c:pt idx="329">
                  <c:v>45628</c:v>
                </c:pt>
                <c:pt idx="330">
                  <c:v>45625</c:v>
                </c:pt>
                <c:pt idx="331">
                  <c:v>45624</c:v>
                </c:pt>
                <c:pt idx="332">
                  <c:v>45623</c:v>
                </c:pt>
                <c:pt idx="333">
                  <c:v>45622</c:v>
                </c:pt>
                <c:pt idx="334">
                  <c:v>45621</c:v>
                </c:pt>
                <c:pt idx="335">
                  <c:v>45618</c:v>
                </c:pt>
                <c:pt idx="336">
                  <c:v>45617</c:v>
                </c:pt>
                <c:pt idx="337">
                  <c:v>45615</c:v>
                </c:pt>
                <c:pt idx="338">
                  <c:v>45614</c:v>
                </c:pt>
                <c:pt idx="339">
                  <c:v>45610</c:v>
                </c:pt>
                <c:pt idx="340">
                  <c:v>45609</c:v>
                </c:pt>
                <c:pt idx="341">
                  <c:v>45608</c:v>
                </c:pt>
                <c:pt idx="342">
                  <c:v>45607</c:v>
                </c:pt>
                <c:pt idx="343">
                  <c:v>45604</c:v>
                </c:pt>
                <c:pt idx="344">
                  <c:v>45603</c:v>
                </c:pt>
                <c:pt idx="345">
                  <c:v>45602</c:v>
                </c:pt>
                <c:pt idx="346">
                  <c:v>45601</c:v>
                </c:pt>
                <c:pt idx="347">
                  <c:v>45600</c:v>
                </c:pt>
                <c:pt idx="348">
                  <c:v>45597</c:v>
                </c:pt>
                <c:pt idx="349">
                  <c:v>45596</c:v>
                </c:pt>
                <c:pt idx="350">
                  <c:v>45595</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45531</c:v>
                </c:pt>
                <c:pt idx="396">
                  <c:v>45530</c:v>
                </c:pt>
                <c:pt idx="397">
                  <c:v>45527</c:v>
                </c:pt>
                <c:pt idx="398">
                  <c:v>45526</c:v>
                </c:pt>
                <c:pt idx="399">
                  <c:v>45525</c:v>
                </c:pt>
                <c:pt idx="400">
                  <c:v>45524</c:v>
                </c:pt>
                <c:pt idx="401">
                  <c:v>45523</c:v>
                </c:pt>
                <c:pt idx="402">
                  <c:v>45520</c:v>
                </c:pt>
                <c:pt idx="403">
                  <c:v>45518</c:v>
                </c:pt>
                <c:pt idx="404">
                  <c:v>45517</c:v>
                </c:pt>
                <c:pt idx="405">
                  <c:v>45516</c:v>
                </c:pt>
                <c:pt idx="406">
                  <c:v>45513</c:v>
                </c:pt>
                <c:pt idx="407">
                  <c:v>45512</c:v>
                </c:pt>
                <c:pt idx="408">
                  <c:v>45511</c:v>
                </c:pt>
                <c:pt idx="409">
                  <c:v>45510</c:v>
                </c:pt>
                <c:pt idx="410">
                  <c:v>45509</c:v>
                </c:pt>
                <c:pt idx="411">
                  <c:v>45506</c:v>
                </c:pt>
                <c:pt idx="412">
                  <c:v>45505</c:v>
                </c:pt>
                <c:pt idx="413">
                  <c:v>45504</c:v>
                </c:pt>
                <c:pt idx="414">
                  <c:v>45503</c:v>
                </c:pt>
                <c:pt idx="415">
                  <c:v>45502</c:v>
                </c:pt>
                <c:pt idx="416">
                  <c:v>45499</c:v>
                </c:pt>
                <c:pt idx="417">
                  <c:v>45498</c:v>
                </c:pt>
                <c:pt idx="418">
                  <c:v>45497</c:v>
                </c:pt>
                <c:pt idx="419">
                  <c:v>45496</c:v>
                </c:pt>
                <c:pt idx="420">
                  <c:v>45495</c:v>
                </c:pt>
                <c:pt idx="421">
                  <c:v>45492</c:v>
                </c:pt>
                <c:pt idx="422">
                  <c:v>45491</c:v>
                </c:pt>
                <c:pt idx="423">
                  <c:v>45489</c:v>
                </c:pt>
                <c:pt idx="424">
                  <c:v>45488</c:v>
                </c:pt>
                <c:pt idx="425">
                  <c:v>45485</c:v>
                </c:pt>
                <c:pt idx="426">
                  <c:v>45484</c:v>
                </c:pt>
                <c:pt idx="427">
                  <c:v>45483</c:v>
                </c:pt>
                <c:pt idx="428">
                  <c:v>45482</c:v>
                </c:pt>
                <c:pt idx="429">
                  <c:v>45481</c:v>
                </c:pt>
                <c:pt idx="430">
                  <c:v>45478</c:v>
                </c:pt>
                <c:pt idx="431">
                  <c:v>45477</c:v>
                </c:pt>
                <c:pt idx="432">
                  <c:v>45476</c:v>
                </c:pt>
                <c:pt idx="433">
                  <c:v>45475</c:v>
                </c:pt>
                <c:pt idx="434">
                  <c:v>45474</c:v>
                </c:pt>
                <c:pt idx="435">
                  <c:v>45471</c:v>
                </c:pt>
                <c:pt idx="436">
                  <c:v>45470</c:v>
                </c:pt>
                <c:pt idx="437">
                  <c:v>45469</c:v>
                </c:pt>
                <c:pt idx="438">
                  <c:v>45468</c:v>
                </c:pt>
                <c:pt idx="439">
                  <c:v>45467</c:v>
                </c:pt>
                <c:pt idx="440">
                  <c:v>45464</c:v>
                </c:pt>
                <c:pt idx="441">
                  <c:v>45463</c:v>
                </c:pt>
                <c:pt idx="442">
                  <c:v>45462</c:v>
                </c:pt>
                <c:pt idx="443">
                  <c:v>45461</c:v>
                </c:pt>
                <c:pt idx="444">
                  <c:v>45457</c:v>
                </c:pt>
                <c:pt idx="445">
                  <c:v>45456</c:v>
                </c:pt>
                <c:pt idx="446">
                  <c:v>45455</c:v>
                </c:pt>
                <c:pt idx="447">
                  <c:v>45454</c:v>
                </c:pt>
                <c:pt idx="448">
                  <c:v>45453</c:v>
                </c:pt>
                <c:pt idx="449">
                  <c:v>45450</c:v>
                </c:pt>
                <c:pt idx="450">
                  <c:v>45449</c:v>
                </c:pt>
                <c:pt idx="451">
                  <c:v>45448</c:v>
                </c:pt>
                <c:pt idx="452">
                  <c:v>45447</c:v>
                </c:pt>
                <c:pt idx="453">
                  <c:v>45446</c:v>
                </c:pt>
                <c:pt idx="454">
                  <c:v>45443</c:v>
                </c:pt>
                <c:pt idx="455">
                  <c:v>45442</c:v>
                </c:pt>
                <c:pt idx="456">
                  <c:v>45441</c:v>
                </c:pt>
                <c:pt idx="457">
                  <c:v>45440</c:v>
                </c:pt>
                <c:pt idx="458">
                  <c:v>45439</c:v>
                </c:pt>
                <c:pt idx="459">
                  <c:v>45436</c:v>
                </c:pt>
                <c:pt idx="460">
                  <c:v>45435</c:v>
                </c:pt>
                <c:pt idx="461">
                  <c:v>45434</c:v>
                </c:pt>
                <c:pt idx="462">
                  <c:v>45433</c:v>
                </c:pt>
                <c:pt idx="463">
                  <c:v>45430</c:v>
                </c:pt>
                <c:pt idx="464">
                  <c:v>45429</c:v>
                </c:pt>
                <c:pt idx="465">
                  <c:v>45428</c:v>
                </c:pt>
                <c:pt idx="466">
                  <c:v>45427</c:v>
                </c:pt>
                <c:pt idx="467">
                  <c:v>45426</c:v>
                </c:pt>
                <c:pt idx="468">
                  <c:v>45425</c:v>
                </c:pt>
                <c:pt idx="469">
                  <c:v>45422</c:v>
                </c:pt>
                <c:pt idx="470">
                  <c:v>45421</c:v>
                </c:pt>
                <c:pt idx="471">
                  <c:v>45420</c:v>
                </c:pt>
                <c:pt idx="472">
                  <c:v>45419</c:v>
                </c:pt>
                <c:pt idx="473">
                  <c:v>45418</c:v>
                </c:pt>
                <c:pt idx="474">
                  <c:v>45415</c:v>
                </c:pt>
                <c:pt idx="475">
                  <c:v>45414</c:v>
                </c:pt>
                <c:pt idx="476">
                  <c:v>45412</c:v>
                </c:pt>
                <c:pt idx="477">
                  <c:v>45411</c:v>
                </c:pt>
                <c:pt idx="478">
                  <c:v>45408</c:v>
                </c:pt>
                <c:pt idx="479">
                  <c:v>45407</c:v>
                </c:pt>
                <c:pt idx="480">
                  <c:v>45406</c:v>
                </c:pt>
                <c:pt idx="481">
                  <c:v>45405</c:v>
                </c:pt>
                <c:pt idx="482">
                  <c:v>45404</c:v>
                </c:pt>
                <c:pt idx="483">
                  <c:v>45401</c:v>
                </c:pt>
                <c:pt idx="484">
                  <c:v>45400</c:v>
                </c:pt>
                <c:pt idx="485">
                  <c:v>45398</c:v>
                </c:pt>
                <c:pt idx="486">
                  <c:v>45397</c:v>
                </c:pt>
                <c:pt idx="487">
                  <c:v>45394</c:v>
                </c:pt>
                <c:pt idx="488">
                  <c:v>45392</c:v>
                </c:pt>
                <c:pt idx="489">
                  <c:v>45391</c:v>
                </c:pt>
                <c:pt idx="490">
                  <c:v>45390</c:v>
                </c:pt>
                <c:pt idx="491">
                  <c:v>45387</c:v>
                </c:pt>
                <c:pt idx="492">
                  <c:v>45386</c:v>
                </c:pt>
                <c:pt idx="493">
                  <c:v>45385</c:v>
                </c:pt>
                <c:pt idx="494">
                  <c:v>45384</c:v>
                </c:pt>
                <c:pt idx="495">
                  <c:v>45383</c:v>
                </c:pt>
                <c:pt idx="496">
                  <c:v>45379</c:v>
                </c:pt>
                <c:pt idx="497">
                  <c:v>45378</c:v>
                </c:pt>
                <c:pt idx="498">
                  <c:v>45377</c:v>
                </c:pt>
                <c:pt idx="499">
                  <c:v>45373</c:v>
                </c:pt>
                <c:pt idx="500">
                  <c:v>45372</c:v>
                </c:pt>
                <c:pt idx="501">
                  <c:v>45371</c:v>
                </c:pt>
                <c:pt idx="502">
                  <c:v>45370</c:v>
                </c:pt>
                <c:pt idx="503">
                  <c:v>45369</c:v>
                </c:pt>
                <c:pt idx="504">
                  <c:v>45366</c:v>
                </c:pt>
                <c:pt idx="505">
                  <c:v>45365</c:v>
                </c:pt>
                <c:pt idx="506">
                  <c:v>45364</c:v>
                </c:pt>
                <c:pt idx="507">
                  <c:v>45363</c:v>
                </c:pt>
                <c:pt idx="508">
                  <c:v>45362</c:v>
                </c:pt>
                <c:pt idx="509">
                  <c:v>45358</c:v>
                </c:pt>
                <c:pt idx="510">
                  <c:v>45357</c:v>
                </c:pt>
                <c:pt idx="511">
                  <c:v>45356</c:v>
                </c:pt>
                <c:pt idx="512">
                  <c:v>45355</c:v>
                </c:pt>
                <c:pt idx="513">
                  <c:v>45353</c:v>
                </c:pt>
                <c:pt idx="514">
                  <c:v>45352</c:v>
                </c:pt>
                <c:pt idx="515">
                  <c:v>45351</c:v>
                </c:pt>
                <c:pt idx="516">
                  <c:v>45350</c:v>
                </c:pt>
                <c:pt idx="517">
                  <c:v>45349</c:v>
                </c:pt>
                <c:pt idx="518">
                  <c:v>45348</c:v>
                </c:pt>
                <c:pt idx="519">
                  <c:v>45345</c:v>
                </c:pt>
                <c:pt idx="520">
                  <c:v>45344</c:v>
                </c:pt>
                <c:pt idx="521">
                  <c:v>45343</c:v>
                </c:pt>
                <c:pt idx="522">
                  <c:v>45342</c:v>
                </c:pt>
                <c:pt idx="523">
                  <c:v>45341</c:v>
                </c:pt>
                <c:pt idx="524">
                  <c:v>45338</c:v>
                </c:pt>
                <c:pt idx="525">
                  <c:v>45337</c:v>
                </c:pt>
                <c:pt idx="526">
                  <c:v>45336</c:v>
                </c:pt>
                <c:pt idx="527">
                  <c:v>45335</c:v>
                </c:pt>
                <c:pt idx="528">
                  <c:v>45334</c:v>
                </c:pt>
                <c:pt idx="529">
                  <c:v>45331</c:v>
                </c:pt>
                <c:pt idx="530">
                  <c:v>45330</c:v>
                </c:pt>
                <c:pt idx="531">
                  <c:v>45329</c:v>
                </c:pt>
                <c:pt idx="532">
                  <c:v>45328</c:v>
                </c:pt>
                <c:pt idx="533">
                  <c:v>45327</c:v>
                </c:pt>
                <c:pt idx="534">
                  <c:v>45324</c:v>
                </c:pt>
                <c:pt idx="535">
                  <c:v>45323</c:v>
                </c:pt>
                <c:pt idx="536">
                  <c:v>45322</c:v>
                </c:pt>
                <c:pt idx="537">
                  <c:v>45321</c:v>
                </c:pt>
                <c:pt idx="538">
                  <c:v>45320</c:v>
                </c:pt>
                <c:pt idx="539">
                  <c:v>45316</c:v>
                </c:pt>
                <c:pt idx="540">
                  <c:v>45315</c:v>
                </c:pt>
                <c:pt idx="541">
                  <c:v>45314</c:v>
                </c:pt>
                <c:pt idx="542">
                  <c:v>45311</c:v>
                </c:pt>
                <c:pt idx="543">
                  <c:v>45310</c:v>
                </c:pt>
                <c:pt idx="544">
                  <c:v>45309</c:v>
                </c:pt>
                <c:pt idx="545">
                  <c:v>45308</c:v>
                </c:pt>
                <c:pt idx="546">
                  <c:v>45307</c:v>
                </c:pt>
                <c:pt idx="547">
                  <c:v>45306</c:v>
                </c:pt>
                <c:pt idx="548">
                  <c:v>45303</c:v>
                </c:pt>
                <c:pt idx="549">
                  <c:v>45302</c:v>
                </c:pt>
                <c:pt idx="550">
                  <c:v>45301</c:v>
                </c:pt>
                <c:pt idx="551">
                  <c:v>45300</c:v>
                </c:pt>
                <c:pt idx="552">
                  <c:v>45299</c:v>
                </c:pt>
                <c:pt idx="553">
                  <c:v>45296</c:v>
                </c:pt>
                <c:pt idx="554">
                  <c:v>45295</c:v>
                </c:pt>
                <c:pt idx="555">
                  <c:v>45294</c:v>
                </c:pt>
                <c:pt idx="556">
                  <c:v>45293</c:v>
                </c:pt>
                <c:pt idx="557">
                  <c:v>45292</c:v>
                </c:pt>
                <c:pt idx="558">
                  <c:v>45289</c:v>
                </c:pt>
                <c:pt idx="559">
                  <c:v>45288</c:v>
                </c:pt>
                <c:pt idx="560">
                  <c:v>45287</c:v>
                </c:pt>
                <c:pt idx="561">
                  <c:v>45286</c:v>
                </c:pt>
                <c:pt idx="562">
                  <c:v>45282</c:v>
                </c:pt>
                <c:pt idx="563">
                  <c:v>45281</c:v>
                </c:pt>
                <c:pt idx="564">
                  <c:v>45280</c:v>
                </c:pt>
                <c:pt idx="565">
                  <c:v>45279</c:v>
                </c:pt>
                <c:pt idx="566">
                  <c:v>45278</c:v>
                </c:pt>
                <c:pt idx="567">
                  <c:v>45275</c:v>
                </c:pt>
                <c:pt idx="568">
                  <c:v>45274</c:v>
                </c:pt>
                <c:pt idx="569">
                  <c:v>45273</c:v>
                </c:pt>
                <c:pt idx="570">
                  <c:v>45272</c:v>
                </c:pt>
                <c:pt idx="571">
                  <c:v>45271</c:v>
                </c:pt>
                <c:pt idx="572">
                  <c:v>45268</c:v>
                </c:pt>
                <c:pt idx="573">
                  <c:v>45267</c:v>
                </c:pt>
                <c:pt idx="574">
                  <c:v>45266</c:v>
                </c:pt>
                <c:pt idx="575">
                  <c:v>45265</c:v>
                </c:pt>
                <c:pt idx="576">
                  <c:v>45264</c:v>
                </c:pt>
                <c:pt idx="577">
                  <c:v>45261</c:v>
                </c:pt>
                <c:pt idx="578">
                  <c:v>45260</c:v>
                </c:pt>
                <c:pt idx="579">
                  <c:v>45259</c:v>
                </c:pt>
                <c:pt idx="580">
                  <c:v>45258</c:v>
                </c:pt>
                <c:pt idx="581">
                  <c:v>45254</c:v>
                </c:pt>
                <c:pt idx="582">
                  <c:v>45253</c:v>
                </c:pt>
                <c:pt idx="583">
                  <c:v>45252</c:v>
                </c:pt>
                <c:pt idx="584">
                  <c:v>45251</c:v>
                </c:pt>
                <c:pt idx="585">
                  <c:v>45250</c:v>
                </c:pt>
                <c:pt idx="586">
                  <c:v>45247</c:v>
                </c:pt>
                <c:pt idx="587">
                  <c:v>45246</c:v>
                </c:pt>
                <c:pt idx="588">
                  <c:v>45245</c:v>
                </c:pt>
                <c:pt idx="589">
                  <c:v>45243</c:v>
                </c:pt>
                <c:pt idx="590">
                  <c:v>45242</c:v>
                </c:pt>
                <c:pt idx="591">
                  <c:v>45240</c:v>
                </c:pt>
                <c:pt idx="592">
                  <c:v>45239</c:v>
                </c:pt>
                <c:pt idx="593">
                  <c:v>45238</c:v>
                </c:pt>
                <c:pt idx="594">
                  <c:v>45237</c:v>
                </c:pt>
                <c:pt idx="595">
                  <c:v>45236</c:v>
                </c:pt>
                <c:pt idx="596">
                  <c:v>45233</c:v>
                </c:pt>
                <c:pt idx="597">
                  <c:v>45232</c:v>
                </c:pt>
                <c:pt idx="598">
                  <c:v>45231</c:v>
                </c:pt>
                <c:pt idx="599">
                  <c:v>45230</c:v>
                </c:pt>
                <c:pt idx="600">
                  <c:v>45229</c:v>
                </c:pt>
                <c:pt idx="601">
                  <c:v>45226</c:v>
                </c:pt>
                <c:pt idx="602">
                  <c:v>45225</c:v>
                </c:pt>
                <c:pt idx="603">
                  <c:v>45224</c:v>
                </c:pt>
                <c:pt idx="604">
                  <c:v>45222</c:v>
                </c:pt>
                <c:pt idx="605">
                  <c:v>45219</c:v>
                </c:pt>
                <c:pt idx="606">
                  <c:v>45218</c:v>
                </c:pt>
                <c:pt idx="607">
                  <c:v>45217</c:v>
                </c:pt>
                <c:pt idx="608">
                  <c:v>45216</c:v>
                </c:pt>
                <c:pt idx="609">
                  <c:v>45215</c:v>
                </c:pt>
                <c:pt idx="610">
                  <c:v>45212</c:v>
                </c:pt>
                <c:pt idx="611">
                  <c:v>45211</c:v>
                </c:pt>
                <c:pt idx="612">
                  <c:v>45210</c:v>
                </c:pt>
                <c:pt idx="613">
                  <c:v>45209</c:v>
                </c:pt>
                <c:pt idx="614">
                  <c:v>45208</c:v>
                </c:pt>
                <c:pt idx="615">
                  <c:v>45205</c:v>
                </c:pt>
                <c:pt idx="616">
                  <c:v>45204</c:v>
                </c:pt>
                <c:pt idx="617">
                  <c:v>45203</c:v>
                </c:pt>
                <c:pt idx="618">
                  <c:v>45202</c:v>
                </c:pt>
                <c:pt idx="619">
                  <c:v>45198</c:v>
                </c:pt>
                <c:pt idx="620">
                  <c:v>45197</c:v>
                </c:pt>
                <c:pt idx="621">
                  <c:v>45196</c:v>
                </c:pt>
                <c:pt idx="622">
                  <c:v>45195</c:v>
                </c:pt>
                <c:pt idx="623">
                  <c:v>45194</c:v>
                </c:pt>
                <c:pt idx="624">
                  <c:v>45191</c:v>
                </c:pt>
                <c:pt idx="625">
                  <c:v>45190</c:v>
                </c:pt>
                <c:pt idx="626">
                  <c:v>45189</c:v>
                </c:pt>
                <c:pt idx="627">
                  <c:v>45187</c:v>
                </c:pt>
                <c:pt idx="628">
                  <c:v>45184</c:v>
                </c:pt>
                <c:pt idx="629">
                  <c:v>45183</c:v>
                </c:pt>
                <c:pt idx="630">
                  <c:v>45182</c:v>
                </c:pt>
                <c:pt idx="631">
                  <c:v>45181</c:v>
                </c:pt>
                <c:pt idx="632">
                  <c:v>45180</c:v>
                </c:pt>
                <c:pt idx="633">
                  <c:v>45177</c:v>
                </c:pt>
                <c:pt idx="634">
                  <c:v>45176</c:v>
                </c:pt>
                <c:pt idx="635">
                  <c:v>45175</c:v>
                </c:pt>
                <c:pt idx="636">
                  <c:v>45174</c:v>
                </c:pt>
                <c:pt idx="637">
                  <c:v>45173</c:v>
                </c:pt>
                <c:pt idx="638">
                  <c:v>45170</c:v>
                </c:pt>
                <c:pt idx="639">
                  <c:v>45169</c:v>
                </c:pt>
                <c:pt idx="640">
                  <c:v>45168</c:v>
                </c:pt>
                <c:pt idx="641">
                  <c:v>45167</c:v>
                </c:pt>
                <c:pt idx="642">
                  <c:v>45166</c:v>
                </c:pt>
                <c:pt idx="643">
                  <c:v>45163</c:v>
                </c:pt>
                <c:pt idx="644">
                  <c:v>45162</c:v>
                </c:pt>
                <c:pt idx="645">
                  <c:v>45161</c:v>
                </c:pt>
                <c:pt idx="646">
                  <c:v>45160</c:v>
                </c:pt>
                <c:pt idx="647">
                  <c:v>45159</c:v>
                </c:pt>
                <c:pt idx="648">
                  <c:v>45156</c:v>
                </c:pt>
                <c:pt idx="649">
                  <c:v>45155</c:v>
                </c:pt>
                <c:pt idx="650">
                  <c:v>45154</c:v>
                </c:pt>
                <c:pt idx="651">
                  <c:v>45152</c:v>
                </c:pt>
                <c:pt idx="652">
                  <c:v>45149</c:v>
                </c:pt>
                <c:pt idx="653">
                  <c:v>45148</c:v>
                </c:pt>
                <c:pt idx="654">
                  <c:v>45147</c:v>
                </c:pt>
                <c:pt idx="655">
                  <c:v>45146</c:v>
                </c:pt>
                <c:pt idx="656">
                  <c:v>45145</c:v>
                </c:pt>
                <c:pt idx="657">
                  <c:v>45142</c:v>
                </c:pt>
                <c:pt idx="658">
                  <c:v>45141</c:v>
                </c:pt>
                <c:pt idx="659">
                  <c:v>45140</c:v>
                </c:pt>
                <c:pt idx="660">
                  <c:v>45139</c:v>
                </c:pt>
                <c:pt idx="661">
                  <c:v>45138</c:v>
                </c:pt>
                <c:pt idx="662">
                  <c:v>45135</c:v>
                </c:pt>
                <c:pt idx="663">
                  <c:v>45134</c:v>
                </c:pt>
                <c:pt idx="664">
                  <c:v>45133</c:v>
                </c:pt>
                <c:pt idx="665">
                  <c:v>45132</c:v>
                </c:pt>
                <c:pt idx="666">
                  <c:v>45131</c:v>
                </c:pt>
                <c:pt idx="667">
                  <c:v>45128</c:v>
                </c:pt>
                <c:pt idx="668">
                  <c:v>45127</c:v>
                </c:pt>
                <c:pt idx="669">
                  <c:v>45126</c:v>
                </c:pt>
                <c:pt idx="670">
                  <c:v>45125</c:v>
                </c:pt>
                <c:pt idx="671">
                  <c:v>45124</c:v>
                </c:pt>
                <c:pt idx="672">
                  <c:v>45121</c:v>
                </c:pt>
                <c:pt idx="673">
                  <c:v>45120</c:v>
                </c:pt>
                <c:pt idx="674">
                  <c:v>45119</c:v>
                </c:pt>
                <c:pt idx="675">
                  <c:v>45118</c:v>
                </c:pt>
                <c:pt idx="676">
                  <c:v>45117</c:v>
                </c:pt>
                <c:pt idx="677">
                  <c:v>45114</c:v>
                </c:pt>
                <c:pt idx="678">
                  <c:v>45113</c:v>
                </c:pt>
                <c:pt idx="679">
                  <c:v>45112</c:v>
                </c:pt>
                <c:pt idx="680">
                  <c:v>45111</c:v>
                </c:pt>
                <c:pt idx="681">
                  <c:v>45110</c:v>
                </c:pt>
                <c:pt idx="682">
                  <c:v>45107</c:v>
                </c:pt>
                <c:pt idx="683">
                  <c:v>45105</c:v>
                </c:pt>
                <c:pt idx="684">
                  <c:v>45104</c:v>
                </c:pt>
                <c:pt idx="685">
                  <c:v>45103</c:v>
                </c:pt>
                <c:pt idx="686">
                  <c:v>45100</c:v>
                </c:pt>
                <c:pt idx="687">
                  <c:v>45099</c:v>
                </c:pt>
                <c:pt idx="688">
                  <c:v>45098</c:v>
                </c:pt>
                <c:pt idx="689">
                  <c:v>45097</c:v>
                </c:pt>
                <c:pt idx="690">
                  <c:v>45096</c:v>
                </c:pt>
                <c:pt idx="691">
                  <c:v>45093</c:v>
                </c:pt>
                <c:pt idx="692">
                  <c:v>45092</c:v>
                </c:pt>
                <c:pt idx="693">
                  <c:v>45091</c:v>
                </c:pt>
                <c:pt idx="694">
                  <c:v>45090</c:v>
                </c:pt>
                <c:pt idx="695">
                  <c:v>45089</c:v>
                </c:pt>
                <c:pt idx="696">
                  <c:v>45086</c:v>
                </c:pt>
                <c:pt idx="697">
                  <c:v>45085</c:v>
                </c:pt>
                <c:pt idx="698">
                  <c:v>45084</c:v>
                </c:pt>
                <c:pt idx="699">
                  <c:v>45083</c:v>
                </c:pt>
                <c:pt idx="700">
                  <c:v>45082</c:v>
                </c:pt>
                <c:pt idx="701">
                  <c:v>45079</c:v>
                </c:pt>
                <c:pt idx="702">
                  <c:v>45078</c:v>
                </c:pt>
                <c:pt idx="703">
                  <c:v>45077</c:v>
                </c:pt>
                <c:pt idx="704">
                  <c:v>45076</c:v>
                </c:pt>
                <c:pt idx="705">
                  <c:v>45075</c:v>
                </c:pt>
                <c:pt idx="706">
                  <c:v>45072</c:v>
                </c:pt>
                <c:pt idx="707">
                  <c:v>45071</c:v>
                </c:pt>
                <c:pt idx="708">
                  <c:v>45070</c:v>
                </c:pt>
                <c:pt idx="709">
                  <c:v>45069</c:v>
                </c:pt>
                <c:pt idx="710">
                  <c:v>45068</c:v>
                </c:pt>
                <c:pt idx="711">
                  <c:v>45065</c:v>
                </c:pt>
                <c:pt idx="712">
                  <c:v>45064</c:v>
                </c:pt>
                <c:pt idx="713">
                  <c:v>45063</c:v>
                </c:pt>
                <c:pt idx="714">
                  <c:v>45062</c:v>
                </c:pt>
                <c:pt idx="715">
                  <c:v>45061</c:v>
                </c:pt>
                <c:pt idx="716">
                  <c:v>45058</c:v>
                </c:pt>
                <c:pt idx="717">
                  <c:v>45057</c:v>
                </c:pt>
                <c:pt idx="718">
                  <c:v>45056</c:v>
                </c:pt>
                <c:pt idx="719">
                  <c:v>45055</c:v>
                </c:pt>
                <c:pt idx="720">
                  <c:v>45054</c:v>
                </c:pt>
                <c:pt idx="721">
                  <c:v>45051</c:v>
                </c:pt>
                <c:pt idx="722">
                  <c:v>45050</c:v>
                </c:pt>
                <c:pt idx="723">
                  <c:v>45049</c:v>
                </c:pt>
                <c:pt idx="724">
                  <c:v>45048</c:v>
                </c:pt>
                <c:pt idx="725">
                  <c:v>45044</c:v>
                </c:pt>
                <c:pt idx="726">
                  <c:v>45043</c:v>
                </c:pt>
                <c:pt idx="727">
                  <c:v>45042</c:v>
                </c:pt>
                <c:pt idx="728">
                  <c:v>45041</c:v>
                </c:pt>
                <c:pt idx="729">
                  <c:v>45040</c:v>
                </c:pt>
                <c:pt idx="730">
                  <c:v>45037</c:v>
                </c:pt>
                <c:pt idx="731">
                  <c:v>45036</c:v>
                </c:pt>
                <c:pt idx="732">
                  <c:v>45035</c:v>
                </c:pt>
                <c:pt idx="733">
                  <c:v>45034</c:v>
                </c:pt>
                <c:pt idx="734">
                  <c:v>45033</c:v>
                </c:pt>
                <c:pt idx="735">
                  <c:v>45029</c:v>
                </c:pt>
                <c:pt idx="736">
                  <c:v>45028</c:v>
                </c:pt>
                <c:pt idx="737">
                  <c:v>45027</c:v>
                </c:pt>
                <c:pt idx="738">
                  <c:v>45026</c:v>
                </c:pt>
                <c:pt idx="739">
                  <c:v>45022</c:v>
                </c:pt>
                <c:pt idx="740">
                  <c:v>45021</c:v>
                </c:pt>
                <c:pt idx="741">
                  <c:v>45019</c:v>
                </c:pt>
                <c:pt idx="742">
                  <c:v>45016</c:v>
                </c:pt>
                <c:pt idx="743">
                  <c:v>45014</c:v>
                </c:pt>
                <c:pt idx="744">
                  <c:v>45013</c:v>
                </c:pt>
                <c:pt idx="745">
                  <c:v>45012</c:v>
                </c:pt>
                <c:pt idx="746">
                  <c:v>45009</c:v>
                </c:pt>
                <c:pt idx="747">
                  <c:v>45008</c:v>
                </c:pt>
                <c:pt idx="748">
                  <c:v>45007</c:v>
                </c:pt>
                <c:pt idx="749">
                  <c:v>45006</c:v>
                </c:pt>
                <c:pt idx="750">
                  <c:v>45005</c:v>
                </c:pt>
                <c:pt idx="751">
                  <c:v>45002</c:v>
                </c:pt>
                <c:pt idx="752">
                  <c:v>45001</c:v>
                </c:pt>
                <c:pt idx="753">
                  <c:v>45000</c:v>
                </c:pt>
                <c:pt idx="754">
                  <c:v>44999</c:v>
                </c:pt>
                <c:pt idx="755">
                  <c:v>44998</c:v>
                </c:pt>
                <c:pt idx="756">
                  <c:v>44995</c:v>
                </c:pt>
                <c:pt idx="757">
                  <c:v>44994</c:v>
                </c:pt>
                <c:pt idx="758">
                  <c:v>44993</c:v>
                </c:pt>
                <c:pt idx="759">
                  <c:v>44991</c:v>
                </c:pt>
                <c:pt idx="760">
                  <c:v>44988</c:v>
                </c:pt>
                <c:pt idx="761">
                  <c:v>44987</c:v>
                </c:pt>
                <c:pt idx="762">
                  <c:v>44986</c:v>
                </c:pt>
                <c:pt idx="763">
                  <c:v>44985</c:v>
                </c:pt>
                <c:pt idx="764">
                  <c:v>44984</c:v>
                </c:pt>
                <c:pt idx="765">
                  <c:v>44981</c:v>
                </c:pt>
                <c:pt idx="766">
                  <c:v>44980</c:v>
                </c:pt>
                <c:pt idx="767">
                  <c:v>44979</c:v>
                </c:pt>
                <c:pt idx="768">
                  <c:v>44978</c:v>
                </c:pt>
                <c:pt idx="769">
                  <c:v>44977</c:v>
                </c:pt>
                <c:pt idx="770">
                  <c:v>44974</c:v>
                </c:pt>
                <c:pt idx="771">
                  <c:v>44973</c:v>
                </c:pt>
                <c:pt idx="772">
                  <c:v>44972</c:v>
                </c:pt>
                <c:pt idx="773">
                  <c:v>44971</c:v>
                </c:pt>
                <c:pt idx="774">
                  <c:v>44970</c:v>
                </c:pt>
                <c:pt idx="775">
                  <c:v>44967</c:v>
                </c:pt>
                <c:pt idx="776">
                  <c:v>44966</c:v>
                </c:pt>
                <c:pt idx="777">
                  <c:v>44965</c:v>
                </c:pt>
                <c:pt idx="778">
                  <c:v>44964</c:v>
                </c:pt>
                <c:pt idx="779">
                  <c:v>44963</c:v>
                </c:pt>
                <c:pt idx="780">
                  <c:v>44960</c:v>
                </c:pt>
                <c:pt idx="781">
                  <c:v>44959</c:v>
                </c:pt>
                <c:pt idx="782">
                  <c:v>44958</c:v>
                </c:pt>
                <c:pt idx="783">
                  <c:v>44957</c:v>
                </c:pt>
                <c:pt idx="784">
                  <c:v>44956</c:v>
                </c:pt>
                <c:pt idx="785">
                  <c:v>44953</c:v>
                </c:pt>
                <c:pt idx="786">
                  <c:v>44951</c:v>
                </c:pt>
                <c:pt idx="787">
                  <c:v>44950</c:v>
                </c:pt>
                <c:pt idx="788">
                  <c:v>44949</c:v>
                </c:pt>
                <c:pt idx="789">
                  <c:v>44946</c:v>
                </c:pt>
                <c:pt idx="790">
                  <c:v>44945</c:v>
                </c:pt>
                <c:pt idx="791">
                  <c:v>44944</c:v>
                </c:pt>
                <c:pt idx="792">
                  <c:v>44943</c:v>
                </c:pt>
                <c:pt idx="793">
                  <c:v>44942</c:v>
                </c:pt>
                <c:pt idx="794">
                  <c:v>44939</c:v>
                </c:pt>
                <c:pt idx="795">
                  <c:v>44938</c:v>
                </c:pt>
                <c:pt idx="796">
                  <c:v>44937</c:v>
                </c:pt>
                <c:pt idx="797">
                  <c:v>44936</c:v>
                </c:pt>
                <c:pt idx="798">
                  <c:v>44935</c:v>
                </c:pt>
                <c:pt idx="799">
                  <c:v>44932</c:v>
                </c:pt>
                <c:pt idx="800">
                  <c:v>44931</c:v>
                </c:pt>
                <c:pt idx="801">
                  <c:v>44930</c:v>
                </c:pt>
                <c:pt idx="802">
                  <c:v>44929</c:v>
                </c:pt>
                <c:pt idx="803">
                  <c:v>44928</c:v>
                </c:pt>
                <c:pt idx="804">
                  <c:v>44925</c:v>
                </c:pt>
                <c:pt idx="805">
                  <c:v>44924</c:v>
                </c:pt>
                <c:pt idx="806">
                  <c:v>44923</c:v>
                </c:pt>
                <c:pt idx="807">
                  <c:v>44922</c:v>
                </c:pt>
                <c:pt idx="808">
                  <c:v>44921</c:v>
                </c:pt>
                <c:pt idx="809">
                  <c:v>44918</c:v>
                </c:pt>
                <c:pt idx="810">
                  <c:v>44917</c:v>
                </c:pt>
                <c:pt idx="811">
                  <c:v>44916</c:v>
                </c:pt>
                <c:pt idx="812">
                  <c:v>44915</c:v>
                </c:pt>
                <c:pt idx="813">
                  <c:v>44914</c:v>
                </c:pt>
                <c:pt idx="814">
                  <c:v>44911</c:v>
                </c:pt>
                <c:pt idx="815">
                  <c:v>44910</c:v>
                </c:pt>
                <c:pt idx="816">
                  <c:v>44909</c:v>
                </c:pt>
                <c:pt idx="817">
                  <c:v>44908</c:v>
                </c:pt>
                <c:pt idx="818">
                  <c:v>44907</c:v>
                </c:pt>
                <c:pt idx="819">
                  <c:v>44904</c:v>
                </c:pt>
                <c:pt idx="820">
                  <c:v>44903</c:v>
                </c:pt>
                <c:pt idx="821">
                  <c:v>44902</c:v>
                </c:pt>
                <c:pt idx="822">
                  <c:v>44901</c:v>
                </c:pt>
                <c:pt idx="823">
                  <c:v>44900</c:v>
                </c:pt>
                <c:pt idx="824">
                  <c:v>44897</c:v>
                </c:pt>
                <c:pt idx="825">
                  <c:v>44896</c:v>
                </c:pt>
                <c:pt idx="826">
                  <c:v>44895</c:v>
                </c:pt>
                <c:pt idx="827">
                  <c:v>44894</c:v>
                </c:pt>
                <c:pt idx="828">
                  <c:v>44893</c:v>
                </c:pt>
                <c:pt idx="829">
                  <c:v>44890</c:v>
                </c:pt>
                <c:pt idx="830">
                  <c:v>44889</c:v>
                </c:pt>
                <c:pt idx="831">
                  <c:v>44888</c:v>
                </c:pt>
                <c:pt idx="832">
                  <c:v>44887</c:v>
                </c:pt>
                <c:pt idx="833">
                  <c:v>44886</c:v>
                </c:pt>
                <c:pt idx="834">
                  <c:v>44883</c:v>
                </c:pt>
                <c:pt idx="835">
                  <c:v>44882</c:v>
                </c:pt>
                <c:pt idx="836">
                  <c:v>44881</c:v>
                </c:pt>
                <c:pt idx="837">
                  <c:v>44880</c:v>
                </c:pt>
                <c:pt idx="838">
                  <c:v>44879</c:v>
                </c:pt>
                <c:pt idx="839">
                  <c:v>44876</c:v>
                </c:pt>
                <c:pt idx="840">
                  <c:v>44875</c:v>
                </c:pt>
                <c:pt idx="841">
                  <c:v>44874</c:v>
                </c:pt>
                <c:pt idx="842">
                  <c:v>44872</c:v>
                </c:pt>
                <c:pt idx="843">
                  <c:v>44869</c:v>
                </c:pt>
                <c:pt idx="844">
                  <c:v>44868</c:v>
                </c:pt>
                <c:pt idx="845">
                  <c:v>44867</c:v>
                </c:pt>
                <c:pt idx="846">
                  <c:v>44866</c:v>
                </c:pt>
                <c:pt idx="847">
                  <c:v>44865</c:v>
                </c:pt>
                <c:pt idx="848">
                  <c:v>44862</c:v>
                </c:pt>
                <c:pt idx="849">
                  <c:v>44861</c:v>
                </c:pt>
                <c:pt idx="850">
                  <c:v>44859</c:v>
                </c:pt>
                <c:pt idx="851">
                  <c:v>44858</c:v>
                </c:pt>
                <c:pt idx="852">
                  <c:v>44855</c:v>
                </c:pt>
                <c:pt idx="853">
                  <c:v>44854</c:v>
                </c:pt>
                <c:pt idx="854">
                  <c:v>44853</c:v>
                </c:pt>
                <c:pt idx="855">
                  <c:v>44852</c:v>
                </c:pt>
                <c:pt idx="856">
                  <c:v>44851</c:v>
                </c:pt>
                <c:pt idx="857">
                  <c:v>44848</c:v>
                </c:pt>
                <c:pt idx="858">
                  <c:v>44847</c:v>
                </c:pt>
                <c:pt idx="859">
                  <c:v>44846</c:v>
                </c:pt>
                <c:pt idx="860">
                  <c:v>44845</c:v>
                </c:pt>
                <c:pt idx="861">
                  <c:v>44844</c:v>
                </c:pt>
                <c:pt idx="862">
                  <c:v>44841</c:v>
                </c:pt>
                <c:pt idx="863">
                  <c:v>44840</c:v>
                </c:pt>
                <c:pt idx="864">
                  <c:v>44838</c:v>
                </c:pt>
                <c:pt idx="865">
                  <c:v>44837</c:v>
                </c:pt>
                <c:pt idx="866">
                  <c:v>44834</c:v>
                </c:pt>
                <c:pt idx="867">
                  <c:v>44833</c:v>
                </c:pt>
                <c:pt idx="868">
                  <c:v>44832</c:v>
                </c:pt>
                <c:pt idx="869">
                  <c:v>44831</c:v>
                </c:pt>
                <c:pt idx="870">
                  <c:v>44830</c:v>
                </c:pt>
                <c:pt idx="871">
                  <c:v>44827</c:v>
                </c:pt>
                <c:pt idx="872">
                  <c:v>44826</c:v>
                </c:pt>
                <c:pt idx="873">
                  <c:v>44825</c:v>
                </c:pt>
                <c:pt idx="874">
                  <c:v>44824</c:v>
                </c:pt>
                <c:pt idx="875">
                  <c:v>44823</c:v>
                </c:pt>
                <c:pt idx="876">
                  <c:v>44820</c:v>
                </c:pt>
                <c:pt idx="877">
                  <c:v>44819</c:v>
                </c:pt>
                <c:pt idx="878">
                  <c:v>44818</c:v>
                </c:pt>
                <c:pt idx="879">
                  <c:v>44817</c:v>
                </c:pt>
                <c:pt idx="880">
                  <c:v>44816</c:v>
                </c:pt>
                <c:pt idx="881">
                  <c:v>44813</c:v>
                </c:pt>
                <c:pt idx="882">
                  <c:v>44812</c:v>
                </c:pt>
                <c:pt idx="883">
                  <c:v>44811</c:v>
                </c:pt>
                <c:pt idx="884">
                  <c:v>44810</c:v>
                </c:pt>
                <c:pt idx="885">
                  <c:v>44809</c:v>
                </c:pt>
                <c:pt idx="886">
                  <c:v>44806</c:v>
                </c:pt>
                <c:pt idx="887">
                  <c:v>44805</c:v>
                </c:pt>
                <c:pt idx="888">
                  <c:v>44803</c:v>
                </c:pt>
                <c:pt idx="889">
                  <c:v>44802</c:v>
                </c:pt>
                <c:pt idx="890">
                  <c:v>44799</c:v>
                </c:pt>
                <c:pt idx="891">
                  <c:v>44798</c:v>
                </c:pt>
                <c:pt idx="892">
                  <c:v>44797</c:v>
                </c:pt>
                <c:pt idx="893">
                  <c:v>44796</c:v>
                </c:pt>
                <c:pt idx="894">
                  <c:v>44795</c:v>
                </c:pt>
                <c:pt idx="895">
                  <c:v>44792</c:v>
                </c:pt>
                <c:pt idx="896">
                  <c:v>44791</c:v>
                </c:pt>
                <c:pt idx="897">
                  <c:v>44790</c:v>
                </c:pt>
                <c:pt idx="898">
                  <c:v>44789</c:v>
                </c:pt>
                <c:pt idx="899">
                  <c:v>44785</c:v>
                </c:pt>
                <c:pt idx="900">
                  <c:v>44784</c:v>
                </c:pt>
                <c:pt idx="901">
                  <c:v>44783</c:v>
                </c:pt>
                <c:pt idx="902">
                  <c:v>44781</c:v>
                </c:pt>
                <c:pt idx="903">
                  <c:v>44778</c:v>
                </c:pt>
                <c:pt idx="904">
                  <c:v>44777</c:v>
                </c:pt>
                <c:pt idx="905">
                  <c:v>44776</c:v>
                </c:pt>
                <c:pt idx="906">
                  <c:v>44775</c:v>
                </c:pt>
                <c:pt idx="907">
                  <c:v>44774</c:v>
                </c:pt>
                <c:pt idx="908">
                  <c:v>44771</c:v>
                </c:pt>
                <c:pt idx="909">
                  <c:v>44770</c:v>
                </c:pt>
                <c:pt idx="910">
                  <c:v>44769</c:v>
                </c:pt>
                <c:pt idx="911">
                  <c:v>44768</c:v>
                </c:pt>
                <c:pt idx="912">
                  <c:v>44767</c:v>
                </c:pt>
                <c:pt idx="913">
                  <c:v>44764</c:v>
                </c:pt>
                <c:pt idx="914">
                  <c:v>44763</c:v>
                </c:pt>
                <c:pt idx="915">
                  <c:v>44762</c:v>
                </c:pt>
                <c:pt idx="916">
                  <c:v>44761</c:v>
                </c:pt>
                <c:pt idx="917">
                  <c:v>44760</c:v>
                </c:pt>
                <c:pt idx="918">
                  <c:v>44757</c:v>
                </c:pt>
                <c:pt idx="919">
                  <c:v>44756</c:v>
                </c:pt>
                <c:pt idx="920">
                  <c:v>44755</c:v>
                </c:pt>
                <c:pt idx="921">
                  <c:v>44754</c:v>
                </c:pt>
                <c:pt idx="922">
                  <c:v>44753</c:v>
                </c:pt>
                <c:pt idx="923">
                  <c:v>44750</c:v>
                </c:pt>
                <c:pt idx="924">
                  <c:v>44749</c:v>
                </c:pt>
                <c:pt idx="925">
                  <c:v>44748</c:v>
                </c:pt>
                <c:pt idx="926">
                  <c:v>44747</c:v>
                </c:pt>
                <c:pt idx="927">
                  <c:v>44746</c:v>
                </c:pt>
                <c:pt idx="928">
                  <c:v>44743</c:v>
                </c:pt>
                <c:pt idx="929">
                  <c:v>44742</c:v>
                </c:pt>
                <c:pt idx="930">
                  <c:v>44741</c:v>
                </c:pt>
                <c:pt idx="931">
                  <c:v>44740</c:v>
                </c:pt>
                <c:pt idx="932">
                  <c:v>44739</c:v>
                </c:pt>
                <c:pt idx="933">
                  <c:v>44736</c:v>
                </c:pt>
                <c:pt idx="934">
                  <c:v>44735</c:v>
                </c:pt>
                <c:pt idx="935">
                  <c:v>44734</c:v>
                </c:pt>
                <c:pt idx="936">
                  <c:v>44733</c:v>
                </c:pt>
                <c:pt idx="937">
                  <c:v>44732</c:v>
                </c:pt>
                <c:pt idx="938">
                  <c:v>44729</c:v>
                </c:pt>
                <c:pt idx="939">
                  <c:v>44728</c:v>
                </c:pt>
                <c:pt idx="940">
                  <c:v>44727</c:v>
                </c:pt>
                <c:pt idx="941">
                  <c:v>44726</c:v>
                </c:pt>
                <c:pt idx="942">
                  <c:v>44725</c:v>
                </c:pt>
                <c:pt idx="943">
                  <c:v>44722</c:v>
                </c:pt>
                <c:pt idx="944">
                  <c:v>44721</c:v>
                </c:pt>
                <c:pt idx="945">
                  <c:v>44720</c:v>
                </c:pt>
                <c:pt idx="946">
                  <c:v>44719</c:v>
                </c:pt>
                <c:pt idx="947">
                  <c:v>44718</c:v>
                </c:pt>
                <c:pt idx="948">
                  <c:v>44715</c:v>
                </c:pt>
                <c:pt idx="949">
                  <c:v>44714</c:v>
                </c:pt>
                <c:pt idx="950">
                  <c:v>44713</c:v>
                </c:pt>
                <c:pt idx="951">
                  <c:v>44712</c:v>
                </c:pt>
                <c:pt idx="952">
                  <c:v>44711</c:v>
                </c:pt>
                <c:pt idx="953">
                  <c:v>44708</c:v>
                </c:pt>
                <c:pt idx="954">
                  <c:v>44707</c:v>
                </c:pt>
                <c:pt idx="955">
                  <c:v>44706</c:v>
                </c:pt>
                <c:pt idx="956">
                  <c:v>44705</c:v>
                </c:pt>
                <c:pt idx="957">
                  <c:v>44704</c:v>
                </c:pt>
                <c:pt idx="958">
                  <c:v>44701</c:v>
                </c:pt>
                <c:pt idx="959">
                  <c:v>44700</c:v>
                </c:pt>
                <c:pt idx="960">
                  <c:v>44699</c:v>
                </c:pt>
                <c:pt idx="961">
                  <c:v>44698</c:v>
                </c:pt>
                <c:pt idx="962">
                  <c:v>44697</c:v>
                </c:pt>
                <c:pt idx="963">
                  <c:v>44694</c:v>
                </c:pt>
                <c:pt idx="964">
                  <c:v>44693</c:v>
                </c:pt>
                <c:pt idx="965">
                  <c:v>44692</c:v>
                </c:pt>
                <c:pt idx="966">
                  <c:v>44691</c:v>
                </c:pt>
                <c:pt idx="967">
                  <c:v>44690</c:v>
                </c:pt>
                <c:pt idx="968">
                  <c:v>44687</c:v>
                </c:pt>
                <c:pt idx="969">
                  <c:v>44686</c:v>
                </c:pt>
                <c:pt idx="970">
                  <c:v>44685</c:v>
                </c:pt>
                <c:pt idx="971">
                  <c:v>44683</c:v>
                </c:pt>
                <c:pt idx="972">
                  <c:v>44680</c:v>
                </c:pt>
                <c:pt idx="973">
                  <c:v>44679</c:v>
                </c:pt>
                <c:pt idx="974">
                  <c:v>44678</c:v>
                </c:pt>
                <c:pt idx="975">
                  <c:v>44677</c:v>
                </c:pt>
                <c:pt idx="976">
                  <c:v>44676</c:v>
                </c:pt>
                <c:pt idx="977">
                  <c:v>44673</c:v>
                </c:pt>
                <c:pt idx="978">
                  <c:v>44672</c:v>
                </c:pt>
                <c:pt idx="979">
                  <c:v>44671</c:v>
                </c:pt>
                <c:pt idx="980">
                  <c:v>44670</c:v>
                </c:pt>
                <c:pt idx="981">
                  <c:v>44669</c:v>
                </c:pt>
                <c:pt idx="982">
                  <c:v>44664</c:v>
                </c:pt>
                <c:pt idx="983">
                  <c:v>44663</c:v>
                </c:pt>
                <c:pt idx="984">
                  <c:v>44662</c:v>
                </c:pt>
                <c:pt idx="985">
                  <c:v>44659</c:v>
                </c:pt>
                <c:pt idx="986">
                  <c:v>44658</c:v>
                </c:pt>
                <c:pt idx="987">
                  <c:v>44657</c:v>
                </c:pt>
                <c:pt idx="988">
                  <c:v>44656</c:v>
                </c:pt>
                <c:pt idx="989">
                  <c:v>44655</c:v>
                </c:pt>
                <c:pt idx="990">
                  <c:v>44652</c:v>
                </c:pt>
                <c:pt idx="991">
                  <c:v>44651</c:v>
                </c:pt>
                <c:pt idx="992">
                  <c:v>44650</c:v>
                </c:pt>
                <c:pt idx="993">
                  <c:v>44649</c:v>
                </c:pt>
                <c:pt idx="994">
                  <c:v>44648</c:v>
                </c:pt>
                <c:pt idx="995">
                  <c:v>44645</c:v>
                </c:pt>
                <c:pt idx="996">
                  <c:v>44644</c:v>
                </c:pt>
                <c:pt idx="997">
                  <c:v>44643</c:v>
                </c:pt>
                <c:pt idx="998">
                  <c:v>44642</c:v>
                </c:pt>
                <c:pt idx="999">
                  <c:v>44641</c:v>
                </c:pt>
                <c:pt idx="1000">
                  <c:v>44637</c:v>
                </c:pt>
                <c:pt idx="1001">
                  <c:v>44636</c:v>
                </c:pt>
                <c:pt idx="1002">
                  <c:v>44635</c:v>
                </c:pt>
                <c:pt idx="1003">
                  <c:v>44634</c:v>
                </c:pt>
                <c:pt idx="1004">
                  <c:v>44631</c:v>
                </c:pt>
                <c:pt idx="1005">
                  <c:v>44630</c:v>
                </c:pt>
                <c:pt idx="1006">
                  <c:v>44629</c:v>
                </c:pt>
                <c:pt idx="1007">
                  <c:v>44628</c:v>
                </c:pt>
                <c:pt idx="1008">
                  <c:v>44627</c:v>
                </c:pt>
                <c:pt idx="1009">
                  <c:v>44624</c:v>
                </c:pt>
                <c:pt idx="1010">
                  <c:v>44623</c:v>
                </c:pt>
                <c:pt idx="1011">
                  <c:v>44622</c:v>
                </c:pt>
                <c:pt idx="1012">
                  <c:v>44620</c:v>
                </c:pt>
                <c:pt idx="1013">
                  <c:v>44617</c:v>
                </c:pt>
                <c:pt idx="1014">
                  <c:v>44616</c:v>
                </c:pt>
                <c:pt idx="1015">
                  <c:v>44615</c:v>
                </c:pt>
                <c:pt idx="1016">
                  <c:v>44614</c:v>
                </c:pt>
                <c:pt idx="1017">
                  <c:v>44613</c:v>
                </c:pt>
                <c:pt idx="1018">
                  <c:v>44610</c:v>
                </c:pt>
                <c:pt idx="1019">
                  <c:v>44609</c:v>
                </c:pt>
                <c:pt idx="1020">
                  <c:v>44608</c:v>
                </c:pt>
                <c:pt idx="1021">
                  <c:v>44607</c:v>
                </c:pt>
                <c:pt idx="1022">
                  <c:v>44606</c:v>
                </c:pt>
                <c:pt idx="1023">
                  <c:v>44603</c:v>
                </c:pt>
                <c:pt idx="1024">
                  <c:v>44602</c:v>
                </c:pt>
                <c:pt idx="1025">
                  <c:v>44601</c:v>
                </c:pt>
                <c:pt idx="1026">
                  <c:v>44600</c:v>
                </c:pt>
                <c:pt idx="1027">
                  <c:v>44599</c:v>
                </c:pt>
                <c:pt idx="1028">
                  <c:v>44596</c:v>
                </c:pt>
                <c:pt idx="1029">
                  <c:v>44595</c:v>
                </c:pt>
                <c:pt idx="1030">
                  <c:v>44594</c:v>
                </c:pt>
                <c:pt idx="1031">
                  <c:v>44593</c:v>
                </c:pt>
                <c:pt idx="1032">
                  <c:v>44592</c:v>
                </c:pt>
                <c:pt idx="1033">
                  <c:v>44589</c:v>
                </c:pt>
                <c:pt idx="1034">
                  <c:v>44588</c:v>
                </c:pt>
                <c:pt idx="1035">
                  <c:v>44586</c:v>
                </c:pt>
                <c:pt idx="1036">
                  <c:v>44585</c:v>
                </c:pt>
                <c:pt idx="1037">
                  <c:v>44582</c:v>
                </c:pt>
                <c:pt idx="1038">
                  <c:v>44581</c:v>
                </c:pt>
                <c:pt idx="1039">
                  <c:v>44580</c:v>
                </c:pt>
                <c:pt idx="1040">
                  <c:v>44579</c:v>
                </c:pt>
                <c:pt idx="1041">
                  <c:v>44578</c:v>
                </c:pt>
                <c:pt idx="1042">
                  <c:v>44575</c:v>
                </c:pt>
                <c:pt idx="1043">
                  <c:v>44574</c:v>
                </c:pt>
                <c:pt idx="1044">
                  <c:v>44573</c:v>
                </c:pt>
                <c:pt idx="1045">
                  <c:v>44572</c:v>
                </c:pt>
                <c:pt idx="1046">
                  <c:v>44571</c:v>
                </c:pt>
                <c:pt idx="1047">
                  <c:v>44568</c:v>
                </c:pt>
                <c:pt idx="1048">
                  <c:v>44567</c:v>
                </c:pt>
                <c:pt idx="1049">
                  <c:v>44566</c:v>
                </c:pt>
                <c:pt idx="1050">
                  <c:v>44565</c:v>
                </c:pt>
                <c:pt idx="1051">
                  <c:v>44564</c:v>
                </c:pt>
                <c:pt idx="1052">
                  <c:v>44561</c:v>
                </c:pt>
                <c:pt idx="1053">
                  <c:v>44560</c:v>
                </c:pt>
                <c:pt idx="1054">
                  <c:v>44559</c:v>
                </c:pt>
                <c:pt idx="1055">
                  <c:v>44558</c:v>
                </c:pt>
                <c:pt idx="1056">
                  <c:v>44557</c:v>
                </c:pt>
                <c:pt idx="1057">
                  <c:v>44554</c:v>
                </c:pt>
                <c:pt idx="1058">
                  <c:v>44553</c:v>
                </c:pt>
                <c:pt idx="1059">
                  <c:v>44552</c:v>
                </c:pt>
                <c:pt idx="1060">
                  <c:v>44551</c:v>
                </c:pt>
                <c:pt idx="1061">
                  <c:v>44550</c:v>
                </c:pt>
                <c:pt idx="1062">
                  <c:v>44547</c:v>
                </c:pt>
                <c:pt idx="1063">
                  <c:v>44546</c:v>
                </c:pt>
                <c:pt idx="1064">
                  <c:v>44545</c:v>
                </c:pt>
                <c:pt idx="1065">
                  <c:v>44544</c:v>
                </c:pt>
                <c:pt idx="1066">
                  <c:v>44543</c:v>
                </c:pt>
                <c:pt idx="1067">
                  <c:v>44540</c:v>
                </c:pt>
                <c:pt idx="1068">
                  <c:v>44539</c:v>
                </c:pt>
                <c:pt idx="1069">
                  <c:v>44538</c:v>
                </c:pt>
                <c:pt idx="1070">
                  <c:v>44537</c:v>
                </c:pt>
                <c:pt idx="1071">
                  <c:v>44536</c:v>
                </c:pt>
                <c:pt idx="1072">
                  <c:v>44533</c:v>
                </c:pt>
                <c:pt idx="1073">
                  <c:v>44532</c:v>
                </c:pt>
                <c:pt idx="1074">
                  <c:v>44531</c:v>
                </c:pt>
                <c:pt idx="1075">
                  <c:v>44530</c:v>
                </c:pt>
                <c:pt idx="1076">
                  <c:v>44529</c:v>
                </c:pt>
                <c:pt idx="1077">
                  <c:v>44526</c:v>
                </c:pt>
                <c:pt idx="1078">
                  <c:v>44525</c:v>
                </c:pt>
                <c:pt idx="1079">
                  <c:v>44524</c:v>
                </c:pt>
                <c:pt idx="1080">
                  <c:v>44523</c:v>
                </c:pt>
                <c:pt idx="1081">
                  <c:v>44522</c:v>
                </c:pt>
                <c:pt idx="1082">
                  <c:v>44518</c:v>
                </c:pt>
                <c:pt idx="1083">
                  <c:v>44517</c:v>
                </c:pt>
                <c:pt idx="1084">
                  <c:v>44516</c:v>
                </c:pt>
                <c:pt idx="1085">
                  <c:v>44515</c:v>
                </c:pt>
                <c:pt idx="1086">
                  <c:v>44512</c:v>
                </c:pt>
                <c:pt idx="1087">
                  <c:v>44511</c:v>
                </c:pt>
                <c:pt idx="1088">
                  <c:v>44510</c:v>
                </c:pt>
                <c:pt idx="1089">
                  <c:v>44509</c:v>
                </c:pt>
                <c:pt idx="1090">
                  <c:v>44508</c:v>
                </c:pt>
                <c:pt idx="1091">
                  <c:v>44504</c:v>
                </c:pt>
                <c:pt idx="1092">
                  <c:v>44503</c:v>
                </c:pt>
                <c:pt idx="1093">
                  <c:v>44502</c:v>
                </c:pt>
                <c:pt idx="1094">
                  <c:v>44501</c:v>
                </c:pt>
                <c:pt idx="1095">
                  <c:v>44498</c:v>
                </c:pt>
                <c:pt idx="1096">
                  <c:v>44497</c:v>
                </c:pt>
                <c:pt idx="1097">
                  <c:v>44496</c:v>
                </c:pt>
                <c:pt idx="1098">
                  <c:v>44495</c:v>
                </c:pt>
                <c:pt idx="1099">
                  <c:v>44494</c:v>
                </c:pt>
                <c:pt idx="1100">
                  <c:v>44491</c:v>
                </c:pt>
                <c:pt idx="1101">
                  <c:v>44490</c:v>
                </c:pt>
                <c:pt idx="1102">
                  <c:v>44489</c:v>
                </c:pt>
                <c:pt idx="1103">
                  <c:v>44488</c:v>
                </c:pt>
                <c:pt idx="1104">
                  <c:v>44487</c:v>
                </c:pt>
                <c:pt idx="1105">
                  <c:v>44483</c:v>
                </c:pt>
                <c:pt idx="1106">
                  <c:v>44482</c:v>
                </c:pt>
                <c:pt idx="1107">
                  <c:v>44481</c:v>
                </c:pt>
                <c:pt idx="1108">
                  <c:v>44480</c:v>
                </c:pt>
                <c:pt idx="1109">
                  <c:v>44477</c:v>
                </c:pt>
                <c:pt idx="1110">
                  <c:v>44476</c:v>
                </c:pt>
                <c:pt idx="1111">
                  <c:v>44475</c:v>
                </c:pt>
                <c:pt idx="1112">
                  <c:v>44474</c:v>
                </c:pt>
                <c:pt idx="1113">
                  <c:v>44473</c:v>
                </c:pt>
                <c:pt idx="1114">
                  <c:v>44470</c:v>
                </c:pt>
                <c:pt idx="1115">
                  <c:v>44469</c:v>
                </c:pt>
                <c:pt idx="1116">
                  <c:v>44468</c:v>
                </c:pt>
                <c:pt idx="1117">
                  <c:v>44467</c:v>
                </c:pt>
                <c:pt idx="1118">
                  <c:v>44466</c:v>
                </c:pt>
                <c:pt idx="1119">
                  <c:v>44463</c:v>
                </c:pt>
                <c:pt idx="1120">
                  <c:v>44462</c:v>
                </c:pt>
                <c:pt idx="1121">
                  <c:v>44461</c:v>
                </c:pt>
                <c:pt idx="1122">
                  <c:v>44460</c:v>
                </c:pt>
                <c:pt idx="1123">
                  <c:v>44459</c:v>
                </c:pt>
                <c:pt idx="1124">
                  <c:v>44456</c:v>
                </c:pt>
                <c:pt idx="1125">
                  <c:v>44455</c:v>
                </c:pt>
                <c:pt idx="1126">
                  <c:v>44454</c:v>
                </c:pt>
                <c:pt idx="1127">
                  <c:v>44453</c:v>
                </c:pt>
                <c:pt idx="1128">
                  <c:v>44452</c:v>
                </c:pt>
                <c:pt idx="1129">
                  <c:v>44448</c:v>
                </c:pt>
                <c:pt idx="1130">
                  <c:v>44447</c:v>
                </c:pt>
                <c:pt idx="1131">
                  <c:v>44446</c:v>
                </c:pt>
                <c:pt idx="1132">
                  <c:v>44445</c:v>
                </c:pt>
                <c:pt idx="1133">
                  <c:v>44442</c:v>
                </c:pt>
                <c:pt idx="1134">
                  <c:v>44441</c:v>
                </c:pt>
                <c:pt idx="1135">
                  <c:v>44440</c:v>
                </c:pt>
                <c:pt idx="1136">
                  <c:v>44439</c:v>
                </c:pt>
                <c:pt idx="1137">
                  <c:v>44438</c:v>
                </c:pt>
                <c:pt idx="1138">
                  <c:v>44435</c:v>
                </c:pt>
                <c:pt idx="1139">
                  <c:v>44434</c:v>
                </c:pt>
                <c:pt idx="1140">
                  <c:v>44433</c:v>
                </c:pt>
                <c:pt idx="1141">
                  <c:v>44432</c:v>
                </c:pt>
                <c:pt idx="1142">
                  <c:v>44431</c:v>
                </c:pt>
                <c:pt idx="1143">
                  <c:v>44428</c:v>
                </c:pt>
                <c:pt idx="1144">
                  <c:v>44426</c:v>
                </c:pt>
                <c:pt idx="1145">
                  <c:v>44425</c:v>
                </c:pt>
                <c:pt idx="1146">
                  <c:v>44424</c:v>
                </c:pt>
                <c:pt idx="1147">
                  <c:v>44421</c:v>
                </c:pt>
                <c:pt idx="1148">
                  <c:v>44420</c:v>
                </c:pt>
                <c:pt idx="1149">
                  <c:v>44419</c:v>
                </c:pt>
                <c:pt idx="1150">
                  <c:v>44418</c:v>
                </c:pt>
                <c:pt idx="1151">
                  <c:v>44417</c:v>
                </c:pt>
                <c:pt idx="1152">
                  <c:v>44414</c:v>
                </c:pt>
                <c:pt idx="1153">
                  <c:v>44413</c:v>
                </c:pt>
                <c:pt idx="1154">
                  <c:v>44412</c:v>
                </c:pt>
                <c:pt idx="1155">
                  <c:v>44411</c:v>
                </c:pt>
                <c:pt idx="1156">
                  <c:v>44410</c:v>
                </c:pt>
                <c:pt idx="1157">
                  <c:v>44407</c:v>
                </c:pt>
                <c:pt idx="1158">
                  <c:v>44406</c:v>
                </c:pt>
                <c:pt idx="1159">
                  <c:v>44405</c:v>
                </c:pt>
                <c:pt idx="1160">
                  <c:v>44404</c:v>
                </c:pt>
                <c:pt idx="1161">
                  <c:v>44403</c:v>
                </c:pt>
                <c:pt idx="1162">
                  <c:v>44400</c:v>
                </c:pt>
                <c:pt idx="1163">
                  <c:v>44399</c:v>
                </c:pt>
                <c:pt idx="1164">
                  <c:v>44397</c:v>
                </c:pt>
                <c:pt idx="1165">
                  <c:v>44396</c:v>
                </c:pt>
                <c:pt idx="1166">
                  <c:v>44393</c:v>
                </c:pt>
                <c:pt idx="1167">
                  <c:v>44392</c:v>
                </c:pt>
                <c:pt idx="1168">
                  <c:v>44391</c:v>
                </c:pt>
                <c:pt idx="1169">
                  <c:v>44390</c:v>
                </c:pt>
                <c:pt idx="1170">
                  <c:v>44389</c:v>
                </c:pt>
                <c:pt idx="1171">
                  <c:v>44386</c:v>
                </c:pt>
                <c:pt idx="1172">
                  <c:v>44385</c:v>
                </c:pt>
                <c:pt idx="1173">
                  <c:v>44384</c:v>
                </c:pt>
                <c:pt idx="1174">
                  <c:v>44383</c:v>
                </c:pt>
                <c:pt idx="1175">
                  <c:v>44382</c:v>
                </c:pt>
                <c:pt idx="1176">
                  <c:v>44379</c:v>
                </c:pt>
                <c:pt idx="1177">
                  <c:v>44378</c:v>
                </c:pt>
                <c:pt idx="1178">
                  <c:v>44377</c:v>
                </c:pt>
                <c:pt idx="1179">
                  <c:v>44376</c:v>
                </c:pt>
                <c:pt idx="1180">
                  <c:v>44375</c:v>
                </c:pt>
                <c:pt idx="1181">
                  <c:v>44372</c:v>
                </c:pt>
                <c:pt idx="1182">
                  <c:v>44371</c:v>
                </c:pt>
                <c:pt idx="1183">
                  <c:v>44370</c:v>
                </c:pt>
                <c:pt idx="1184">
                  <c:v>44369</c:v>
                </c:pt>
                <c:pt idx="1185">
                  <c:v>44368</c:v>
                </c:pt>
                <c:pt idx="1186">
                  <c:v>44365</c:v>
                </c:pt>
                <c:pt idx="1187">
                  <c:v>44364</c:v>
                </c:pt>
                <c:pt idx="1188">
                  <c:v>44363</c:v>
                </c:pt>
                <c:pt idx="1189">
                  <c:v>44362</c:v>
                </c:pt>
                <c:pt idx="1190">
                  <c:v>44361</c:v>
                </c:pt>
                <c:pt idx="1191">
                  <c:v>44358</c:v>
                </c:pt>
                <c:pt idx="1192">
                  <c:v>44357</c:v>
                </c:pt>
                <c:pt idx="1193">
                  <c:v>44356</c:v>
                </c:pt>
                <c:pt idx="1194">
                  <c:v>44355</c:v>
                </c:pt>
                <c:pt idx="1195">
                  <c:v>44354</c:v>
                </c:pt>
                <c:pt idx="1196">
                  <c:v>44351</c:v>
                </c:pt>
                <c:pt idx="1197">
                  <c:v>44350</c:v>
                </c:pt>
                <c:pt idx="1198">
                  <c:v>44349</c:v>
                </c:pt>
                <c:pt idx="1199">
                  <c:v>44348</c:v>
                </c:pt>
                <c:pt idx="1200">
                  <c:v>44347</c:v>
                </c:pt>
                <c:pt idx="1201">
                  <c:v>44344</c:v>
                </c:pt>
                <c:pt idx="1202">
                  <c:v>44343</c:v>
                </c:pt>
                <c:pt idx="1203">
                  <c:v>44342</c:v>
                </c:pt>
                <c:pt idx="1204">
                  <c:v>44341</c:v>
                </c:pt>
                <c:pt idx="1205">
                  <c:v>44340</c:v>
                </c:pt>
                <c:pt idx="1206">
                  <c:v>44337</c:v>
                </c:pt>
                <c:pt idx="1207">
                  <c:v>44336</c:v>
                </c:pt>
                <c:pt idx="1208">
                  <c:v>44335</c:v>
                </c:pt>
                <c:pt idx="1209">
                  <c:v>44334</c:v>
                </c:pt>
                <c:pt idx="1210">
                  <c:v>44333</c:v>
                </c:pt>
                <c:pt idx="1211">
                  <c:v>44330</c:v>
                </c:pt>
                <c:pt idx="1212">
                  <c:v>44328</c:v>
                </c:pt>
                <c:pt idx="1213">
                  <c:v>44327</c:v>
                </c:pt>
                <c:pt idx="1214">
                  <c:v>44326</c:v>
                </c:pt>
                <c:pt idx="1215">
                  <c:v>44323</c:v>
                </c:pt>
                <c:pt idx="1216">
                  <c:v>44322</c:v>
                </c:pt>
                <c:pt idx="1217">
                  <c:v>44321</c:v>
                </c:pt>
                <c:pt idx="1218">
                  <c:v>44320</c:v>
                </c:pt>
                <c:pt idx="1219">
                  <c:v>44319</c:v>
                </c:pt>
                <c:pt idx="1220">
                  <c:v>44316</c:v>
                </c:pt>
                <c:pt idx="1221">
                  <c:v>44315</c:v>
                </c:pt>
                <c:pt idx="1222">
                  <c:v>44314</c:v>
                </c:pt>
                <c:pt idx="1223">
                  <c:v>44313</c:v>
                </c:pt>
                <c:pt idx="1224">
                  <c:v>44312</c:v>
                </c:pt>
                <c:pt idx="1225">
                  <c:v>44309</c:v>
                </c:pt>
                <c:pt idx="1226">
                  <c:v>44308</c:v>
                </c:pt>
                <c:pt idx="1227">
                  <c:v>44306</c:v>
                </c:pt>
                <c:pt idx="1228">
                  <c:v>44305</c:v>
                </c:pt>
                <c:pt idx="1229">
                  <c:v>44302</c:v>
                </c:pt>
                <c:pt idx="1230">
                  <c:v>44301</c:v>
                </c:pt>
                <c:pt idx="1231">
                  <c:v>44299</c:v>
                </c:pt>
                <c:pt idx="1232">
                  <c:v>44298</c:v>
                </c:pt>
                <c:pt idx="1233">
                  <c:v>44295</c:v>
                </c:pt>
                <c:pt idx="1234">
                  <c:v>44294</c:v>
                </c:pt>
                <c:pt idx="1235">
                  <c:v>44293</c:v>
                </c:pt>
                <c:pt idx="1236">
                  <c:v>44292</c:v>
                </c:pt>
                <c:pt idx="1237">
                  <c:v>44291</c:v>
                </c:pt>
                <c:pt idx="1238">
                  <c:v>44287</c:v>
                </c:pt>
              </c:numCache>
            </c:numRef>
          </c:cat>
          <c:val>
            <c:numRef>
              <c:f>'share Price'!$E$3:$E$1241</c:f>
              <c:numCache>
                <c:formatCode>General</c:formatCode>
                <c:ptCount val="1239"/>
                <c:pt idx="0">
                  <c:v>141.1</c:v>
                </c:pt>
                <c:pt idx="1">
                  <c:v>130.9</c:v>
                </c:pt>
                <c:pt idx="2">
                  <c:v>108.2</c:v>
                </c:pt>
                <c:pt idx="3">
                  <c:v>136.1</c:v>
                </c:pt>
                <c:pt idx="4">
                  <c:v>124.2</c:v>
                </c:pt>
                <c:pt idx="5">
                  <c:v>273</c:v>
                </c:pt>
                <c:pt idx="6">
                  <c:v>91.6</c:v>
                </c:pt>
                <c:pt idx="7">
                  <c:v>123.7</c:v>
                </c:pt>
                <c:pt idx="8">
                  <c:v>112.2</c:v>
                </c:pt>
                <c:pt idx="9">
                  <c:v>123.1</c:v>
                </c:pt>
                <c:pt idx="10">
                  <c:v>73.7</c:v>
                </c:pt>
                <c:pt idx="11">
                  <c:v>76</c:v>
                </c:pt>
                <c:pt idx="12">
                  <c:v>78.7</c:v>
                </c:pt>
                <c:pt idx="13">
                  <c:v>96</c:v>
                </c:pt>
                <c:pt idx="14">
                  <c:v>100.7</c:v>
                </c:pt>
                <c:pt idx="15">
                  <c:v>87.2</c:v>
                </c:pt>
                <c:pt idx="16">
                  <c:v>103.6</c:v>
                </c:pt>
                <c:pt idx="17">
                  <c:v>151.5</c:v>
                </c:pt>
                <c:pt idx="18">
                  <c:v>97</c:v>
                </c:pt>
                <c:pt idx="19">
                  <c:v>231.4</c:v>
                </c:pt>
                <c:pt idx="20">
                  <c:v>114.9</c:v>
                </c:pt>
                <c:pt idx="21">
                  <c:v>166.70000000000002</c:v>
                </c:pt>
                <c:pt idx="22">
                  <c:v>278.39999999999998</c:v>
                </c:pt>
                <c:pt idx="23">
                  <c:v>128.9</c:v>
                </c:pt>
                <c:pt idx="24">
                  <c:v>126.3</c:v>
                </c:pt>
                <c:pt idx="25">
                  <c:v>145.69999999999999</c:v>
                </c:pt>
                <c:pt idx="26">
                  <c:v>202.4</c:v>
                </c:pt>
                <c:pt idx="27">
                  <c:v>253.5</c:v>
                </c:pt>
                <c:pt idx="28">
                  <c:v>146.19999999999999</c:v>
                </c:pt>
                <c:pt idx="29">
                  <c:v>457.9</c:v>
                </c:pt>
                <c:pt idx="30">
                  <c:v>260.5</c:v>
                </c:pt>
                <c:pt idx="31">
                  <c:v>79.3</c:v>
                </c:pt>
                <c:pt idx="32">
                  <c:v>86.6</c:v>
                </c:pt>
                <c:pt idx="33">
                  <c:v>82.899999999999991</c:v>
                </c:pt>
                <c:pt idx="34">
                  <c:v>139</c:v>
                </c:pt>
                <c:pt idx="35">
                  <c:v>106.3</c:v>
                </c:pt>
                <c:pt idx="36">
                  <c:v>288.3</c:v>
                </c:pt>
                <c:pt idx="37">
                  <c:v>88.1</c:v>
                </c:pt>
                <c:pt idx="38">
                  <c:v>67.8</c:v>
                </c:pt>
                <c:pt idx="39">
                  <c:v>62.4</c:v>
                </c:pt>
                <c:pt idx="40">
                  <c:v>92.1</c:v>
                </c:pt>
                <c:pt idx="41">
                  <c:v>47.5</c:v>
                </c:pt>
                <c:pt idx="42">
                  <c:v>85.9</c:v>
                </c:pt>
                <c:pt idx="43">
                  <c:v>106.7</c:v>
                </c:pt>
                <c:pt idx="44">
                  <c:v>58.7</c:v>
                </c:pt>
                <c:pt idx="45">
                  <c:v>62.3</c:v>
                </c:pt>
                <c:pt idx="46">
                  <c:v>62.2</c:v>
                </c:pt>
                <c:pt idx="47">
                  <c:v>64.099999999999994</c:v>
                </c:pt>
                <c:pt idx="48">
                  <c:v>51</c:v>
                </c:pt>
                <c:pt idx="49">
                  <c:v>193.4</c:v>
                </c:pt>
                <c:pt idx="50">
                  <c:v>75.599999999999994</c:v>
                </c:pt>
                <c:pt idx="51">
                  <c:v>80.8</c:v>
                </c:pt>
                <c:pt idx="52">
                  <c:v>69.900000000000006</c:v>
                </c:pt>
                <c:pt idx="53">
                  <c:v>68.2</c:v>
                </c:pt>
                <c:pt idx="54">
                  <c:v>39.4</c:v>
                </c:pt>
                <c:pt idx="55">
                  <c:v>45.1</c:v>
                </c:pt>
                <c:pt idx="56">
                  <c:v>44.7</c:v>
                </c:pt>
                <c:pt idx="57">
                  <c:v>59.2</c:v>
                </c:pt>
                <c:pt idx="58">
                  <c:v>25.2</c:v>
                </c:pt>
                <c:pt idx="59">
                  <c:v>36.6</c:v>
                </c:pt>
                <c:pt idx="60">
                  <c:v>65.400000000000006</c:v>
                </c:pt>
                <c:pt idx="61">
                  <c:v>94</c:v>
                </c:pt>
                <c:pt idx="62">
                  <c:v>40.599999999999994</c:v>
                </c:pt>
                <c:pt idx="63">
                  <c:v>20.099999999999998</c:v>
                </c:pt>
                <c:pt idx="64">
                  <c:v>42.7</c:v>
                </c:pt>
                <c:pt idx="65">
                  <c:v>65.900000000000006</c:v>
                </c:pt>
                <c:pt idx="66">
                  <c:v>231</c:v>
                </c:pt>
                <c:pt idx="67">
                  <c:v>131.5</c:v>
                </c:pt>
                <c:pt idx="68">
                  <c:v>65.8</c:v>
                </c:pt>
                <c:pt idx="69">
                  <c:v>48.2</c:v>
                </c:pt>
                <c:pt idx="70">
                  <c:v>55</c:v>
                </c:pt>
                <c:pt idx="71">
                  <c:v>41.900000000000006</c:v>
                </c:pt>
                <c:pt idx="72">
                  <c:v>46.3</c:v>
                </c:pt>
                <c:pt idx="73">
                  <c:v>51.6</c:v>
                </c:pt>
                <c:pt idx="74">
                  <c:v>51.2</c:v>
                </c:pt>
                <c:pt idx="75">
                  <c:v>69.599999999999994</c:v>
                </c:pt>
                <c:pt idx="76">
                  <c:v>75.5</c:v>
                </c:pt>
                <c:pt idx="77">
                  <c:v>103.4</c:v>
                </c:pt>
                <c:pt idx="78">
                  <c:v>126.1</c:v>
                </c:pt>
                <c:pt idx="79">
                  <c:v>129</c:v>
                </c:pt>
                <c:pt idx="80">
                  <c:v>63.4</c:v>
                </c:pt>
                <c:pt idx="81">
                  <c:v>53.4</c:v>
                </c:pt>
                <c:pt idx="82">
                  <c:v>44.5</c:v>
                </c:pt>
                <c:pt idx="83">
                  <c:v>75.5</c:v>
                </c:pt>
                <c:pt idx="84">
                  <c:v>75.8</c:v>
                </c:pt>
                <c:pt idx="85">
                  <c:v>81.099999999999994</c:v>
                </c:pt>
                <c:pt idx="86">
                  <c:v>192.7</c:v>
                </c:pt>
                <c:pt idx="87">
                  <c:v>91.9</c:v>
                </c:pt>
                <c:pt idx="88">
                  <c:v>73.900000000000006</c:v>
                </c:pt>
                <c:pt idx="89">
                  <c:v>109.8</c:v>
                </c:pt>
                <c:pt idx="90">
                  <c:v>75.3</c:v>
                </c:pt>
                <c:pt idx="91">
                  <c:v>79.099999999999994</c:v>
                </c:pt>
                <c:pt idx="92">
                  <c:v>97.4</c:v>
                </c:pt>
                <c:pt idx="93">
                  <c:v>196.6</c:v>
                </c:pt>
                <c:pt idx="94">
                  <c:v>146.4</c:v>
                </c:pt>
                <c:pt idx="95">
                  <c:v>136.9</c:v>
                </c:pt>
                <c:pt idx="96">
                  <c:v>97.9</c:v>
                </c:pt>
                <c:pt idx="97">
                  <c:v>87.7</c:v>
                </c:pt>
                <c:pt idx="98">
                  <c:v>79.400000000000006</c:v>
                </c:pt>
                <c:pt idx="99">
                  <c:v>86.9</c:v>
                </c:pt>
                <c:pt idx="100">
                  <c:v>54.7</c:v>
                </c:pt>
                <c:pt idx="101">
                  <c:v>48.2</c:v>
                </c:pt>
                <c:pt idx="102">
                  <c:v>56.1</c:v>
                </c:pt>
                <c:pt idx="103">
                  <c:v>48.8</c:v>
                </c:pt>
                <c:pt idx="104">
                  <c:v>82.100000000000009</c:v>
                </c:pt>
                <c:pt idx="105">
                  <c:v>72.7</c:v>
                </c:pt>
                <c:pt idx="106">
                  <c:v>86.5</c:v>
                </c:pt>
                <c:pt idx="107">
                  <c:v>203.6</c:v>
                </c:pt>
                <c:pt idx="108">
                  <c:v>17</c:v>
                </c:pt>
                <c:pt idx="109">
                  <c:v>69.900000000000006</c:v>
                </c:pt>
                <c:pt idx="110">
                  <c:v>169.6</c:v>
                </c:pt>
                <c:pt idx="111">
                  <c:v>80.099999999999994</c:v>
                </c:pt>
                <c:pt idx="112">
                  <c:v>69.900000000000006</c:v>
                </c:pt>
                <c:pt idx="113">
                  <c:v>56</c:v>
                </c:pt>
                <c:pt idx="114">
                  <c:v>58.6</c:v>
                </c:pt>
                <c:pt idx="115">
                  <c:v>37.4</c:v>
                </c:pt>
                <c:pt idx="116">
                  <c:v>70.3</c:v>
                </c:pt>
                <c:pt idx="117">
                  <c:v>46.6</c:v>
                </c:pt>
                <c:pt idx="118">
                  <c:v>55.7</c:v>
                </c:pt>
                <c:pt idx="119">
                  <c:v>46.3</c:v>
                </c:pt>
                <c:pt idx="120">
                  <c:v>68.8</c:v>
                </c:pt>
                <c:pt idx="121">
                  <c:v>62.5</c:v>
                </c:pt>
                <c:pt idx="122">
                  <c:v>75.599999999999994</c:v>
                </c:pt>
                <c:pt idx="123">
                  <c:v>105.1</c:v>
                </c:pt>
                <c:pt idx="124">
                  <c:v>86</c:v>
                </c:pt>
                <c:pt idx="125">
                  <c:v>94.9</c:v>
                </c:pt>
                <c:pt idx="126">
                  <c:v>49.4</c:v>
                </c:pt>
                <c:pt idx="127">
                  <c:v>98.3</c:v>
                </c:pt>
                <c:pt idx="128">
                  <c:v>156.6</c:v>
                </c:pt>
                <c:pt idx="129">
                  <c:v>129.9</c:v>
                </c:pt>
                <c:pt idx="130">
                  <c:v>93.3</c:v>
                </c:pt>
                <c:pt idx="131">
                  <c:v>48</c:v>
                </c:pt>
                <c:pt idx="132">
                  <c:v>89.2</c:v>
                </c:pt>
                <c:pt idx="133">
                  <c:v>61.7</c:v>
                </c:pt>
                <c:pt idx="134">
                  <c:v>128.6</c:v>
                </c:pt>
                <c:pt idx="135">
                  <c:v>80</c:v>
                </c:pt>
                <c:pt idx="136">
                  <c:v>72.8</c:v>
                </c:pt>
                <c:pt idx="137">
                  <c:v>130.69999999999999</c:v>
                </c:pt>
                <c:pt idx="138">
                  <c:v>38.1</c:v>
                </c:pt>
                <c:pt idx="139">
                  <c:v>54.7</c:v>
                </c:pt>
                <c:pt idx="140">
                  <c:v>57.9</c:v>
                </c:pt>
                <c:pt idx="141">
                  <c:v>46.2</c:v>
                </c:pt>
                <c:pt idx="142">
                  <c:v>52.2</c:v>
                </c:pt>
                <c:pt idx="143">
                  <c:v>45.5</c:v>
                </c:pt>
                <c:pt idx="144">
                  <c:v>81.7</c:v>
                </c:pt>
                <c:pt idx="145">
                  <c:v>54.4</c:v>
                </c:pt>
                <c:pt idx="146">
                  <c:v>159.9</c:v>
                </c:pt>
                <c:pt idx="147">
                  <c:v>106.9</c:v>
                </c:pt>
                <c:pt idx="148">
                  <c:v>55.4</c:v>
                </c:pt>
                <c:pt idx="149">
                  <c:v>65.7</c:v>
                </c:pt>
                <c:pt idx="150">
                  <c:v>104.1</c:v>
                </c:pt>
                <c:pt idx="151">
                  <c:v>39.9</c:v>
                </c:pt>
                <c:pt idx="152">
                  <c:v>72.5</c:v>
                </c:pt>
                <c:pt idx="153">
                  <c:v>129</c:v>
                </c:pt>
                <c:pt idx="154">
                  <c:v>103.2</c:v>
                </c:pt>
                <c:pt idx="155">
                  <c:v>99</c:v>
                </c:pt>
                <c:pt idx="156">
                  <c:v>66.3</c:v>
                </c:pt>
                <c:pt idx="157">
                  <c:v>100.5</c:v>
                </c:pt>
                <c:pt idx="158">
                  <c:v>98.9</c:v>
                </c:pt>
                <c:pt idx="159">
                  <c:v>105.7</c:v>
                </c:pt>
                <c:pt idx="160">
                  <c:v>102.1</c:v>
                </c:pt>
                <c:pt idx="161">
                  <c:v>86.1</c:v>
                </c:pt>
                <c:pt idx="162">
                  <c:v>87</c:v>
                </c:pt>
                <c:pt idx="163">
                  <c:v>68.5</c:v>
                </c:pt>
                <c:pt idx="164">
                  <c:v>57.2</c:v>
                </c:pt>
                <c:pt idx="165">
                  <c:v>70.7</c:v>
                </c:pt>
                <c:pt idx="166">
                  <c:v>64.400000000000006</c:v>
                </c:pt>
                <c:pt idx="167">
                  <c:v>108.5</c:v>
                </c:pt>
                <c:pt idx="168">
                  <c:v>141.69999999999999</c:v>
                </c:pt>
                <c:pt idx="169">
                  <c:v>80.399999999999991</c:v>
                </c:pt>
                <c:pt idx="170">
                  <c:v>84.7</c:v>
                </c:pt>
                <c:pt idx="171">
                  <c:v>36.799999999999997</c:v>
                </c:pt>
                <c:pt idx="172">
                  <c:v>51.6</c:v>
                </c:pt>
                <c:pt idx="173">
                  <c:v>73.7</c:v>
                </c:pt>
                <c:pt idx="174">
                  <c:v>62.2</c:v>
                </c:pt>
                <c:pt idx="175">
                  <c:v>76.099999999999994</c:v>
                </c:pt>
                <c:pt idx="176">
                  <c:v>91.7</c:v>
                </c:pt>
                <c:pt idx="177">
                  <c:v>113.9</c:v>
                </c:pt>
                <c:pt idx="178">
                  <c:v>53.3</c:v>
                </c:pt>
                <c:pt idx="179">
                  <c:v>45.8</c:v>
                </c:pt>
                <c:pt idx="180">
                  <c:v>45.9</c:v>
                </c:pt>
                <c:pt idx="181">
                  <c:v>32.9</c:v>
                </c:pt>
                <c:pt idx="182">
                  <c:v>44.1</c:v>
                </c:pt>
                <c:pt idx="183">
                  <c:v>52.6</c:v>
                </c:pt>
                <c:pt idx="184">
                  <c:v>86.5</c:v>
                </c:pt>
                <c:pt idx="185">
                  <c:v>41.8</c:v>
                </c:pt>
                <c:pt idx="186">
                  <c:v>62.9</c:v>
                </c:pt>
                <c:pt idx="187">
                  <c:v>89.1</c:v>
                </c:pt>
                <c:pt idx="188">
                  <c:v>65.2</c:v>
                </c:pt>
                <c:pt idx="189">
                  <c:v>78.099999999999994</c:v>
                </c:pt>
                <c:pt idx="190">
                  <c:v>80.8</c:v>
                </c:pt>
                <c:pt idx="191">
                  <c:v>79.400000000000006</c:v>
                </c:pt>
                <c:pt idx="192">
                  <c:v>92</c:v>
                </c:pt>
                <c:pt idx="193">
                  <c:v>51.5</c:v>
                </c:pt>
                <c:pt idx="194">
                  <c:v>56.3</c:v>
                </c:pt>
                <c:pt idx="195">
                  <c:v>76.2</c:v>
                </c:pt>
                <c:pt idx="196">
                  <c:v>55.9</c:v>
                </c:pt>
                <c:pt idx="197">
                  <c:v>69.7</c:v>
                </c:pt>
                <c:pt idx="198">
                  <c:v>104.8</c:v>
                </c:pt>
                <c:pt idx="199">
                  <c:v>106</c:v>
                </c:pt>
                <c:pt idx="200">
                  <c:v>85.9</c:v>
                </c:pt>
                <c:pt idx="201">
                  <c:v>29</c:v>
                </c:pt>
                <c:pt idx="202">
                  <c:v>39.6</c:v>
                </c:pt>
                <c:pt idx="203">
                  <c:v>69.5</c:v>
                </c:pt>
                <c:pt idx="204">
                  <c:v>45.5</c:v>
                </c:pt>
                <c:pt idx="205">
                  <c:v>68.5</c:v>
                </c:pt>
                <c:pt idx="206">
                  <c:v>43.7</c:v>
                </c:pt>
                <c:pt idx="207">
                  <c:v>131.5</c:v>
                </c:pt>
                <c:pt idx="208">
                  <c:v>86.1</c:v>
                </c:pt>
                <c:pt idx="209">
                  <c:v>36.200000000000003</c:v>
                </c:pt>
                <c:pt idx="210">
                  <c:v>77.8</c:v>
                </c:pt>
                <c:pt idx="211">
                  <c:v>31.7</c:v>
                </c:pt>
                <c:pt idx="212">
                  <c:v>50.4</c:v>
                </c:pt>
                <c:pt idx="213">
                  <c:v>61.6</c:v>
                </c:pt>
                <c:pt idx="214">
                  <c:v>41.6</c:v>
                </c:pt>
                <c:pt idx="215">
                  <c:v>71.400000000000006</c:v>
                </c:pt>
                <c:pt idx="216">
                  <c:v>88.6</c:v>
                </c:pt>
                <c:pt idx="217">
                  <c:v>45.8</c:v>
                </c:pt>
                <c:pt idx="218">
                  <c:v>111.5</c:v>
                </c:pt>
                <c:pt idx="219">
                  <c:v>48.7</c:v>
                </c:pt>
                <c:pt idx="220">
                  <c:v>128.5</c:v>
                </c:pt>
                <c:pt idx="221">
                  <c:v>113.7</c:v>
                </c:pt>
                <c:pt idx="222">
                  <c:v>44.8</c:v>
                </c:pt>
                <c:pt idx="223">
                  <c:v>84.2</c:v>
                </c:pt>
                <c:pt idx="224">
                  <c:v>56.9</c:v>
                </c:pt>
                <c:pt idx="225">
                  <c:v>42.7</c:v>
                </c:pt>
                <c:pt idx="226">
                  <c:v>42.8</c:v>
                </c:pt>
                <c:pt idx="227">
                  <c:v>87.3</c:v>
                </c:pt>
                <c:pt idx="228">
                  <c:v>77</c:v>
                </c:pt>
                <c:pt idx="229">
                  <c:v>80.600000000000009</c:v>
                </c:pt>
                <c:pt idx="230">
                  <c:v>58.9</c:v>
                </c:pt>
                <c:pt idx="231">
                  <c:v>83.3</c:v>
                </c:pt>
                <c:pt idx="232">
                  <c:v>71.099999999999994</c:v>
                </c:pt>
                <c:pt idx="233">
                  <c:v>111.4</c:v>
                </c:pt>
                <c:pt idx="234">
                  <c:v>94</c:v>
                </c:pt>
                <c:pt idx="235">
                  <c:v>156.5</c:v>
                </c:pt>
                <c:pt idx="236">
                  <c:v>142.6</c:v>
                </c:pt>
                <c:pt idx="237">
                  <c:v>120.2</c:v>
                </c:pt>
                <c:pt idx="238">
                  <c:v>101.8</c:v>
                </c:pt>
                <c:pt idx="239">
                  <c:v>125.7</c:v>
                </c:pt>
                <c:pt idx="240">
                  <c:v>85.5</c:v>
                </c:pt>
                <c:pt idx="241">
                  <c:v>128.1</c:v>
                </c:pt>
                <c:pt idx="242">
                  <c:v>217.2</c:v>
                </c:pt>
                <c:pt idx="243">
                  <c:v>95.9</c:v>
                </c:pt>
                <c:pt idx="244">
                  <c:v>104.6</c:v>
                </c:pt>
                <c:pt idx="245">
                  <c:v>61.9</c:v>
                </c:pt>
                <c:pt idx="246">
                  <c:v>126.8</c:v>
                </c:pt>
                <c:pt idx="247">
                  <c:v>68</c:v>
                </c:pt>
                <c:pt idx="248">
                  <c:v>94.3</c:v>
                </c:pt>
                <c:pt idx="249">
                  <c:v>66.5</c:v>
                </c:pt>
                <c:pt idx="250">
                  <c:v>98.9</c:v>
                </c:pt>
                <c:pt idx="251">
                  <c:v>88.6</c:v>
                </c:pt>
                <c:pt idx="252">
                  <c:v>100.7</c:v>
                </c:pt>
                <c:pt idx="253">
                  <c:v>71.900000000000006</c:v>
                </c:pt>
                <c:pt idx="254">
                  <c:v>73.900000000000006</c:v>
                </c:pt>
                <c:pt idx="255">
                  <c:v>63</c:v>
                </c:pt>
                <c:pt idx="256">
                  <c:v>75.3</c:v>
                </c:pt>
                <c:pt idx="257">
                  <c:v>78.2</c:v>
                </c:pt>
                <c:pt idx="258">
                  <c:v>148.69999999999999</c:v>
                </c:pt>
                <c:pt idx="259">
                  <c:v>126.7</c:v>
                </c:pt>
                <c:pt idx="260">
                  <c:v>75.599999999999994</c:v>
                </c:pt>
                <c:pt idx="261">
                  <c:v>80.2</c:v>
                </c:pt>
                <c:pt idx="262">
                  <c:v>106.1</c:v>
                </c:pt>
                <c:pt idx="263">
                  <c:v>81.8</c:v>
                </c:pt>
                <c:pt idx="264">
                  <c:v>67.599999999999994</c:v>
                </c:pt>
                <c:pt idx="265">
                  <c:v>75</c:v>
                </c:pt>
                <c:pt idx="266">
                  <c:v>121.8</c:v>
                </c:pt>
                <c:pt idx="267">
                  <c:v>57.6</c:v>
                </c:pt>
                <c:pt idx="268">
                  <c:v>50.9</c:v>
                </c:pt>
                <c:pt idx="269">
                  <c:v>75.900000000000006</c:v>
                </c:pt>
                <c:pt idx="270">
                  <c:v>33.799999999999997</c:v>
                </c:pt>
                <c:pt idx="271">
                  <c:v>22.2</c:v>
                </c:pt>
                <c:pt idx="272">
                  <c:v>46.1</c:v>
                </c:pt>
                <c:pt idx="273">
                  <c:v>43.7</c:v>
                </c:pt>
                <c:pt idx="274">
                  <c:v>44.3</c:v>
                </c:pt>
                <c:pt idx="275">
                  <c:v>52.9</c:v>
                </c:pt>
                <c:pt idx="276">
                  <c:v>52.4</c:v>
                </c:pt>
                <c:pt idx="277">
                  <c:v>56.3</c:v>
                </c:pt>
                <c:pt idx="278">
                  <c:v>44.1</c:v>
                </c:pt>
                <c:pt idx="279">
                  <c:v>38.299999999999997</c:v>
                </c:pt>
                <c:pt idx="280">
                  <c:v>41.3</c:v>
                </c:pt>
                <c:pt idx="281">
                  <c:v>47.7</c:v>
                </c:pt>
                <c:pt idx="282">
                  <c:v>50</c:v>
                </c:pt>
                <c:pt idx="283">
                  <c:v>73.3</c:v>
                </c:pt>
                <c:pt idx="284">
                  <c:v>48.2</c:v>
                </c:pt>
                <c:pt idx="285">
                  <c:v>17</c:v>
                </c:pt>
                <c:pt idx="286">
                  <c:v>58.2</c:v>
                </c:pt>
                <c:pt idx="287">
                  <c:v>73.400000000000006</c:v>
                </c:pt>
                <c:pt idx="288">
                  <c:v>51.5</c:v>
                </c:pt>
                <c:pt idx="289">
                  <c:v>70</c:v>
                </c:pt>
                <c:pt idx="290">
                  <c:v>76.5</c:v>
                </c:pt>
                <c:pt idx="291">
                  <c:v>48.9</c:v>
                </c:pt>
                <c:pt idx="292">
                  <c:v>59.1</c:v>
                </c:pt>
                <c:pt idx="293">
                  <c:v>83.699999999999989</c:v>
                </c:pt>
                <c:pt idx="294">
                  <c:v>71.7</c:v>
                </c:pt>
                <c:pt idx="295">
                  <c:v>43.3</c:v>
                </c:pt>
                <c:pt idx="296">
                  <c:v>164.1</c:v>
                </c:pt>
                <c:pt idx="297">
                  <c:v>75.3</c:v>
                </c:pt>
                <c:pt idx="298">
                  <c:v>29.9</c:v>
                </c:pt>
                <c:pt idx="299">
                  <c:v>57.9</c:v>
                </c:pt>
                <c:pt idx="300">
                  <c:v>58</c:v>
                </c:pt>
                <c:pt idx="301">
                  <c:v>80.399999999999991</c:v>
                </c:pt>
                <c:pt idx="302">
                  <c:v>68.3</c:v>
                </c:pt>
                <c:pt idx="303">
                  <c:v>54.8</c:v>
                </c:pt>
                <c:pt idx="304">
                  <c:v>42.9</c:v>
                </c:pt>
                <c:pt idx="305">
                  <c:v>71.599999999999994</c:v>
                </c:pt>
                <c:pt idx="306">
                  <c:v>62.2</c:v>
                </c:pt>
                <c:pt idx="307">
                  <c:v>70.8</c:v>
                </c:pt>
                <c:pt idx="308">
                  <c:v>18.399999999999999</c:v>
                </c:pt>
                <c:pt idx="309">
                  <c:v>36.1</c:v>
                </c:pt>
                <c:pt idx="310">
                  <c:v>77.900000000000006</c:v>
                </c:pt>
                <c:pt idx="311">
                  <c:v>39.4</c:v>
                </c:pt>
                <c:pt idx="312">
                  <c:v>36.200000000000003</c:v>
                </c:pt>
                <c:pt idx="313">
                  <c:v>23.6</c:v>
                </c:pt>
                <c:pt idx="314">
                  <c:v>27.8</c:v>
                </c:pt>
                <c:pt idx="315">
                  <c:v>110.6</c:v>
                </c:pt>
                <c:pt idx="316">
                  <c:v>53.2</c:v>
                </c:pt>
                <c:pt idx="317">
                  <c:v>30.6</c:v>
                </c:pt>
                <c:pt idx="318">
                  <c:v>58.1</c:v>
                </c:pt>
                <c:pt idx="319">
                  <c:v>31.2</c:v>
                </c:pt>
                <c:pt idx="320">
                  <c:v>53.6</c:v>
                </c:pt>
                <c:pt idx="321">
                  <c:v>64.599999999999994</c:v>
                </c:pt>
                <c:pt idx="322">
                  <c:v>50.3</c:v>
                </c:pt>
                <c:pt idx="323">
                  <c:v>61.7</c:v>
                </c:pt>
                <c:pt idx="324">
                  <c:v>42.7</c:v>
                </c:pt>
                <c:pt idx="325">
                  <c:v>35.700000000000003</c:v>
                </c:pt>
                <c:pt idx="326">
                  <c:v>90.5</c:v>
                </c:pt>
                <c:pt idx="327">
                  <c:v>47.1</c:v>
                </c:pt>
                <c:pt idx="328">
                  <c:v>47.2</c:v>
                </c:pt>
                <c:pt idx="329">
                  <c:v>28.7</c:v>
                </c:pt>
                <c:pt idx="330">
                  <c:v>52.4</c:v>
                </c:pt>
                <c:pt idx="331">
                  <c:v>84.7</c:v>
                </c:pt>
                <c:pt idx="332">
                  <c:v>44.5</c:v>
                </c:pt>
                <c:pt idx="333">
                  <c:v>68.5</c:v>
                </c:pt>
                <c:pt idx="334">
                  <c:v>127.6</c:v>
                </c:pt>
                <c:pt idx="335">
                  <c:v>63</c:v>
                </c:pt>
                <c:pt idx="336">
                  <c:v>54.4</c:v>
                </c:pt>
                <c:pt idx="337">
                  <c:v>46.7</c:v>
                </c:pt>
                <c:pt idx="338">
                  <c:v>48.4</c:v>
                </c:pt>
                <c:pt idx="339">
                  <c:v>43.1</c:v>
                </c:pt>
                <c:pt idx="340">
                  <c:v>42.6</c:v>
                </c:pt>
                <c:pt idx="341">
                  <c:v>50.1</c:v>
                </c:pt>
                <c:pt idx="342">
                  <c:v>38</c:v>
                </c:pt>
                <c:pt idx="343">
                  <c:v>42.1</c:v>
                </c:pt>
                <c:pt idx="344">
                  <c:v>45.5</c:v>
                </c:pt>
                <c:pt idx="345">
                  <c:v>104.2</c:v>
                </c:pt>
                <c:pt idx="346">
                  <c:v>31.6</c:v>
                </c:pt>
                <c:pt idx="347">
                  <c:v>73.400000000000006</c:v>
                </c:pt>
                <c:pt idx="348">
                  <c:v>3.7197</c:v>
                </c:pt>
                <c:pt idx="349">
                  <c:v>74</c:v>
                </c:pt>
                <c:pt idx="350">
                  <c:v>59.2</c:v>
                </c:pt>
                <c:pt idx="351">
                  <c:v>46.2</c:v>
                </c:pt>
                <c:pt idx="352">
                  <c:v>70.2</c:v>
                </c:pt>
                <c:pt idx="353">
                  <c:v>46.9</c:v>
                </c:pt>
                <c:pt idx="354">
                  <c:v>29.1</c:v>
                </c:pt>
                <c:pt idx="355">
                  <c:v>43.1</c:v>
                </c:pt>
                <c:pt idx="356">
                  <c:v>41.3</c:v>
                </c:pt>
                <c:pt idx="357">
                  <c:v>46.5</c:v>
                </c:pt>
                <c:pt idx="358">
                  <c:v>105.3</c:v>
                </c:pt>
                <c:pt idx="359">
                  <c:v>81.599999999999994</c:v>
                </c:pt>
                <c:pt idx="360">
                  <c:v>31.1</c:v>
                </c:pt>
                <c:pt idx="361">
                  <c:v>53.5</c:v>
                </c:pt>
                <c:pt idx="362">
                  <c:v>37.5</c:v>
                </c:pt>
                <c:pt idx="363">
                  <c:v>47.1</c:v>
                </c:pt>
                <c:pt idx="364">
                  <c:v>47.8</c:v>
                </c:pt>
                <c:pt idx="365">
                  <c:v>48.6</c:v>
                </c:pt>
                <c:pt idx="366">
                  <c:v>56.4</c:v>
                </c:pt>
                <c:pt idx="367">
                  <c:v>61.1</c:v>
                </c:pt>
                <c:pt idx="368">
                  <c:v>100</c:v>
                </c:pt>
                <c:pt idx="369">
                  <c:v>75</c:v>
                </c:pt>
                <c:pt idx="370">
                  <c:v>40.300000000000004</c:v>
                </c:pt>
                <c:pt idx="371">
                  <c:v>69.900000000000006</c:v>
                </c:pt>
                <c:pt idx="372">
                  <c:v>149.1</c:v>
                </c:pt>
                <c:pt idx="373">
                  <c:v>89.5</c:v>
                </c:pt>
                <c:pt idx="374">
                  <c:v>42.7</c:v>
                </c:pt>
                <c:pt idx="375">
                  <c:v>72.8</c:v>
                </c:pt>
                <c:pt idx="376">
                  <c:v>36.4</c:v>
                </c:pt>
                <c:pt idx="377">
                  <c:v>152.4</c:v>
                </c:pt>
                <c:pt idx="378">
                  <c:v>79.8</c:v>
                </c:pt>
                <c:pt idx="379">
                  <c:v>63.9</c:v>
                </c:pt>
                <c:pt idx="380">
                  <c:v>27.9</c:v>
                </c:pt>
                <c:pt idx="381">
                  <c:v>15.7</c:v>
                </c:pt>
                <c:pt idx="382">
                  <c:v>38.4</c:v>
                </c:pt>
                <c:pt idx="383">
                  <c:v>85.6</c:v>
                </c:pt>
                <c:pt idx="384">
                  <c:v>53.1</c:v>
                </c:pt>
                <c:pt idx="385">
                  <c:v>69.099999999999994</c:v>
                </c:pt>
                <c:pt idx="386">
                  <c:v>47.7</c:v>
                </c:pt>
                <c:pt idx="387">
                  <c:v>58.5</c:v>
                </c:pt>
                <c:pt idx="388">
                  <c:v>40.799999999999997</c:v>
                </c:pt>
                <c:pt idx="389">
                  <c:v>47.8</c:v>
                </c:pt>
                <c:pt idx="390">
                  <c:v>46.9</c:v>
                </c:pt>
                <c:pt idx="391">
                  <c:v>55.7</c:v>
                </c:pt>
                <c:pt idx="392">
                  <c:v>134.69999999999999</c:v>
                </c:pt>
                <c:pt idx="393">
                  <c:v>72.3</c:v>
                </c:pt>
                <c:pt idx="394">
                  <c:v>65.099999999999994</c:v>
                </c:pt>
                <c:pt idx="395">
                  <c:v>38.299999999999997</c:v>
                </c:pt>
                <c:pt idx="396">
                  <c:v>37.299999999999997</c:v>
                </c:pt>
                <c:pt idx="397">
                  <c:v>50.2</c:v>
                </c:pt>
                <c:pt idx="398">
                  <c:v>43</c:v>
                </c:pt>
                <c:pt idx="399">
                  <c:v>19.7</c:v>
                </c:pt>
                <c:pt idx="400">
                  <c:v>38.700000000000003</c:v>
                </c:pt>
                <c:pt idx="401">
                  <c:v>25.9</c:v>
                </c:pt>
                <c:pt idx="402">
                  <c:v>73.400000000000006</c:v>
                </c:pt>
                <c:pt idx="403">
                  <c:v>74.5</c:v>
                </c:pt>
                <c:pt idx="404">
                  <c:v>41.8</c:v>
                </c:pt>
                <c:pt idx="405">
                  <c:v>43.2</c:v>
                </c:pt>
                <c:pt idx="406">
                  <c:v>42.6</c:v>
                </c:pt>
                <c:pt idx="407">
                  <c:v>62.3</c:v>
                </c:pt>
                <c:pt idx="408">
                  <c:v>50.9</c:v>
                </c:pt>
                <c:pt idx="409">
                  <c:v>76.900000000000006</c:v>
                </c:pt>
                <c:pt idx="410">
                  <c:v>107.4</c:v>
                </c:pt>
                <c:pt idx="411">
                  <c:v>74</c:v>
                </c:pt>
                <c:pt idx="412">
                  <c:v>74.8</c:v>
                </c:pt>
                <c:pt idx="413">
                  <c:v>50</c:v>
                </c:pt>
                <c:pt idx="414">
                  <c:v>27.2</c:v>
                </c:pt>
                <c:pt idx="415">
                  <c:v>46.4</c:v>
                </c:pt>
                <c:pt idx="416">
                  <c:v>113.7</c:v>
                </c:pt>
                <c:pt idx="417">
                  <c:v>58.2</c:v>
                </c:pt>
                <c:pt idx="418">
                  <c:v>60</c:v>
                </c:pt>
                <c:pt idx="419">
                  <c:v>71.099999999999994</c:v>
                </c:pt>
                <c:pt idx="420">
                  <c:v>84.6</c:v>
                </c:pt>
                <c:pt idx="421">
                  <c:v>298.2</c:v>
                </c:pt>
                <c:pt idx="422">
                  <c:v>112.5</c:v>
                </c:pt>
                <c:pt idx="423">
                  <c:v>68.900000000000006</c:v>
                </c:pt>
                <c:pt idx="424">
                  <c:v>69.400000000000006</c:v>
                </c:pt>
                <c:pt idx="425">
                  <c:v>170.8</c:v>
                </c:pt>
                <c:pt idx="426">
                  <c:v>88.6</c:v>
                </c:pt>
                <c:pt idx="427">
                  <c:v>98.5</c:v>
                </c:pt>
                <c:pt idx="428">
                  <c:v>51.9</c:v>
                </c:pt>
                <c:pt idx="429">
                  <c:v>58.8</c:v>
                </c:pt>
                <c:pt idx="430">
                  <c:v>70.7</c:v>
                </c:pt>
                <c:pt idx="431">
                  <c:v>80.099999999999994</c:v>
                </c:pt>
                <c:pt idx="432">
                  <c:v>72.7</c:v>
                </c:pt>
                <c:pt idx="433">
                  <c:v>104.9</c:v>
                </c:pt>
                <c:pt idx="434">
                  <c:v>68</c:v>
                </c:pt>
                <c:pt idx="435">
                  <c:v>81.999999999999986</c:v>
                </c:pt>
                <c:pt idx="436">
                  <c:v>147.6</c:v>
                </c:pt>
                <c:pt idx="437">
                  <c:v>48.5</c:v>
                </c:pt>
                <c:pt idx="438">
                  <c:v>45.5</c:v>
                </c:pt>
                <c:pt idx="439">
                  <c:v>55.6</c:v>
                </c:pt>
                <c:pt idx="440">
                  <c:v>173</c:v>
                </c:pt>
                <c:pt idx="441">
                  <c:v>79.3</c:v>
                </c:pt>
                <c:pt idx="442">
                  <c:v>54.9</c:v>
                </c:pt>
                <c:pt idx="443">
                  <c:v>54.2</c:v>
                </c:pt>
                <c:pt idx="444">
                  <c:v>42.4</c:v>
                </c:pt>
                <c:pt idx="445">
                  <c:v>73.099999999999994</c:v>
                </c:pt>
                <c:pt idx="446">
                  <c:v>95.6</c:v>
                </c:pt>
                <c:pt idx="447">
                  <c:v>48.5</c:v>
                </c:pt>
                <c:pt idx="448">
                  <c:v>68.099999999999994</c:v>
                </c:pt>
                <c:pt idx="449">
                  <c:v>240.8</c:v>
                </c:pt>
                <c:pt idx="450">
                  <c:v>126.6</c:v>
                </c:pt>
                <c:pt idx="451">
                  <c:v>92.3</c:v>
                </c:pt>
                <c:pt idx="452">
                  <c:v>137.4</c:v>
                </c:pt>
                <c:pt idx="453">
                  <c:v>105.9</c:v>
                </c:pt>
                <c:pt idx="454">
                  <c:v>371.1</c:v>
                </c:pt>
                <c:pt idx="455">
                  <c:v>96.6</c:v>
                </c:pt>
                <c:pt idx="456">
                  <c:v>74</c:v>
                </c:pt>
                <c:pt idx="457">
                  <c:v>61.9</c:v>
                </c:pt>
                <c:pt idx="458">
                  <c:v>58.2</c:v>
                </c:pt>
                <c:pt idx="459">
                  <c:v>52.8</c:v>
                </c:pt>
                <c:pt idx="460">
                  <c:v>86.4</c:v>
                </c:pt>
                <c:pt idx="461">
                  <c:v>71.7</c:v>
                </c:pt>
                <c:pt idx="462">
                  <c:v>67.5</c:v>
                </c:pt>
                <c:pt idx="463">
                  <c:v>3.1827999999999999</c:v>
                </c:pt>
                <c:pt idx="464">
                  <c:v>75.400000000000006</c:v>
                </c:pt>
                <c:pt idx="465">
                  <c:v>92.5</c:v>
                </c:pt>
                <c:pt idx="466">
                  <c:v>43.3</c:v>
                </c:pt>
                <c:pt idx="467">
                  <c:v>34.6</c:v>
                </c:pt>
                <c:pt idx="468">
                  <c:v>37.4</c:v>
                </c:pt>
                <c:pt idx="469">
                  <c:v>87.8</c:v>
                </c:pt>
                <c:pt idx="470">
                  <c:v>60.9</c:v>
                </c:pt>
                <c:pt idx="471">
                  <c:v>62.3</c:v>
                </c:pt>
                <c:pt idx="472">
                  <c:v>60.8</c:v>
                </c:pt>
                <c:pt idx="473">
                  <c:v>64.5</c:v>
                </c:pt>
                <c:pt idx="474">
                  <c:v>88.4</c:v>
                </c:pt>
                <c:pt idx="475">
                  <c:v>100.8</c:v>
                </c:pt>
                <c:pt idx="476">
                  <c:v>69.400000000000006</c:v>
                </c:pt>
                <c:pt idx="477">
                  <c:v>50.6</c:v>
                </c:pt>
                <c:pt idx="478">
                  <c:v>80.600000000000009</c:v>
                </c:pt>
                <c:pt idx="479">
                  <c:v>90.9</c:v>
                </c:pt>
                <c:pt idx="480">
                  <c:v>42.7</c:v>
                </c:pt>
                <c:pt idx="481">
                  <c:v>48.6</c:v>
                </c:pt>
                <c:pt idx="482">
                  <c:v>58.6</c:v>
                </c:pt>
                <c:pt idx="483">
                  <c:v>206</c:v>
                </c:pt>
                <c:pt idx="484">
                  <c:v>221.1</c:v>
                </c:pt>
                <c:pt idx="485">
                  <c:v>161.70000000000002</c:v>
                </c:pt>
                <c:pt idx="486">
                  <c:v>85.3</c:v>
                </c:pt>
                <c:pt idx="487">
                  <c:v>122.8</c:v>
                </c:pt>
                <c:pt idx="488">
                  <c:v>67.400000000000006</c:v>
                </c:pt>
                <c:pt idx="489">
                  <c:v>94.2</c:v>
                </c:pt>
                <c:pt idx="490">
                  <c:v>66.099999999999994</c:v>
                </c:pt>
                <c:pt idx="491">
                  <c:v>50.7</c:v>
                </c:pt>
                <c:pt idx="492">
                  <c:v>111.9</c:v>
                </c:pt>
                <c:pt idx="493">
                  <c:v>87.4</c:v>
                </c:pt>
                <c:pt idx="494">
                  <c:v>72.8</c:v>
                </c:pt>
                <c:pt idx="495">
                  <c:v>65.8</c:v>
                </c:pt>
                <c:pt idx="496">
                  <c:v>125</c:v>
                </c:pt>
                <c:pt idx="497">
                  <c:v>68.599999999999994</c:v>
                </c:pt>
                <c:pt idx="498">
                  <c:v>83.5</c:v>
                </c:pt>
                <c:pt idx="499">
                  <c:v>146.69999999999999</c:v>
                </c:pt>
                <c:pt idx="500">
                  <c:v>110.6</c:v>
                </c:pt>
                <c:pt idx="501">
                  <c:v>47.6</c:v>
                </c:pt>
                <c:pt idx="502">
                  <c:v>68.7</c:v>
                </c:pt>
                <c:pt idx="503">
                  <c:v>49.6</c:v>
                </c:pt>
                <c:pt idx="504">
                  <c:v>118.1</c:v>
                </c:pt>
                <c:pt idx="505">
                  <c:v>88</c:v>
                </c:pt>
                <c:pt idx="506">
                  <c:v>56.9</c:v>
                </c:pt>
                <c:pt idx="507">
                  <c:v>46.1</c:v>
                </c:pt>
                <c:pt idx="508">
                  <c:v>67.5</c:v>
                </c:pt>
                <c:pt idx="509">
                  <c:v>63.5</c:v>
                </c:pt>
                <c:pt idx="510">
                  <c:v>64.2</c:v>
                </c:pt>
                <c:pt idx="511">
                  <c:v>46</c:v>
                </c:pt>
                <c:pt idx="512">
                  <c:v>44.5</c:v>
                </c:pt>
                <c:pt idx="513">
                  <c:v>2.9215</c:v>
                </c:pt>
                <c:pt idx="514">
                  <c:v>63.9</c:v>
                </c:pt>
                <c:pt idx="515">
                  <c:v>78.099999999999994</c:v>
                </c:pt>
                <c:pt idx="516">
                  <c:v>31.9</c:v>
                </c:pt>
                <c:pt idx="517">
                  <c:v>51.6</c:v>
                </c:pt>
                <c:pt idx="518">
                  <c:v>27.8</c:v>
                </c:pt>
                <c:pt idx="519">
                  <c:v>53.7</c:v>
                </c:pt>
                <c:pt idx="520">
                  <c:v>58.4</c:v>
                </c:pt>
                <c:pt idx="521">
                  <c:v>43</c:v>
                </c:pt>
                <c:pt idx="522">
                  <c:v>37.1</c:v>
                </c:pt>
                <c:pt idx="523">
                  <c:v>36.9</c:v>
                </c:pt>
                <c:pt idx="524">
                  <c:v>48.8</c:v>
                </c:pt>
                <c:pt idx="525">
                  <c:v>48.3</c:v>
                </c:pt>
                <c:pt idx="526">
                  <c:v>37.700000000000003</c:v>
                </c:pt>
                <c:pt idx="527">
                  <c:v>27</c:v>
                </c:pt>
                <c:pt idx="528">
                  <c:v>35.6</c:v>
                </c:pt>
                <c:pt idx="529">
                  <c:v>46</c:v>
                </c:pt>
                <c:pt idx="530">
                  <c:v>59.2</c:v>
                </c:pt>
                <c:pt idx="531">
                  <c:v>46.1</c:v>
                </c:pt>
                <c:pt idx="532">
                  <c:v>76.900000000000006</c:v>
                </c:pt>
                <c:pt idx="533">
                  <c:v>36.299999999999997</c:v>
                </c:pt>
                <c:pt idx="534">
                  <c:v>78.599999999999994</c:v>
                </c:pt>
                <c:pt idx="535">
                  <c:v>57.6</c:v>
                </c:pt>
                <c:pt idx="536">
                  <c:v>67.599999999999994</c:v>
                </c:pt>
                <c:pt idx="537">
                  <c:v>50</c:v>
                </c:pt>
                <c:pt idx="538">
                  <c:v>42.5</c:v>
                </c:pt>
                <c:pt idx="539">
                  <c:v>88.7</c:v>
                </c:pt>
                <c:pt idx="540">
                  <c:v>90</c:v>
                </c:pt>
                <c:pt idx="541">
                  <c:v>94</c:v>
                </c:pt>
                <c:pt idx="542">
                  <c:v>11.6</c:v>
                </c:pt>
                <c:pt idx="543">
                  <c:v>45.2</c:v>
                </c:pt>
                <c:pt idx="544">
                  <c:v>63.8</c:v>
                </c:pt>
                <c:pt idx="545">
                  <c:v>92.1</c:v>
                </c:pt>
                <c:pt idx="546">
                  <c:v>65</c:v>
                </c:pt>
                <c:pt idx="547">
                  <c:v>132.30000000000001</c:v>
                </c:pt>
                <c:pt idx="548">
                  <c:v>267.5</c:v>
                </c:pt>
                <c:pt idx="549">
                  <c:v>113</c:v>
                </c:pt>
                <c:pt idx="550">
                  <c:v>40.999999999999993</c:v>
                </c:pt>
                <c:pt idx="551">
                  <c:v>44.1</c:v>
                </c:pt>
                <c:pt idx="552">
                  <c:v>44.4</c:v>
                </c:pt>
                <c:pt idx="553">
                  <c:v>89</c:v>
                </c:pt>
                <c:pt idx="554">
                  <c:v>70.599999999999994</c:v>
                </c:pt>
                <c:pt idx="555">
                  <c:v>75.5</c:v>
                </c:pt>
                <c:pt idx="556">
                  <c:v>54</c:v>
                </c:pt>
                <c:pt idx="557">
                  <c:v>28.1</c:v>
                </c:pt>
                <c:pt idx="558">
                  <c:v>43.9</c:v>
                </c:pt>
                <c:pt idx="559">
                  <c:v>57</c:v>
                </c:pt>
                <c:pt idx="560">
                  <c:v>42.3</c:v>
                </c:pt>
                <c:pt idx="561">
                  <c:v>68.8</c:v>
                </c:pt>
                <c:pt idx="562">
                  <c:v>67.400000000000006</c:v>
                </c:pt>
                <c:pt idx="563">
                  <c:v>53.2</c:v>
                </c:pt>
                <c:pt idx="564">
                  <c:v>65.900000000000006</c:v>
                </c:pt>
                <c:pt idx="565">
                  <c:v>42.2</c:v>
                </c:pt>
                <c:pt idx="566">
                  <c:v>64.7</c:v>
                </c:pt>
                <c:pt idx="567">
                  <c:v>184</c:v>
                </c:pt>
                <c:pt idx="568">
                  <c:v>124.9</c:v>
                </c:pt>
                <c:pt idx="569">
                  <c:v>85.5</c:v>
                </c:pt>
                <c:pt idx="570">
                  <c:v>61</c:v>
                </c:pt>
                <c:pt idx="571">
                  <c:v>38.6</c:v>
                </c:pt>
                <c:pt idx="572">
                  <c:v>63.2</c:v>
                </c:pt>
                <c:pt idx="573">
                  <c:v>44.2</c:v>
                </c:pt>
                <c:pt idx="574">
                  <c:v>52.7</c:v>
                </c:pt>
                <c:pt idx="575">
                  <c:v>51.2</c:v>
                </c:pt>
                <c:pt idx="576">
                  <c:v>55.1</c:v>
                </c:pt>
                <c:pt idx="577">
                  <c:v>34.9</c:v>
                </c:pt>
                <c:pt idx="578">
                  <c:v>101.2</c:v>
                </c:pt>
                <c:pt idx="579">
                  <c:v>38.799999999999997</c:v>
                </c:pt>
                <c:pt idx="580">
                  <c:v>37.6</c:v>
                </c:pt>
                <c:pt idx="581">
                  <c:v>29.7</c:v>
                </c:pt>
                <c:pt idx="582">
                  <c:v>31.9</c:v>
                </c:pt>
                <c:pt idx="583">
                  <c:v>31.1</c:v>
                </c:pt>
                <c:pt idx="584">
                  <c:v>37.9</c:v>
                </c:pt>
                <c:pt idx="585">
                  <c:v>35.799999999999997</c:v>
                </c:pt>
                <c:pt idx="586">
                  <c:v>49</c:v>
                </c:pt>
                <c:pt idx="587">
                  <c:v>66.7</c:v>
                </c:pt>
                <c:pt idx="588">
                  <c:v>85.5</c:v>
                </c:pt>
                <c:pt idx="589">
                  <c:v>34.6</c:v>
                </c:pt>
                <c:pt idx="590">
                  <c:v>5.7224000000000004</c:v>
                </c:pt>
                <c:pt idx="591">
                  <c:v>29.4</c:v>
                </c:pt>
                <c:pt idx="592">
                  <c:v>55</c:v>
                </c:pt>
                <c:pt idx="593">
                  <c:v>35.5</c:v>
                </c:pt>
                <c:pt idx="594">
                  <c:v>22.7</c:v>
                </c:pt>
                <c:pt idx="595">
                  <c:v>27.4</c:v>
                </c:pt>
                <c:pt idx="596">
                  <c:v>33.5</c:v>
                </c:pt>
                <c:pt idx="597">
                  <c:v>37.6</c:v>
                </c:pt>
                <c:pt idx="598">
                  <c:v>30.9</c:v>
                </c:pt>
                <c:pt idx="599">
                  <c:v>34.5</c:v>
                </c:pt>
                <c:pt idx="600">
                  <c:v>26.7</c:v>
                </c:pt>
                <c:pt idx="601">
                  <c:v>46.3</c:v>
                </c:pt>
                <c:pt idx="602">
                  <c:v>63.6</c:v>
                </c:pt>
                <c:pt idx="603">
                  <c:v>69.400000000000006</c:v>
                </c:pt>
                <c:pt idx="604">
                  <c:v>26.4</c:v>
                </c:pt>
                <c:pt idx="605">
                  <c:v>39.299999999999997</c:v>
                </c:pt>
                <c:pt idx="606">
                  <c:v>68</c:v>
                </c:pt>
                <c:pt idx="607">
                  <c:v>42.6</c:v>
                </c:pt>
                <c:pt idx="608">
                  <c:v>39.200000000000003</c:v>
                </c:pt>
                <c:pt idx="609">
                  <c:v>48.5</c:v>
                </c:pt>
                <c:pt idx="610">
                  <c:v>179.7</c:v>
                </c:pt>
                <c:pt idx="611">
                  <c:v>110.8</c:v>
                </c:pt>
                <c:pt idx="612">
                  <c:v>72.2</c:v>
                </c:pt>
                <c:pt idx="613">
                  <c:v>56.9</c:v>
                </c:pt>
                <c:pt idx="614">
                  <c:v>35.700000000000003</c:v>
                </c:pt>
                <c:pt idx="615">
                  <c:v>36</c:v>
                </c:pt>
                <c:pt idx="616">
                  <c:v>73.8</c:v>
                </c:pt>
                <c:pt idx="617">
                  <c:v>45.1</c:v>
                </c:pt>
                <c:pt idx="618">
                  <c:v>41.8</c:v>
                </c:pt>
                <c:pt idx="619">
                  <c:v>60.7</c:v>
                </c:pt>
                <c:pt idx="620">
                  <c:v>58.1</c:v>
                </c:pt>
                <c:pt idx="621">
                  <c:v>38.6</c:v>
                </c:pt>
                <c:pt idx="622">
                  <c:v>40</c:v>
                </c:pt>
                <c:pt idx="623">
                  <c:v>42.2</c:v>
                </c:pt>
                <c:pt idx="624">
                  <c:v>54.6</c:v>
                </c:pt>
                <c:pt idx="625">
                  <c:v>67.8</c:v>
                </c:pt>
                <c:pt idx="626">
                  <c:v>41.7</c:v>
                </c:pt>
                <c:pt idx="627">
                  <c:v>39.9</c:v>
                </c:pt>
                <c:pt idx="628">
                  <c:v>86.6</c:v>
                </c:pt>
                <c:pt idx="629">
                  <c:v>64.400000000000006</c:v>
                </c:pt>
                <c:pt idx="630">
                  <c:v>48</c:v>
                </c:pt>
                <c:pt idx="631">
                  <c:v>67.900000000000006</c:v>
                </c:pt>
                <c:pt idx="632">
                  <c:v>41.8</c:v>
                </c:pt>
                <c:pt idx="633">
                  <c:v>31.3</c:v>
                </c:pt>
                <c:pt idx="634">
                  <c:v>44.1</c:v>
                </c:pt>
                <c:pt idx="635">
                  <c:v>50.8</c:v>
                </c:pt>
                <c:pt idx="636">
                  <c:v>55</c:v>
                </c:pt>
                <c:pt idx="637">
                  <c:v>46.1</c:v>
                </c:pt>
                <c:pt idx="638">
                  <c:v>35.799999999999997</c:v>
                </c:pt>
                <c:pt idx="639">
                  <c:v>97.9</c:v>
                </c:pt>
                <c:pt idx="640">
                  <c:v>30.7</c:v>
                </c:pt>
                <c:pt idx="641">
                  <c:v>30.7</c:v>
                </c:pt>
                <c:pt idx="642">
                  <c:v>31.3</c:v>
                </c:pt>
                <c:pt idx="643">
                  <c:v>43.1</c:v>
                </c:pt>
                <c:pt idx="644">
                  <c:v>51.7</c:v>
                </c:pt>
                <c:pt idx="645">
                  <c:v>25.6</c:v>
                </c:pt>
                <c:pt idx="646">
                  <c:v>28.9</c:v>
                </c:pt>
                <c:pt idx="647">
                  <c:v>30.3</c:v>
                </c:pt>
                <c:pt idx="648">
                  <c:v>51.3</c:v>
                </c:pt>
                <c:pt idx="649">
                  <c:v>56.2</c:v>
                </c:pt>
                <c:pt idx="650">
                  <c:v>77.400000000000006</c:v>
                </c:pt>
                <c:pt idx="651">
                  <c:v>43</c:v>
                </c:pt>
                <c:pt idx="652">
                  <c:v>57.8</c:v>
                </c:pt>
                <c:pt idx="653">
                  <c:v>38.700000000000003</c:v>
                </c:pt>
                <c:pt idx="654">
                  <c:v>40.9</c:v>
                </c:pt>
                <c:pt idx="655">
                  <c:v>41.6</c:v>
                </c:pt>
                <c:pt idx="656">
                  <c:v>37.299999999999997</c:v>
                </c:pt>
                <c:pt idx="657">
                  <c:v>57.1</c:v>
                </c:pt>
                <c:pt idx="658">
                  <c:v>65</c:v>
                </c:pt>
                <c:pt idx="659">
                  <c:v>74.2</c:v>
                </c:pt>
                <c:pt idx="660">
                  <c:v>60.6</c:v>
                </c:pt>
                <c:pt idx="661">
                  <c:v>79</c:v>
                </c:pt>
                <c:pt idx="662">
                  <c:v>61.2</c:v>
                </c:pt>
                <c:pt idx="663">
                  <c:v>91.9</c:v>
                </c:pt>
                <c:pt idx="664">
                  <c:v>55.3</c:v>
                </c:pt>
                <c:pt idx="665">
                  <c:v>68</c:v>
                </c:pt>
                <c:pt idx="666">
                  <c:v>88.6</c:v>
                </c:pt>
                <c:pt idx="667">
                  <c:v>455.5</c:v>
                </c:pt>
                <c:pt idx="668">
                  <c:v>83.5</c:v>
                </c:pt>
                <c:pt idx="669">
                  <c:v>136.9</c:v>
                </c:pt>
                <c:pt idx="670">
                  <c:v>167.39999999999998</c:v>
                </c:pt>
                <c:pt idx="671">
                  <c:v>115.7</c:v>
                </c:pt>
                <c:pt idx="672">
                  <c:v>128.30000000000001</c:v>
                </c:pt>
                <c:pt idx="673">
                  <c:v>99.8</c:v>
                </c:pt>
                <c:pt idx="674">
                  <c:v>81</c:v>
                </c:pt>
                <c:pt idx="675">
                  <c:v>61.3</c:v>
                </c:pt>
                <c:pt idx="676">
                  <c:v>39.4</c:v>
                </c:pt>
                <c:pt idx="677">
                  <c:v>63</c:v>
                </c:pt>
                <c:pt idx="678">
                  <c:v>59.6</c:v>
                </c:pt>
                <c:pt idx="679">
                  <c:v>54.1</c:v>
                </c:pt>
                <c:pt idx="680">
                  <c:v>58</c:v>
                </c:pt>
                <c:pt idx="681">
                  <c:v>77.3</c:v>
                </c:pt>
                <c:pt idx="682">
                  <c:v>128.19999999999999</c:v>
                </c:pt>
                <c:pt idx="683">
                  <c:v>56.6</c:v>
                </c:pt>
                <c:pt idx="684">
                  <c:v>32.4</c:v>
                </c:pt>
                <c:pt idx="685">
                  <c:v>34</c:v>
                </c:pt>
                <c:pt idx="686">
                  <c:v>72.400000000000006</c:v>
                </c:pt>
                <c:pt idx="687">
                  <c:v>66.8</c:v>
                </c:pt>
                <c:pt idx="688">
                  <c:v>40.4</c:v>
                </c:pt>
                <c:pt idx="689">
                  <c:v>40.1</c:v>
                </c:pt>
                <c:pt idx="690">
                  <c:v>44.5</c:v>
                </c:pt>
                <c:pt idx="691">
                  <c:v>85.4</c:v>
                </c:pt>
                <c:pt idx="692">
                  <c:v>61.6</c:v>
                </c:pt>
                <c:pt idx="693">
                  <c:v>34.6</c:v>
                </c:pt>
                <c:pt idx="694">
                  <c:v>48.5</c:v>
                </c:pt>
                <c:pt idx="695">
                  <c:v>47.9</c:v>
                </c:pt>
                <c:pt idx="696">
                  <c:v>53.4</c:v>
                </c:pt>
                <c:pt idx="697">
                  <c:v>50.3</c:v>
                </c:pt>
                <c:pt idx="698">
                  <c:v>54</c:v>
                </c:pt>
                <c:pt idx="699">
                  <c:v>100.1</c:v>
                </c:pt>
                <c:pt idx="700">
                  <c:v>50</c:v>
                </c:pt>
                <c:pt idx="701">
                  <c:v>109.1</c:v>
                </c:pt>
                <c:pt idx="702">
                  <c:v>42.8</c:v>
                </c:pt>
                <c:pt idx="703">
                  <c:v>178</c:v>
                </c:pt>
                <c:pt idx="704">
                  <c:v>62.7</c:v>
                </c:pt>
                <c:pt idx="705">
                  <c:v>44.2</c:v>
                </c:pt>
                <c:pt idx="706">
                  <c:v>55.2</c:v>
                </c:pt>
                <c:pt idx="707">
                  <c:v>43.3</c:v>
                </c:pt>
                <c:pt idx="708">
                  <c:v>48.2</c:v>
                </c:pt>
                <c:pt idx="709">
                  <c:v>74.400000000000006</c:v>
                </c:pt>
                <c:pt idx="710">
                  <c:v>76.3</c:v>
                </c:pt>
                <c:pt idx="711">
                  <c:v>110.9</c:v>
                </c:pt>
                <c:pt idx="712">
                  <c:v>69.5</c:v>
                </c:pt>
                <c:pt idx="713">
                  <c:v>104.7</c:v>
                </c:pt>
                <c:pt idx="714">
                  <c:v>52.4</c:v>
                </c:pt>
                <c:pt idx="715">
                  <c:v>55.3</c:v>
                </c:pt>
                <c:pt idx="716">
                  <c:v>82.899999999999991</c:v>
                </c:pt>
                <c:pt idx="717">
                  <c:v>68.900000000000006</c:v>
                </c:pt>
                <c:pt idx="718">
                  <c:v>65.2</c:v>
                </c:pt>
                <c:pt idx="719">
                  <c:v>49.7</c:v>
                </c:pt>
                <c:pt idx="720">
                  <c:v>52.6</c:v>
                </c:pt>
                <c:pt idx="721">
                  <c:v>53.7</c:v>
                </c:pt>
                <c:pt idx="722">
                  <c:v>45.1</c:v>
                </c:pt>
                <c:pt idx="723">
                  <c:v>55.5</c:v>
                </c:pt>
                <c:pt idx="724">
                  <c:v>88.9</c:v>
                </c:pt>
                <c:pt idx="725">
                  <c:v>101.2</c:v>
                </c:pt>
                <c:pt idx="726">
                  <c:v>80.2</c:v>
                </c:pt>
                <c:pt idx="727">
                  <c:v>56.8</c:v>
                </c:pt>
                <c:pt idx="728">
                  <c:v>68.099999999999994</c:v>
                </c:pt>
                <c:pt idx="729">
                  <c:v>83.100000000000009</c:v>
                </c:pt>
                <c:pt idx="730">
                  <c:v>86.9</c:v>
                </c:pt>
                <c:pt idx="731">
                  <c:v>86.2</c:v>
                </c:pt>
                <c:pt idx="732">
                  <c:v>113.1</c:v>
                </c:pt>
                <c:pt idx="733">
                  <c:v>124.3</c:v>
                </c:pt>
                <c:pt idx="734">
                  <c:v>531.70000000000005</c:v>
                </c:pt>
                <c:pt idx="735">
                  <c:v>112.7</c:v>
                </c:pt>
                <c:pt idx="736">
                  <c:v>58.3</c:v>
                </c:pt>
                <c:pt idx="737">
                  <c:v>69.400000000000006</c:v>
                </c:pt>
                <c:pt idx="738">
                  <c:v>49.9</c:v>
                </c:pt>
                <c:pt idx="739">
                  <c:v>69.5</c:v>
                </c:pt>
                <c:pt idx="740">
                  <c:v>75.099999999999994</c:v>
                </c:pt>
                <c:pt idx="741">
                  <c:v>52.4</c:v>
                </c:pt>
                <c:pt idx="742">
                  <c:v>87.1</c:v>
                </c:pt>
                <c:pt idx="743">
                  <c:v>88.1</c:v>
                </c:pt>
                <c:pt idx="744">
                  <c:v>66.3</c:v>
                </c:pt>
                <c:pt idx="745">
                  <c:v>41.7</c:v>
                </c:pt>
                <c:pt idx="746">
                  <c:v>75.599999999999994</c:v>
                </c:pt>
                <c:pt idx="747">
                  <c:v>76.099999999999994</c:v>
                </c:pt>
                <c:pt idx="748">
                  <c:v>83.6</c:v>
                </c:pt>
                <c:pt idx="749">
                  <c:v>85.4</c:v>
                </c:pt>
                <c:pt idx="750">
                  <c:v>82.2</c:v>
                </c:pt>
                <c:pt idx="751">
                  <c:v>90.9</c:v>
                </c:pt>
                <c:pt idx="752">
                  <c:v>73.2</c:v>
                </c:pt>
                <c:pt idx="753">
                  <c:v>75.599999999999994</c:v>
                </c:pt>
                <c:pt idx="754">
                  <c:v>74</c:v>
                </c:pt>
                <c:pt idx="755">
                  <c:v>88</c:v>
                </c:pt>
                <c:pt idx="756">
                  <c:v>37</c:v>
                </c:pt>
                <c:pt idx="757">
                  <c:v>51</c:v>
                </c:pt>
                <c:pt idx="758">
                  <c:v>41.4</c:v>
                </c:pt>
                <c:pt idx="759">
                  <c:v>65.599999999999994</c:v>
                </c:pt>
                <c:pt idx="760">
                  <c:v>46.2</c:v>
                </c:pt>
                <c:pt idx="761">
                  <c:v>46.4</c:v>
                </c:pt>
                <c:pt idx="762">
                  <c:v>51.3</c:v>
                </c:pt>
                <c:pt idx="763">
                  <c:v>96.8</c:v>
                </c:pt>
                <c:pt idx="764">
                  <c:v>49.2</c:v>
                </c:pt>
                <c:pt idx="765">
                  <c:v>27.9</c:v>
                </c:pt>
                <c:pt idx="766">
                  <c:v>47.7</c:v>
                </c:pt>
                <c:pt idx="767">
                  <c:v>36.6</c:v>
                </c:pt>
                <c:pt idx="768">
                  <c:v>27.2</c:v>
                </c:pt>
                <c:pt idx="769">
                  <c:v>24.2</c:v>
                </c:pt>
                <c:pt idx="770">
                  <c:v>28.6</c:v>
                </c:pt>
                <c:pt idx="771">
                  <c:v>42.9</c:v>
                </c:pt>
                <c:pt idx="772">
                  <c:v>34.700000000000003</c:v>
                </c:pt>
                <c:pt idx="773">
                  <c:v>50.4</c:v>
                </c:pt>
                <c:pt idx="774">
                  <c:v>40</c:v>
                </c:pt>
                <c:pt idx="775">
                  <c:v>47.9</c:v>
                </c:pt>
                <c:pt idx="776">
                  <c:v>69</c:v>
                </c:pt>
                <c:pt idx="777">
                  <c:v>79.8</c:v>
                </c:pt>
                <c:pt idx="778">
                  <c:v>43.4</c:v>
                </c:pt>
                <c:pt idx="779">
                  <c:v>45.7</c:v>
                </c:pt>
                <c:pt idx="780">
                  <c:v>70.400000000000006</c:v>
                </c:pt>
                <c:pt idx="781">
                  <c:v>69.2</c:v>
                </c:pt>
                <c:pt idx="782">
                  <c:v>61.9</c:v>
                </c:pt>
                <c:pt idx="783">
                  <c:v>94.5</c:v>
                </c:pt>
                <c:pt idx="784">
                  <c:v>69.599999999999994</c:v>
                </c:pt>
                <c:pt idx="785">
                  <c:v>62.1</c:v>
                </c:pt>
                <c:pt idx="786">
                  <c:v>41.6</c:v>
                </c:pt>
                <c:pt idx="787">
                  <c:v>52</c:v>
                </c:pt>
                <c:pt idx="788">
                  <c:v>48.6</c:v>
                </c:pt>
                <c:pt idx="789">
                  <c:v>65</c:v>
                </c:pt>
                <c:pt idx="790">
                  <c:v>61.7</c:v>
                </c:pt>
                <c:pt idx="791">
                  <c:v>58.4</c:v>
                </c:pt>
                <c:pt idx="792">
                  <c:v>59.2</c:v>
                </c:pt>
                <c:pt idx="793">
                  <c:v>60.7</c:v>
                </c:pt>
                <c:pt idx="794">
                  <c:v>116.1</c:v>
                </c:pt>
                <c:pt idx="795">
                  <c:v>65.900000000000006</c:v>
                </c:pt>
                <c:pt idx="796">
                  <c:v>61.7</c:v>
                </c:pt>
                <c:pt idx="797">
                  <c:v>71.599999999999994</c:v>
                </c:pt>
                <c:pt idx="798">
                  <c:v>115</c:v>
                </c:pt>
                <c:pt idx="799">
                  <c:v>64.400000000000006</c:v>
                </c:pt>
                <c:pt idx="800">
                  <c:v>98.7</c:v>
                </c:pt>
                <c:pt idx="801">
                  <c:v>70.599999999999994</c:v>
                </c:pt>
                <c:pt idx="802">
                  <c:v>45.5</c:v>
                </c:pt>
                <c:pt idx="803">
                  <c:v>38</c:v>
                </c:pt>
                <c:pt idx="804">
                  <c:v>50.6</c:v>
                </c:pt>
                <c:pt idx="805">
                  <c:v>46.2</c:v>
                </c:pt>
                <c:pt idx="806">
                  <c:v>50.3</c:v>
                </c:pt>
                <c:pt idx="807">
                  <c:v>48.6</c:v>
                </c:pt>
                <c:pt idx="808">
                  <c:v>41.2</c:v>
                </c:pt>
                <c:pt idx="809">
                  <c:v>62.8</c:v>
                </c:pt>
                <c:pt idx="810">
                  <c:v>63</c:v>
                </c:pt>
                <c:pt idx="811">
                  <c:v>62.4</c:v>
                </c:pt>
                <c:pt idx="812">
                  <c:v>74</c:v>
                </c:pt>
                <c:pt idx="813">
                  <c:v>62.2</c:v>
                </c:pt>
                <c:pt idx="814">
                  <c:v>96.3</c:v>
                </c:pt>
                <c:pt idx="815">
                  <c:v>64.400000000000006</c:v>
                </c:pt>
                <c:pt idx="816">
                  <c:v>49.8</c:v>
                </c:pt>
                <c:pt idx="817">
                  <c:v>61.4</c:v>
                </c:pt>
                <c:pt idx="818">
                  <c:v>80.399999999999991</c:v>
                </c:pt>
                <c:pt idx="819">
                  <c:v>88.8</c:v>
                </c:pt>
                <c:pt idx="820">
                  <c:v>42.1</c:v>
                </c:pt>
                <c:pt idx="821">
                  <c:v>49</c:v>
                </c:pt>
                <c:pt idx="822">
                  <c:v>48.2</c:v>
                </c:pt>
                <c:pt idx="823">
                  <c:v>38.200000000000003</c:v>
                </c:pt>
                <c:pt idx="824">
                  <c:v>42.8</c:v>
                </c:pt>
                <c:pt idx="825">
                  <c:v>54.1</c:v>
                </c:pt>
                <c:pt idx="826">
                  <c:v>118.7</c:v>
                </c:pt>
                <c:pt idx="827">
                  <c:v>31.3</c:v>
                </c:pt>
                <c:pt idx="828">
                  <c:v>38.299999999999997</c:v>
                </c:pt>
                <c:pt idx="829">
                  <c:v>45.6</c:v>
                </c:pt>
                <c:pt idx="830">
                  <c:v>52.8</c:v>
                </c:pt>
                <c:pt idx="831">
                  <c:v>32.5</c:v>
                </c:pt>
                <c:pt idx="832">
                  <c:v>34</c:v>
                </c:pt>
                <c:pt idx="833">
                  <c:v>30.7</c:v>
                </c:pt>
                <c:pt idx="834">
                  <c:v>31.3</c:v>
                </c:pt>
                <c:pt idx="835">
                  <c:v>34.700000000000003</c:v>
                </c:pt>
                <c:pt idx="836">
                  <c:v>45</c:v>
                </c:pt>
                <c:pt idx="837">
                  <c:v>35</c:v>
                </c:pt>
                <c:pt idx="838">
                  <c:v>49.1</c:v>
                </c:pt>
                <c:pt idx="839">
                  <c:v>72.099999999999994</c:v>
                </c:pt>
                <c:pt idx="840">
                  <c:v>34.4</c:v>
                </c:pt>
                <c:pt idx="841">
                  <c:v>33.299999999999997</c:v>
                </c:pt>
                <c:pt idx="842">
                  <c:v>49</c:v>
                </c:pt>
                <c:pt idx="843">
                  <c:v>45.1</c:v>
                </c:pt>
                <c:pt idx="844">
                  <c:v>31.7</c:v>
                </c:pt>
                <c:pt idx="845">
                  <c:v>29.4</c:v>
                </c:pt>
                <c:pt idx="846">
                  <c:v>45.4</c:v>
                </c:pt>
                <c:pt idx="847">
                  <c:v>45.4</c:v>
                </c:pt>
                <c:pt idx="848">
                  <c:v>30.5</c:v>
                </c:pt>
                <c:pt idx="849">
                  <c:v>67.599999999999994</c:v>
                </c:pt>
                <c:pt idx="850">
                  <c:v>39.1</c:v>
                </c:pt>
                <c:pt idx="851">
                  <c:v>9.8284000000000002</c:v>
                </c:pt>
                <c:pt idx="852">
                  <c:v>35.9</c:v>
                </c:pt>
                <c:pt idx="853">
                  <c:v>45.8</c:v>
                </c:pt>
                <c:pt idx="854">
                  <c:v>35.5</c:v>
                </c:pt>
                <c:pt idx="855">
                  <c:v>46.9</c:v>
                </c:pt>
                <c:pt idx="856">
                  <c:v>42.9</c:v>
                </c:pt>
                <c:pt idx="857">
                  <c:v>149.9</c:v>
                </c:pt>
                <c:pt idx="858">
                  <c:v>48.2</c:v>
                </c:pt>
                <c:pt idx="859">
                  <c:v>54.8</c:v>
                </c:pt>
                <c:pt idx="860">
                  <c:v>128.19999999999999</c:v>
                </c:pt>
                <c:pt idx="861">
                  <c:v>52.7</c:v>
                </c:pt>
                <c:pt idx="862">
                  <c:v>39.9</c:v>
                </c:pt>
                <c:pt idx="863">
                  <c:v>61.8</c:v>
                </c:pt>
                <c:pt idx="864">
                  <c:v>66.3</c:v>
                </c:pt>
                <c:pt idx="865">
                  <c:v>49.4</c:v>
                </c:pt>
                <c:pt idx="866">
                  <c:v>81.199999999999989</c:v>
                </c:pt>
                <c:pt idx="867">
                  <c:v>61.2</c:v>
                </c:pt>
                <c:pt idx="868">
                  <c:v>70.2</c:v>
                </c:pt>
                <c:pt idx="869">
                  <c:v>85.6</c:v>
                </c:pt>
                <c:pt idx="870">
                  <c:v>94.1</c:v>
                </c:pt>
                <c:pt idx="871">
                  <c:v>104.3</c:v>
                </c:pt>
                <c:pt idx="872">
                  <c:v>91.7</c:v>
                </c:pt>
                <c:pt idx="873">
                  <c:v>79.2</c:v>
                </c:pt>
                <c:pt idx="874">
                  <c:v>72.2</c:v>
                </c:pt>
                <c:pt idx="875">
                  <c:v>66</c:v>
                </c:pt>
                <c:pt idx="876">
                  <c:v>204.6</c:v>
                </c:pt>
                <c:pt idx="877">
                  <c:v>127.8</c:v>
                </c:pt>
                <c:pt idx="878">
                  <c:v>143.30000000000001</c:v>
                </c:pt>
                <c:pt idx="879">
                  <c:v>49.5</c:v>
                </c:pt>
                <c:pt idx="880">
                  <c:v>54.9</c:v>
                </c:pt>
                <c:pt idx="881">
                  <c:v>48.2</c:v>
                </c:pt>
                <c:pt idx="882">
                  <c:v>40.599999999999994</c:v>
                </c:pt>
                <c:pt idx="883">
                  <c:v>36</c:v>
                </c:pt>
                <c:pt idx="884">
                  <c:v>34.299999999999997</c:v>
                </c:pt>
                <c:pt idx="885">
                  <c:v>36.700000000000003</c:v>
                </c:pt>
                <c:pt idx="886">
                  <c:v>51.8</c:v>
                </c:pt>
                <c:pt idx="887">
                  <c:v>81.400000000000006</c:v>
                </c:pt>
                <c:pt idx="888">
                  <c:v>67.3</c:v>
                </c:pt>
                <c:pt idx="889">
                  <c:v>80.8</c:v>
                </c:pt>
                <c:pt idx="890">
                  <c:v>30.8</c:v>
                </c:pt>
                <c:pt idx="891">
                  <c:v>43.3</c:v>
                </c:pt>
                <c:pt idx="892">
                  <c:v>28.9</c:v>
                </c:pt>
                <c:pt idx="893">
                  <c:v>55.5</c:v>
                </c:pt>
                <c:pt idx="894">
                  <c:v>39.5</c:v>
                </c:pt>
                <c:pt idx="895">
                  <c:v>47.4</c:v>
                </c:pt>
                <c:pt idx="896">
                  <c:v>46.4</c:v>
                </c:pt>
                <c:pt idx="897">
                  <c:v>40.700000000000003</c:v>
                </c:pt>
                <c:pt idx="898">
                  <c:v>30</c:v>
                </c:pt>
                <c:pt idx="899">
                  <c:v>35.6</c:v>
                </c:pt>
                <c:pt idx="900">
                  <c:v>34.6</c:v>
                </c:pt>
                <c:pt idx="901">
                  <c:v>44.2</c:v>
                </c:pt>
                <c:pt idx="902">
                  <c:v>37.6</c:v>
                </c:pt>
                <c:pt idx="903">
                  <c:v>53.6</c:v>
                </c:pt>
                <c:pt idx="904">
                  <c:v>74</c:v>
                </c:pt>
                <c:pt idx="905">
                  <c:v>60.1</c:v>
                </c:pt>
                <c:pt idx="906">
                  <c:v>43.7</c:v>
                </c:pt>
                <c:pt idx="907">
                  <c:v>29.8</c:v>
                </c:pt>
                <c:pt idx="908">
                  <c:v>70.099999999999994</c:v>
                </c:pt>
                <c:pt idx="909">
                  <c:v>66.400000000000006</c:v>
                </c:pt>
                <c:pt idx="910">
                  <c:v>45.2</c:v>
                </c:pt>
                <c:pt idx="911">
                  <c:v>72.7</c:v>
                </c:pt>
                <c:pt idx="912">
                  <c:v>78.599999999999994</c:v>
                </c:pt>
                <c:pt idx="913">
                  <c:v>70.2</c:v>
                </c:pt>
                <c:pt idx="914">
                  <c:v>50.1</c:v>
                </c:pt>
                <c:pt idx="915">
                  <c:v>50.8</c:v>
                </c:pt>
                <c:pt idx="916">
                  <c:v>34.200000000000003</c:v>
                </c:pt>
                <c:pt idx="917">
                  <c:v>58.4</c:v>
                </c:pt>
                <c:pt idx="918">
                  <c:v>56.2</c:v>
                </c:pt>
                <c:pt idx="919">
                  <c:v>61.6</c:v>
                </c:pt>
                <c:pt idx="920">
                  <c:v>52.6</c:v>
                </c:pt>
                <c:pt idx="921">
                  <c:v>47.1</c:v>
                </c:pt>
                <c:pt idx="922">
                  <c:v>47</c:v>
                </c:pt>
                <c:pt idx="923">
                  <c:v>36.5</c:v>
                </c:pt>
                <c:pt idx="924">
                  <c:v>33.200000000000003</c:v>
                </c:pt>
                <c:pt idx="925">
                  <c:v>52.1</c:v>
                </c:pt>
                <c:pt idx="926">
                  <c:v>73.8</c:v>
                </c:pt>
                <c:pt idx="927">
                  <c:v>48</c:v>
                </c:pt>
                <c:pt idx="928">
                  <c:v>46.5</c:v>
                </c:pt>
                <c:pt idx="929">
                  <c:v>91.7</c:v>
                </c:pt>
                <c:pt idx="930">
                  <c:v>50.6</c:v>
                </c:pt>
                <c:pt idx="931">
                  <c:v>44.1</c:v>
                </c:pt>
                <c:pt idx="932">
                  <c:v>45.1</c:v>
                </c:pt>
                <c:pt idx="933">
                  <c:v>61.1</c:v>
                </c:pt>
                <c:pt idx="934">
                  <c:v>62.5</c:v>
                </c:pt>
                <c:pt idx="935">
                  <c:v>62.5</c:v>
                </c:pt>
                <c:pt idx="936">
                  <c:v>62.7</c:v>
                </c:pt>
                <c:pt idx="937">
                  <c:v>46</c:v>
                </c:pt>
                <c:pt idx="938">
                  <c:v>96.9</c:v>
                </c:pt>
                <c:pt idx="939">
                  <c:v>66.400000000000006</c:v>
                </c:pt>
                <c:pt idx="940">
                  <c:v>46.5</c:v>
                </c:pt>
                <c:pt idx="941">
                  <c:v>60.9</c:v>
                </c:pt>
                <c:pt idx="942">
                  <c:v>69.900000000000006</c:v>
                </c:pt>
                <c:pt idx="943">
                  <c:v>65.2</c:v>
                </c:pt>
                <c:pt idx="944">
                  <c:v>43.6</c:v>
                </c:pt>
                <c:pt idx="945">
                  <c:v>47</c:v>
                </c:pt>
                <c:pt idx="946">
                  <c:v>49</c:v>
                </c:pt>
                <c:pt idx="947">
                  <c:v>66.2</c:v>
                </c:pt>
                <c:pt idx="948">
                  <c:v>94</c:v>
                </c:pt>
                <c:pt idx="949">
                  <c:v>72.099999999999994</c:v>
                </c:pt>
                <c:pt idx="950">
                  <c:v>87.4</c:v>
                </c:pt>
                <c:pt idx="951">
                  <c:v>160.30000000000001</c:v>
                </c:pt>
                <c:pt idx="952">
                  <c:v>109</c:v>
                </c:pt>
                <c:pt idx="953">
                  <c:v>82.8</c:v>
                </c:pt>
                <c:pt idx="954">
                  <c:v>130.4</c:v>
                </c:pt>
                <c:pt idx="955">
                  <c:v>96.3</c:v>
                </c:pt>
                <c:pt idx="956">
                  <c:v>56.9</c:v>
                </c:pt>
                <c:pt idx="957">
                  <c:v>58.9</c:v>
                </c:pt>
                <c:pt idx="958">
                  <c:v>104.9</c:v>
                </c:pt>
                <c:pt idx="959">
                  <c:v>165.6</c:v>
                </c:pt>
                <c:pt idx="960">
                  <c:v>65.900000000000006</c:v>
                </c:pt>
                <c:pt idx="961">
                  <c:v>65.2</c:v>
                </c:pt>
                <c:pt idx="962">
                  <c:v>61.5</c:v>
                </c:pt>
                <c:pt idx="963">
                  <c:v>67.2</c:v>
                </c:pt>
                <c:pt idx="964">
                  <c:v>70.3</c:v>
                </c:pt>
                <c:pt idx="965">
                  <c:v>78.5</c:v>
                </c:pt>
                <c:pt idx="966">
                  <c:v>62.1</c:v>
                </c:pt>
                <c:pt idx="967">
                  <c:v>68.3</c:v>
                </c:pt>
                <c:pt idx="968">
                  <c:v>61.7</c:v>
                </c:pt>
                <c:pt idx="969">
                  <c:v>61.4</c:v>
                </c:pt>
                <c:pt idx="970">
                  <c:v>62.2</c:v>
                </c:pt>
                <c:pt idx="971">
                  <c:v>70.7</c:v>
                </c:pt>
                <c:pt idx="972">
                  <c:v>98.3</c:v>
                </c:pt>
                <c:pt idx="973">
                  <c:v>92.5</c:v>
                </c:pt>
                <c:pt idx="974">
                  <c:v>88.2</c:v>
                </c:pt>
                <c:pt idx="975">
                  <c:v>53.5</c:v>
                </c:pt>
                <c:pt idx="976">
                  <c:v>70</c:v>
                </c:pt>
                <c:pt idx="977">
                  <c:v>81.300000000000011</c:v>
                </c:pt>
                <c:pt idx="978">
                  <c:v>77.7</c:v>
                </c:pt>
                <c:pt idx="979">
                  <c:v>106.8</c:v>
                </c:pt>
                <c:pt idx="980">
                  <c:v>170.4</c:v>
                </c:pt>
                <c:pt idx="981">
                  <c:v>305.2</c:v>
                </c:pt>
                <c:pt idx="982">
                  <c:v>62.6</c:v>
                </c:pt>
                <c:pt idx="983">
                  <c:v>64.599999999999994</c:v>
                </c:pt>
                <c:pt idx="984">
                  <c:v>82.5</c:v>
                </c:pt>
                <c:pt idx="985">
                  <c:v>51.3</c:v>
                </c:pt>
                <c:pt idx="986">
                  <c:v>58</c:v>
                </c:pt>
                <c:pt idx="987">
                  <c:v>54.1</c:v>
                </c:pt>
                <c:pt idx="988">
                  <c:v>54.7</c:v>
                </c:pt>
                <c:pt idx="989">
                  <c:v>73.599999999999994</c:v>
                </c:pt>
                <c:pt idx="990">
                  <c:v>61.7</c:v>
                </c:pt>
                <c:pt idx="991">
                  <c:v>54</c:v>
                </c:pt>
                <c:pt idx="992">
                  <c:v>78</c:v>
                </c:pt>
                <c:pt idx="993">
                  <c:v>39.200000000000003</c:v>
                </c:pt>
                <c:pt idx="994">
                  <c:v>40.1</c:v>
                </c:pt>
                <c:pt idx="995">
                  <c:v>34.4</c:v>
                </c:pt>
                <c:pt idx="996">
                  <c:v>37.799999999999997</c:v>
                </c:pt>
                <c:pt idx="997">
                  <c:v>61.9</c:v>
                </c:pt>
                <c:pt idx="998">
                  <c:v>57.1</c:v>
                </c:pt>
                <c:pt idx="999">
                  <c:v>83.6</c:v>
                </c:pt>
                <c:pt idx="1000">
                  <c:v>177.3</c:v>
                </c:pt>
                <c:pt idx="1001">
                  <c:v>52.3</c:v>
                </c:pt>
                <c:pt idx="1002">
                  <c:v>71.400000000000006</c:v>
                </c:pt>
                <c:pt idx="1003">
                  <c:v>102.9</c:v>
                </c:pt>
                <c:pt idx="1004">
                  <c:v>47.6</c:v>
                </c:pt>
                <c:pt idx="1005">
                  <c:v>65.5</c:v>
                </c:pt>
                <c:pt idx="1006">
                  <c:v>101.9</c:v>
                </c:pt>
                <c:pt idx="1007">
                  <c:v>109.8</c:v>
                </c:pt>
                <c:pt idx="1008">
                  <c:v>97.4</c:v>
                </c:pt>
                <c:pt idx="1009">
                  <c:v>90.7</c:v>
                </c:pt>
                <c:pt idx="1010">
                  <c:v>73.400000000000006</c:v>
                </c:pt>
                <c:pt idx="1011">
                  <c:v>67.7</c:v>
                </c:pt>
                <c:pt idx="1012">
                  <c:v>150.80000000000001</c:v>
                </c:pt>
                <c:pt idx="1013">
                  <c:v>97.4</c:v>
                </c:pt>
                <c:pt idx="1014">
                  <c:v>135.9</c:v>
                </c:pt>
                <c:pt idx="1015">
                  <c:v>54.8</c:v>
                </c:pt>
                <c:pt idx="1016">
                  <c:v>88.8</c:v>
                </c:pt>
                <c:pt idx="1017">
                  <c:v>51.2</c:v>
                </c:pt>
                <c:pt idx="1018">
                  <c:v>56</c:v>
                </c:pt>
                <c:pt idx="1019">
                  <c:v>39.4</c:v>
                </c:pt>
                <c:pt idx="1020">
                  <c:v>53.5</c:v>
                </c:pt>
                <c:pt idx="1021">
                  <c:v>46.7</c:v>
                </c:pt>
                <c:pt idx="1022">
                  <c:v>74.599999999999994</c:v>
                </c:pt>
                <c:pt idx="1023">
                  <c:v>75.5</c:v>
                </c:pt>
                <c:pt idx="1024">
                  <c:v>43.3</c:v>
                </c:pt>
                <c:pt idx="1025">
                  <c:v>38.700000000000003</c:v>
                </c:pt>
                <c:pt idx="1026">
                  <c:v>60.5</c:v>
                </c:pt>
                <c:pt idx="1027">
                  <c:v>43.1</c:v>
                </c:pt>
                <c:pt idx="1028">
                  <c:v>47</c:v>
                </c:pt>
                <c:pt idx="1029">
                  <c:v>38.299999999999997</c:v>
                </c:pt>
                <c:pt idx="1030">
                  <c:v>42.5</c:v>
                </c:pt>
                <c:pt idx="1031">
                  <c:v>51.2</c:v>
                </c:pt>
                <c:pt idx="1032">
                  <c:v>87.9</c:v>
                </c:pt>
                <c:pt idx="1033">
                  <c:v>110</c:v>
                </c:pt>
                <c:pt idx="1034">
                  <c:v>112.3</c:v>
                </c:pt>
                <c:pt idx="1035">
                  <c:v>91.4</c:v>
                </c:pt>
                <c:pt idx="1036">
                  <c:v>71.2</c:v>
                </c:pt>
                <c:pt idx="1037">
                  <c:v>82.5</c:v>
                </c:pt>
                <c:pt idx="1038">
                  <c:v>55.3</c:v>
                </c:pt>
                <c:pt idx="1039">
                  <c:v>57.5</c:v>
                </c:pt>
                <c:pt idx="1040">
                  <c:v>36.9</c:v>
                </c:pt>
                <c:pt idx="1041">
                  <c:v>52.6</c:v>
                </c:pt>
                <c:pt idx="1042">
                  <c:v>76.900000000000006</c:v>
                </c:pt>
                <c:pt idx="1043">
                  <c:v>142.80000000000001</c:v>
                </c:pt>
                <c:pt idx="1044">
                  <c:v>53.6</c:v>
                </c:pt>
                <c:pt idx="1045">
                  <c:v>51.4</c:v>
                </c:pt>
                <c:pt idx="1046">
                  <c:v>78.599999999999994</c:v>
                </c:pt>
                <c:pt idx="1047">
                  <c:v>48.3</c:v>
                </c:pt>
                <c:pt idx="1048">
                  <c:v>64.5</c:v>
                </c:pt>
                <c:pt idx="1049">
                  <c:v>70</c:v>
                </c:pt>
                <c:pt idx="1050">
                  <c:v>39.200000000000003</c:v>
                </c:pt>
                <c:pt idx="1051">
                  <c:v>33.299999999999997</c:v>
                </c:pt>
                <c:pt idx="1052">
                  <c:v>46.2</c:v>
                </c:pt>
                <c:pt idx="1053">
                  <c:v>45.8</c:v>
                </c:pt>
                <c:pt idx="1054">
                  <c:v>32.4</c:v>
                </c:pt>
                <c:pt idx="1055">
                  <c:v>33.4</c:v>
                </c:pt>
                <c:pt idx="1056">
                  <c:v>26.5</c:v>
                </c:pt>
                <c:pt idx="1057">
                  <c:v>37.799999999999997</c:v>
                </c:pt>
                <c:pt idx="1058">
                  <c:v>41.1</c:v>
                </c:pt>
                <c:pt idx="1059">
                  <c:v>41.6</c:v>
                </c:pt>
                <c:pt idx="1060">
                  <c:v>53.5</c:v>
                </c:pt>
                <c:pt idx="1061">
                  <c:v>57.7</c:v>
                </c:pt>
                <c:pt idx="1062">
                  <c:v>188.9</c:v>
                </c:pt>
                <c:pt idx="1063">
                  <c:v>44.8</c:v>
                </c:pt>
                <c:pt idx="1064">
                  <c:v>30.5</c:v>
                </c:pt>
                <c:pt idx="1065">
                  <c:v>47.7</c:v>
                </c:pt>
                <c:pt idx="1066">
                  <c:v>40.4</c:v>
                </c:pt>
                <c:pt idx="1067">
                  <c:v>18.2</c:v>
                </c:pt>
                <c:pt idx="1068">
                  <c:v>20.8</c:v>
                </c:pt>
                <c:pt idx="1069">
                  <c:v>30.3</c:v>
                </c:pt>
                <c:pt idx="1070">
                  <c:v>42</c:v>
                </c:pt>
                <c:pt idx="1071">
                  <c:v>39.9</c:v>
                </c:pt>
                <c:pt idx="1072">
                  <c:v>67.5</c:v>
                </c:pt>
                <c:pt idx="1073">
                  <c:v>55.6</c:v>
                </c:pt>
                <c:pt idx="1074">
                  <c:v>51.9</c:v>
                </c:pt>
                <c:pt idx="1075">
                  <c:v>148.1</c:v>
                </c:pt>
                <c:pt idx="1076">
                  <c:v>39.4</c:v>
                </c:pt>
                <c:pt idx="1077">
                  <c:v>44.9</c:v>
                </c:pt>
                <c:pt idx="1078">
                  <c:v>44.8</c:v>
                </c:pt>
                <c:pt idx="1079">
                  <c:v>73.3</c:v>
                </c:pt>
                <c:pt idx="1080">
                  <c:v>84.4</c:v>
                </c:pt>
                <c:pt idx="1081">
                  <c:v>66.2</c:v>
                </c:pt>
                <c:pt idx="1082">
                  <c:v>43.3</c:v>
                </c:pt>
                <c:pt idx="1083">
                  <c:v>47.3</c:v>
                </c:pt>
                <c:pt idx="1084">
                  <c:v>60.3</c:v>
                </c:pt>
                <c:pt idx="1085">
                  <c:v>43.5</c:v>
                </c:pt>
                <c:pt idx="1086">
                  <c:v>50.7</c:v>
                </c:pt>
                <c:pt idx="1087">
                  <c:v>47.3</c:v>
                </c:pt>
                <c:pt idx="1088">
                  <c:v>47.8</c:v>
                </c:pt>
                <c:pt idx="1089">
                  <c:v>40.199999999999996</c:v>
                </c:pt>
                <c:pt idx="1090">
                  <c:v>52.5</c:v>
                </c:pt>
                <c:pt idx="1091">
                  <c:v>4.8341000000000003</c:v>
                </c:pt>
                <c:pt idx="1092">
                  <c:v>35.299999999999997</c:v>
                </c:pt>
                <c:pt idx="1093">
                  <c:v>34.700000000000003</c:v>
                </c:pt>
                <c:pt idx="1094">
                  <c:v>36.4</c:v>
                </c:pt>
                <c:pt idx="1095">
                  <c:v>58.8</c:v>
                </c:pt>
                <c:pt idx="1096">
                  <c:v>53.3</c:v>
                </c:pt>
                <c:pt idx="1097">
                  <c:v>50.9</c:v>
                </c:pt>
                <c:pt idx="1098">
                  <c:v>58.7</c:v>
                </c:pt>
                <c:pt idx="1099">
                  <c:v>59.1</c:v>
                </c:pt>
                <c:pt idx="1100">
                  <c:v>73.7</c:v>
                </c:pt>
                <c:pt idx="1101">
                  <c:v>87.8</c:v>
                </c:pt>
                <c:pt idx="1102">
                  <c:v>58.8</c:v>
                </c:pt>
                <c:pt idx="1103">
                  <c:v>103.2</c:v>
                </c:pt>
                <c:pt idx="1104">
                  <c:v>134.4</c:v>
                </c:pt>
                <c:pt idx="1105">
                  <c:v>196.6</c:v>
                </c:pt>
                <c:pt idx="1106">
                  <c:v>71</c:v>
                </c:pt>
                <c:pt idx="1107">
                  <c:v>74.400000000000006</c:v>
                </c:pt>
                <c:pt idx="1108">
                  <c:v>88.4</c:v>
                </c:pt>
                <c:pt idx="1109">
                  <c:v>47.4</c:v>
                </c:pt>
                <c:pt idx="1110">
                  <c:v>54.8</c:v>
                </c:pt>
                <c:pt idx="1111">
                  <c:v>42.7</c:v>
                </c:pt>
                <c:pt idx="1112">
                  <c:v>43.7</c:v>
                </c:pt>
                <c:pt idx="1113">
                  <c:v>29.5</c:v>
                </c:pt>
                <c:pt idx="1114">
                  <c:v>57.3</c:v>
                </c:pt>
                <c:pt idx="1115">
                  <c:v>69.099999999999994</c:v>
                </c:pt>
                <c:pt idx="1116">
                  <c:v>77.900000000000006</c:v>
                </c:pt>
                <c:pt idx="1117">
                  <c:v>65.599999999999994</c:v>
                </c:pt>
                <c:pt idx="1118">
                  <c:v>50.5</c:v>
                </c:pt>
                <c:pt idx="1119">
                  <c:v>82.8</c:v>
                </c:pt>
                <c:pt idx="1120">
                  <c:v>38.299999999999997</c:v>
                </c:pt>
                <c:pt idx="1121">
                  <c:v>45.5</c:v>
                </c:pt>
                <c:pt idx="1122">
                  <c:v>46.7</c:v>
                </c:pt>
                <c:pt idx="1123">
                  <c:v>56.6</c:v>
                </c:pt>
                <c:pt idx="1124">
                  <c:v>74.5</c:v>
                </c:pt>
                <c:pt idx="1125">
                  <c:v>32.5</c:v>
                </c:pt>
                <c:pt idx="1126">
                  <c:v>40.599999999999994</c:v>
                </c:pt>
                <c:pt idx="1127">
                  <c:v>49.5</c:v>
                </c:pt>
                <c:pt idx="1128">
                  <c:v>46.6</c:v>
                </c:pt>
                <c:pt idx="1129">
                  <c:v>33.299999999999997</c:v>
                </c:pt>
                <c:pt idx="1130">
                  <c:v>45.8</c:v>
                </c:pt>
                <c:pt idx="1131">
                  <c:v>35.200000000000003</c:v>
                </c:pt>
                <c:pt idx="1132">
                  <c:v>48.8</c:v>
                </c:pt>
                <c:pt idx="1133">
                  <c:v>53.4</c:v>
                </c:pt>
                <c:pt idx="1134">
                  <c:v>68.3</c:v>
                </c:pt>
                <c:pt idx="1135">
                  <c:v>78</c:v>
                </c:pt>
                <c:pt idx="1136">
                  <c:v>122.6</c:v>
                </c:pt>
                <c:pt idx="1137">
                  <c:v>65.599999999999994</c:v>
                </c:pt>
                <c:pt idx="1138">
                  <c:v>67</c:v>
                </c:pt>
                <c:pt idx="1139">
                  <c:v>53</c:v>
                </c:pt>
                <c:pt idx="1140">
                  <c:v>61.5</c:v>
                </c:pt>
                <c:pt idx="1141">
                  <c:v>76</c:v>
                </c:pt>
                <c:pt idx="1142">
                  <c:v>61.9</c:v>
                </c:pt>
                <c:pt idx="1143">
                  <c:v>62.1</c:v>
                </c:pt>
                <c:pt idx="1144">
                  <c:v>66.900000000000006</c:v>
                </c:pt>
                <c:pt idx="1145">
                  <c:v>95.1</c:v>
                </c:pt>
                <c:pt idx="1146">
                  <c:v>45.6</c:v>
                </c:pt>
                <c:pt idx="1147">
                  <c:v>56.1</c:v>
                </c:pt>
                <c:pt idx="1148">
                  <c:v>56.6</c:v>
                </c:pt>
                <c:pt idx="1149">
                  <c:v>49</c:v>
                </c:pt>
                <c:pt idx="1150">
                  <c:v>68.5</c:v>
                </c:pt>
                <c:pt idx="1151">
                  <c:v>50.2</c:v>
                </c:pt>
                <c:pt idx="1152">
                  <c:v>37.5</c:v>
                </c:pt>
                <c:pt idx="1153">
                  <c:v>54.2</c:v>
                </c:pt>
                <c:pt idx="1154">
                  <c:v>67.400000000000006</c:v>
                </c:pt>
                <c:pt idx="1155">
                  <c:v>55.1</c:v>
                </c:pt>
                <c:pt idx="1156">
                  <c:v>55.5</c:v>
                </c:pt>
                <c:pt idx="1157">
                  <c:v>62.3</c:v>
                </c:pt>
                <c:pt idx="1158">
                  <c:v>46.6</c:v>
                </c:pt>
                <c:pt idx="1159">
                  <c:v>46.9</c:v>
                </c:pt>
                <c:pt idx="1160">
                  <c:v>58.9</c:v>
                </c:pt>
                <c:pt idx="1161">
                  <c:v>45.9</c:v>
                </c:pt>
                <c:pt idx="1162">
                  <c:v>41.8</c:v>
                </c:pt>
                <c:pt idx="1163">
                  <c:v>78.5</c:v>
                </c:pt>
                <c:pt idx="1164">
                  <c:v>50.7</c:v>
                </c:pt>
                <c:pt idx="1165">
                  <c:v>56.7</c:v>
                </c:pt>
                <c:pt idx="1166">
                  <c:v>62.7</c:v>
                </c:pt>
                <c:pt idx="1167">
                  <c:v>100.2</c:v>
                </c:pt>
                <c:pt idx="1168">
                  <c:v>56.6</c:v>
                </c:pt>
                <c:pt idx="1169">
                  <c:v>44.6</c:v>
                </c:pt>
                <c:pt idx="1170">
                  <c:v>45.9</c:v>
                </c:pt>
                <c:pt idx="1171">
                  <c:v>34.4</c:v>
                </c:pt>
                <c:pt idx="1172">
                  <c:v>33.299999999999997</c:v>
                </c:pt>
                <c:pt idx="1173">
                  <c:v>48</c:v>
                </c:pt>
                <c:pt idx="1174">
                  <c:v>40.9</c:v>
                </c:pt>
                <c:pt idx="1175">
                  <c:v>40.599999999999994</c:v>
                </c:pt>
                <c:pt idx="1176">
                  <c:v>51.7</c:v>
                </c:pt>
                <c:pt idx="1177">
                  <c:v>48.1</c:v>
                </c:pt>
                <c:pt idx="1178">
                  <c:v>60.6</c:v>
                </c:pt>
                <c:pt idx="1179">
                  <c:v>59.1</c:v>
                </c:pt>
                <c:pt idx="1180">
                  <c:v>50.2</c:v>
                </c:pt>
                <c:pt idx="1181">
                  <c:v>97.8</c:v>
                </c:pt>
                <c:pt idx="1182">
                  <c:v>107.9</c:v>
                </c:pt>
                <c:pt idx="1183">
                  <c:v>55.3</c:v>
                </c:pt>
                <c:pt idx="1184">
                  <c:v>64.3</c:v>
                </c:pt>
                <c:pt idx="1185">
                  <c:v>54.5</c:v>
                </c:pt>
                <c:pt idx="1186">
                  <c:v>135.30000000000001</c:v>
                </c:pt>
                <c:pt idx="1187">
                  <c:v>76.8</c:v>
                </c:pt>
                <c:pt idx="1188">
                  <c:v>76.599999999999994</c:v>
                </c:pt>
                <c:pt idx="1189">
                  <c:v>54</c:v>
                </c:pt>
                <c:pt idx="1190">
                  <c:v>71.3</c:v>
                </c:pt>
                <c:pt idx="1191">
                  <c:v>61.4</c:v>
                </c:pt>
                <c:pt idx="1192">
                  <c:v>35</c:v>
                </c:pt>
                <c:pt idx="1193">
                  <c:v>53.9</c:v>
                </c:pt>
                <c:pt idx="1194">
                  <c:v>73.599999999999994</c:v>
                </c:pt>
                <c:pt idx="1195">
                  <c:v>51.5</c:v>
                </c:pt>
                <c:pt idx="1196">
                  <c:v>41.900000000000006</c:v>
                </c:pt>
                <c:pt idx="1197">
                  <c:v>51.2</c:v>
                </c:pt>
                <c:pt idx="1198">
                  <c:v>92.7</c:v>
                </c:pt>
                <c:pt idx="1199">
                  <c:v>47.9</c:v>
                </c:pt>
                <c:pt idx="1200">
                  <c:v>44.3</c:v>
                </c:pt>
                <c:pt idx="1201">
                  <c:v>42.6</c:v>
                </c:pt>
                <c:pt idx="1202">
                  <c:v>153.69999999999999</c:v>
                </c:pt>
                <c:pt idx="1203">
                  <c:v>68.5</c:v>
                </c:pt>
                <c:pt idx="1204">
                  <c:v>40.999999999999993</c:v>
                </c:pt>
                <c:pt idx="1205">
                  <c:v>42.3</c:v>
                </c:pt>
                <c:pt idx="1206">
                  <c:v>49.7</c:v>
                </c:pt>
                <c:pt idx="1207">
                  <c:v>44.9</c:v>
                </c:pt>
                <c:pt idx="1208">
                  <c:v>44.4</c:v>
                </c:pt>
                <c:pt idx="1209">
                  <c:v>56.2</c:v>
                </c:pt>
                <c:pt idx="1210">
                  <c:v>50.2</c:v>
                </c:pt>
                <c:pt idx="1211">
                  <c:v>48.2</c:v>
                </c:pt>
                <c:pt idx="1212">
                  <c:v>52.4</c:v>
                </c:pt>
                <c:pt idx="1213">
                  <c:v>64.2</c:v>
                </c:pt>
                <c:pt idx="1214">
                  <c:v>72</c:v>
                </c:pt>
                <c:pt idx="1215">
                  <c:v>49.9</c:v>
                </c:pt>
                <c:pt idx="1216">
                  <c:v>48.1</c:v>
                </c:pt>
                <c:pt idx="1217">
                  <c:v>39.4</c:v>
                </c:pt>
                <c:pt idx="1218">
                  <c:v>48.9</c:v>
                </c:pt>
                <c:pt idx="1219">
                  <c:v>45.6</c:v>
                </c:pt>
                <c:pt idx="1220">
                  <c:v>83.5</c:v>
                </c:pt>
                <c:pt idx="1221">
                  <c:v>54.1</c:v>
                </c:pt>
                <c:pt idx="1222">
                  <c:v>48.8</c:v>
                </c:pt>
                <c:pt idx="1223">
                  <c:v>36.4</c:v>
                </c:pt>
                <c:pt idx="1224">
                  <c:v>70.900000000000006</c:v>
                </c:pt>
                <c:pt idx="1225">
                  <c:v>73.2</c:v>
                </c:pt>
                <c:pt idx="1226">
                  <c:v>66.2</c:v>
                </c:pt>
                <c:pt idx="1227">
                  <c:v>85.6</c:v>
                </c:pt>
                <c:pt idx="1228">
                  <c:v>125.1</c:v>
                </c:pt>
                <c:pt idx="1229">
                  <c:v>108.8</c:v>
                </c:pt>
                <c:pt idx="1230">
                  <c:v>253.4</c:v>
                </c:pt>
                <c:pt idx="1231">
                  <c:v>148.6</c:v>
                </c:pt>
                <c:pt idx="1232">
                  <c:v>203.8</c:v>
                </c:pt>
                <c:pt idx="1233">
                  <c:v>60.5</c:v>
                </c:pt>
                <c:pt idx="1234">
                  <c:v>56.5</c:v>
                </c:pt>
                <c:pt idx="1235">
                  <c:v>58.8</c:v>
                </c:pt>
                <c:pt idx="1236">
                  <c:v>57.9</c:v>
                </c:pt>
                <c:pt idx="1237">
                  <c:v>94.8</c:v>
                </c:pt>
                <c:pt idx="1238">
                  <c:v>56.8</c:v>
                </c:pt>
              </c:numCache>
            </c:numRef>
          </c:val>
          <c:extLst>
            <c:ext xmlns:c16="http://schemas.microsoft.com/office/drawing/2014/chart" uri="{C3380CC4-5D6E-409C-BE32-E72D297353CC}">
              <c16:uniqueId val="{00000000-EBBD-4484-80A0-08E223DAEE74}"/>
            </c:ext>
          </c:extLst>
        </c:ser>
        <c:dLbls>
          <c:showLegendKey val="0"/>
          <c:showVal val="0"/>
          <c:showCatName val="0"/>
          <c:showSerName val="0"/>
          <c:showPercent val="0"/>
          <c:showBubbleSize val="0"/>
        </c:dLbls>
        <c:axId val="130692592"/>
        <c:axId val="130706992"/>
      </c:areaChart>
      <c:dateAx>
        <c:axId val="13069259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t"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0706992"/>
        <c:crosses val="autoZero"/>
        <c:auto val="1"/>
        <c:lblOffset val="100"/>
        <c:baseTimeUnit val="days"/>
      </c:dateAx>
      <c:valAx>
        <c:axId val="130706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69259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chemeClr val="bg1">
                <a:lumMod val="75000"/>
              </a:schemeClr>
            </a:solidFill>
            <a:ln>
              <a:noFill/>
            </a:ln>
            <a:effectLst/>
          </c:spPr>
          <c:cat>
            <c:numRef>
              <c:f>'share Price'!$B$3:$B$1241</c:f>
              <c:numCache>
                <c:formatCode>m/d/yyyy</c:formatCode>
                <c:ptCount val="1239"/>
                <c:pt idx="0">
                  <c:v>46111</c:v>
                </c:pt>
                <c:pt idx="1">
                  <c:v>46108</c:v>
                </c:pt>
                <c:pt idx="2">
                  <c:v>46106</c:v>
                </c:pt>
                <c:pt idx="3">
                  <c:v>46105</c:v>
                </c:pt>
                <c:pt idx="4">
                  <c:v>46104</c:v>
                </c:pt>
                <c:pt idx="5">
                  <c:v>46101</c:v>
                </c:pt>
                <c:pt idx="6">
                  <c:v>46100</c:v>
                </c:pt>
                <c:pt idx="7">
                  <c:v>46099</c:v>
                </c:pt>
                <c:pt idx="8">
                  <c:v>46098</c:v>
                </c:pt>
                <c:pt idx="9">
                  <c:v>46097</c:v>
                </c:pt>
                <c:pt idx="10">
                  <c:v>46094</c:v>
                </c:pt>
                <c:pt idx="11">
                  <c:v>46093</c:v>
                </c:pt>
                <c:pt idx="12">
                  <c:v>46092</c:v>
                </c:pt>
                <c:pt idx="13">
                  <c:v>46091</c:v>
                </c:pt>
                <c:pt idx="14">
                  <c:v>46090</c:v>
                </c:pt>
                <c:pt idx="15">
                  <c:v>46087</c:v>
                </c:pt>
                <c:pt idx="16">
                  <c:v>46086</c:v>
                </c:pt>
                <c:pt idx="17">
                  <c:v>46085</c:v>
                </c:pt>
                <c:pt idx="18">
                  <c:v>46083</c:v>
                </c:pt>
                <c:pt idx="19">
                  <c:v>46080</c:v>
                </c:pt>
                <c:pt idx="20">
                  <c:v>46079</c:v>
                </c:pt>
                <c:pt idx="21">
                  <c:v>46078</c:v>
                </c:pt>
                <c:pt idx="22">
                  <c:v>46077</c:v>
                </c:pt>
                <c:pt idx="23">
                  <c:v>46076</c:v>
                </c:pt>
                <c:pt idx="24">
                  <c:v>46073</c:v>
                </c:pt>
                <c:pt idx="25">
                  <c:v>46072</c:v>
                </c:pt>
                <c:pt idx="26">
                  <c:v>46071</c:v>
                </c:pt>
                <c:pt idx="27">
                  <c:v>46070</c:v>
                </c:pt>
                <c:pt idx="28">
                  <c:v>46069</c:v>
                </c:pt>
                <c:pt idx="29">
                  <c:v>46066</c:v>
                </c:pt>
                <c:pt idx="30">
                  <c:v>46065</c:v>
                </c:pt>
                <c:pt idx="31">
                  <c:v>46064</c:v>
                </c:pt>
                <c:pt idx="32">
                  <c:v>46063</c:v>
                </c:pt>
                <c:pt idx="33">
                  <c:v>46062</c:v>
                </c:pt>
                <c:pt idx="34">
                  <c:v>46059</c:v>
                </c:pt>
                <c:pt idx="35">
                  <c:v>46058</c:v>
                </c:pt>
                <c:pt idx="36">
                  <c:v>46057</c:v>
                </c:pt>
                <c:pt idx="37">
                  <c:v>46056</c:v>
                </c:pt>
                <c:pt idx="38">
                  <c:v>46055</c:v>
                </c:pt>
                <c:pt idx="39">
                  <c:v>46054</c:v>
                </c:pt>
                <c:pt idx="40">
                  <c:v>46052</c:v>
                </c:pt>
                <c:pt idx="41">
                  <c:v>46051</c:v>
                </c:pt>
                <c:pt idx="42">
                  <c:v>46050</c:v>
                </c:pt>
                <c:pt idx="43">
                  <c:v>46049</c:v>
                </c:pt>
                <c:pt idx="44">
                  <c:v>46045</c:v>
                </c:pt>
                <c:pt idx="45">
                  <c:v>46044</c:v>
                </c:pt>
                <c:pt idx="46">
                  <c:v>46043</c:v>
                </c:pt>
                <c:pt idx="47">
                  <c:v>46042</c:v>
                </c:pt>
                <c:pt idx="48">
                  <c:v>46041</c:v>
                </c:pt>
                <c:pt idx="49">
                  <c:v>46038</c:v>
                </c:pt>
                <c:pt idx="50">
                  <c:v>46036</c:v>
                </c:pt>
                <c:pt idx="51">
                  <c:v>46035</c:v>
                </c:pt>
                <c:pt idx="52">
                  <c:v>46034</c:v>
                </c:pt>
                <c:pt idx="53">
                  <c:v>46031</c:v>
                </c:pt>
                <c:pt idx="54">
                  <c:v>46030</c:v>
                </c:pt>
                <c:pt idx="55">
                  <c:v>46029</c:v>
                </c:pt>
                <c:pt idx="56">
                  <c:v>46028</c:v>
                </c:pt>
                <c:pt idx="57">
                  <c:v>46027</c:v>
                </c:pt>
                <c:pt idx="58">
                  <c:v>46024</c:v>
                </c:pt>
                <c:pt idx="59">
                  <c:v>46023</c:v>
                </c:pt>
                <c:pt idx="60">
                  <c:v>46022</c:v>
                </c:pt>
                <c:pt idx="61">
                  <c:v>46021</c:v>
                </c:pt>
                <c:pt idx="62">
                  <c:v>46020</c:v>
                </c:pt>
                <c:pt idx="63">
                  <c:v>46017</c:v>
                </c:pt>
                <c:pt idx="64">
                  <c:v>46015</c:v>
                </c:pt>
                <c:pt idx="65">
                  <c:v>46014</c:v>
                </c:pt>
                <c:pt idx="66">
                  <c:v>46013</c:v>
                </c:pt>
                <c:pt idx="67">
                  <c:v>46010</c:v>
                </c:pt>
                <c:pt idx="68">
                  <c:v>46009</c:v>
                </c:pt>
                <c:pt idx="69">
                  <c:v>46008</c:v>
                </c:pt>
                <c:pt idx="70">
                  <c:v>46007</c:v>
                </c:pt>
                <c:pt idx="71">
                  <c:v>46006</c:v>
                </c:pt>
                <c:pt idx="72">
                  <c:v>46003</c:v>
                </c:pt>
                <c:pt idx="73">
                  <c:v>46002</c:v>
                </c:pt>
                <c:pt idx="74">
                  <c:v>46001</c:v>
                </c:pt>
                <c:pt idx="75">
                  <c:v>46000</c:v>
                </c:pt>
                <c:pt idx="76">
                  <c:v>45999</c:v>
                </c:pt>
                <c:pt idx="77">
                  <c:v>45996</c:v>
                </c:pt>
                <c:pt idx="78">
                  <c:v>45995</c:v>
                </c:pt>
                <c:pt idx="79">
                  <c:v>45994</c:v>
                </c:pt>
                <c:pt idx="80">
                  <c:v>45993</c:v>
                </c:pt>
                <c:pt idx="81">
                  <c:v>45992</c:v>
                </c:pt>
                <c:pt idx="82">
                  <c:v>45989</c:v>
                </c:pt>
                <c:pt idx="83">
                  <c:v>45988</c:v>
                </c:pt>
                <c:pt idx="84">
                  <c:v>45987</c:v>
                </c:pt>
                <c:pt idx="85">
                  <c:v>45986</c:v>
                </c:pt>
                <c:pt idx="86">
                  <c:v>45985</c:v>
                </c:pt>
                <c:pt idx="87">
                  <c:v>45982</c:v>
                </c:pt>
                <c:pt idx="88">
                  <c:v>45981</c:v>
                </c:pt>
                <c:pt idx="89">
                  <c:v>45980</c:v>
                </c:pt>
                <c:pt idx="90">
                  <c:v>45979</c:v>
                </c:pt>
                <c:pt idx="91">
                  <c:v>45978</c:v>
                </c:pt>
                <c:pt idx="92">
                  <c:v>45975</c:v>
                </c:pt>
                <c:pt idx="93">
                  <c:v>45974</c:v>
                </c:pt>
                <c:pt idx="94">
                  <c:v>45973</c:v>
                </c:pt>
                <c:pt idx="95">
                  <c:v>45972</c:v>
                </c:pt>
                <c:pt idx="96">
                  <c:v>45971</c:v>
                </c:pt>
                <c:pt idx="97">
                  <c:v>45968</c:v>
                </c:pt>
                <c:pt idx="98">
                  <c:v>45967</c:v>
                </c:pt>
                <c:pt idx="99">
                  <c:v>45965</c:v>
                </c:pt>
                <c:pt idx="100">
                  <c:v>45964</c:v>
                </c:pt>
                <c:pt idx="101">
                  <c:v>45961</c:v>
                </c:pt>
                <c:pt idx="102">
                  <c:v>45960</c:v>
                </c:pt>
                <c:pt idx="103">
                  <c:v>45959</c:v>
                </c:pt>
                <c:pt idx="104">
                  <c:v>45958</c:v>
                </c:pt>
                <c:pt idx="105">
                  <c:v>45957</c:v>
                </c:pt>
                <c:pt idx="106">
                  <c:v>45954</c:v>
                </c:pt>
                <c:pt idx="107">
                  <c:v>45953</c:v>
                </c:pt>
                <c:pt idx="108">
                  <c:v>45951</c:v>
                </c:pt>
                <c:pt idx="109">
                  <c:v>45950</c:v>
                </c:pt>
                <c:pt idx="110">
                  <c:v>45947</c:v>
                </c:pt>
                <c:pt idx="111">
                  <c:v>45946</c:v>
                </c:pt>
                <c:pt idx="112">
                  <c:v>45945</c:v>
                </c:pt>
                <c:pt idx="113">
                  <c:v>45944</c:v>
                </c:pt>
                <c:pt idx="114">
                  <c:v>45943</c:v>
                </c:pt>
                <c:pt idx="115">
                  <c:v>45940</c:v>
                </c:pt>
                <c:pt idx="116">
                  <c:v>45939</c:v>
                </c:pt>
                <c:pt idx="117">
                  <c:v>45938</c:v>
                </c:pt>
                <c:pt idx="118">
                  <c:v>45937</c:v>
                </c:pt>
                <c:pt idx="119">
                  <c:v>45936</c:v>
                </c:pt>
                <c:pt idx="120">
                  <c:v>45933</c:v>
                </c:pt>
                <c:pt idx="121">
                  <c:v>45931</c:v>
                </c:pt>
                <c:pt idx="122">
                  <c:v>45930</c:v>
                </c:pt>
                <c:pt idx="123">
                  <c:v>45929</c:v>
                </c:pt>
                <c:pt idx="124">
                  <c:v>45926</c:v>
                </c:pt>
                <c:pt idx="125">
                  <c:v>45925</c:v>
                </c:pt>
                <c:pt idx="126">
                  <c:v>45924</c:v>
                </c:pt>
                <c:pt idx="127">
                  <c:v>45923</c:v>
                </c:pt>
                <c:pt idx="128">
                  <c:v>45922</c:v>
                </c:pt>
                <c:pt idx="129">
                  <c:v>45919</c:v>
                </c:pt>
                <c:pt idx="130">
                  <c:v>45918</c:v>
                </c:pt>
                <c:pt idx="131">
                  <c:v>45917</c:v>
                </c:pt>
                <c:pt idx="132">
                  <c:v>45916</c:v>
                </c:pt>
                <c:pt idx="133">
                  <c:v>45915</c:v>
                </c:pt>
                <c:pt idx="134">
                  <c:v>45912</c:v>
                </c:pt>
                <c:pt idx="135">
                  <c:v>45911</c:v>
                </c:pt>
                <c:pt idx="136">
                  <c:v>45910</c:v>
                </c:pt>
                <c:pt idx="137">
                  <c:v>45909</c:v>
                </c:pt>
                <c:pt idx="138">
                  <c:v>45908</c:v>
                </c:pt>
                <c:pt idx="139">
                  <c:v>45905</c:v>
                </c:pt>
                <c:pt idx="140">
                  <c:v>45904</c:v>
                </c:pt>
                <c:pt idx="141">
                  <c:v>45903</c:v>
                </c:pt>
                <c:pt idx="142">
                  <c:v>45902</c:v>
                </c:pt>
                <c:pt idx="143">
                  <c:v>45901</c:v>
                </c:pt>
                <c:pt idx="144">
                  <c:v>45898</c:v>
                </c:pt>
                <c:pt idx="145">
                  <c:v>45897</c:v>
                </c:pt>
                <c:pt idx="146">
                  <c:v>45895</c:v>
                </c:pt>
                <c:pt idx="147">
                  <c:v>45894</c:v>
                </c:pt>
                <c:pt idx="148">
                  <c:v>45891</c:v>
                </c:pt>
                <c:pt idx="149">
                  <c:v>45890</c:v>
                </c:pt>
                <c:pt idx="150">
                  <c:v>45889</c:v>
                </c:pt>
                <c:pt idx="151">
                  <c:v>45888</c:v>
                </c:pt>
                <c:pt idx="152">
                  <c:v>45887</c:v>
                </c:pt>
                <c:pt idx="153">
                  <c:v>45883</c:v>
                </c:pt>
                <c:pt idx="154">
                  <c:v>45882</c:v>
                </c:pt>
                <c:pt idx="155">
                  <c:v>45881</c:v>
                </c:pt>
                <c:pt idx="156">
                  <c:v>45880</c:v>
                </c:pt>
                <c:pt idx="157">
                  <c:v>45877</c:v>
                </c:pt>
                <c:pt idx="158">
                  <c:v>45876</c:v>
                </c:pt>
                <c:pt idx="159">
                  <c:v>45875</c:v>
                </c:pt>
                <c:pt idx="160">
                  <c:v>45874</c:v>
                </c:pt>
                <c:pt idx="161">
                  <c:v>45873</c:v>
                </c:pt>
                <c:pt idx="162">
                  <c:v>45870</c:v>
                </c:pt>
                <c:pt idx="163">
                  <c:v>45869</c:v>
                </c:pt>
                <c:pt idx="164">
                  <c:v>45868</c:v>
                </c:pt>
                <c:pt idx="165">
                  <c:v>45867</c:v>
                </c:pt>
                <c:pt idx="166">
                  <c:v>45866</c:v>
                </c:pt>
                <c:pt idx="167">
                  <c:v>45863</c:v>
                </c:pt>
                <c:pt idx="168">
                  <c:v>45862</c:v>
                </c:pt>
                <c:pt idx="169">
                  <c:v>45861</c:v>
                </c:pt>
                <c:pt idx="170">
                  <c:v>45860</c:v>
                </c:pt>
                <c:pt idx="171">
                  <c:v>45859</c:v>
                </c:pt>
                <c:pt idx="172">
                  <c:v>45856</c:v>
                </c:pt>
                <c:pt idx="173">
                  <c:v>45855</c:v>
                </c:pt>
                <c:pt idx="174">
                  <c:v>45854</c:v>
                </c:pt>
                <c:pt idx="175">
                  <c:v>45853</c:v>
                </c:pt>
                <c:pt idx="176">
                  <c:v>45852</c:v>
                </c:pt>
                <c:pt idx="177">
                  <c:v>45849</c:v>
                </c:pt>
                <c:pt idx="178">
                  <c:v>45848</c:v>
                </c:pt>
                <c:pt idx="179">
                  <c:v>45847</c:v>
                </c:pt>
                <c:pt idx="180">
                  <c:v>45846</c:v>
                </c:pt>
                <c:pt idx="181">
                  <c:v>45845</c:v>
                </c:pt>
                <c:pt idx="182">
                  <c:v>45842</c:v>
                </c:pt>
                <c:pt idx="183">
                  <c:v>45841</c:v>
                </c:pt>
                <c:pt idx="184">
                  <c:v>45840</c:v>
                </c:pt>
                <c:pt idx="185">
                  <c:v>45839</c:v>
                </c:pt>
                <c:pt idx="186">
                  <c:v>45838</c:v>
                </c:pt>
                <c:pt idx="187">
                  <c:v>45835</c:v>
                </c:pt>
                <c:pt idx="188">
                  <c:v>45834</c:v>
                </c:pt>
                <c:pt idx="189">
                  <c:v>45833</c:v>
                </c:pt>
                <c:pt idx="190">
                  <c:v>45832</c:v>
                </c:pt>
                <c:pt idx="191">
                  <c:v>45831</c:v>
                </c:pt>
                <c:pt idx="192">
                  <c:v>45828</c:v>
                </c:pt>
                <c:pt idx="193">
                  <c:v>45827</c:v>
                </c:pt>
                <c:pt idx="194">
                  <c:v>45826</c:v>
                </c:pt>
                <c:pt idx="195">
                  <c:v>45825</c:v>
                </c:pt>
                <c:pt idx="196">
                  <c:v>45824</c:v>
                </c:pt>
                <c:pt idx="197">
                  <c:v>45821</c:v>
                </c:pt>
                <c:pt idx="198">
                  <c:v>45820</c:v>
                </c:pt>
                <c:pt idx="199">
                  <c:v>45819</c:v>
                </c:pt>
                <c:pt idx="200">
                  <c:v>45818</c:v>
                </c:pt>
                <c:pt idx="201">
                  <c:v>45817</c:v>
                </c:pt>
                <c:pt idx="202">
                  <c:v>45814</c:v>
                </c:pt>
                <c:pt idx="203">
                  <c:v>45813</c:v>
                </c:pt>
                <c:pt idx="204">
                  <c:v>45812</c:v>
                </c:pt>
                <c:pt idx="205">
                  <c:v>45811</c:v>
                </c:pt>
                <c:pt idx="206">
                  <c:v>45810</c:v>
                </c:pt>
                <c:pt idx="207">
                  <c:v>45807</c:v>
                </c:pt>
                <c:pt idx="208">
                  <c:v>45806</c:v>
                </c:pt>
                <c:pt idx="209">
                  <c:v>45805</c:v>
                </c:pt>
                <c:pt idx="210">
                  <c:v>45804</c:v>
                </c:pt>
                <c:pt idx="211">
                  <c:v>45803</c:v>
                </c:pt>
                <c:pt idx="212">
                  <c:v>45800</c:v>
                </c:pt>
                <c:pt idx="213">
                  <c:v>45799</c:v>
                </c:pt>
                <c:pt idx="214">
                  <c:v>45798</c:v>
                </c:pt>
                <c:pt idx="215">
                  <c:v>45797</c:v>
                </c:pt>
                <c:pt idx="216">
                  <c:v>45796</c:v>
                </c:pt>
                <c:pt idx="217">
                  <c:v>45793</c:v>
                </c:pt>
                <c:pt idx="218">
                  <c:v>45792</c:v>
                </c:pt>
                <c:pt idx="219">
                  <c:v>45791</c:v>
                </c:pt>
                <c:pt idx="220">
                  <c:v>45790</c:v>
                </c:pt>
                <c:pt idx="221">
                  <c:v>45789</c:v>
                </c:pt>
                <c:pt idx="222">
                  <c:v>45786</c:v>
                </c:pt>
                <c:pt idx="223">
                  <c:v>45785</c:v>
                </c:pt>
                <c:pt idx="224">
                  <c:v>45784</c:v>
                </c:pt>
                <c:pt idx="225">
                  <c:v>45783</c:v>
                </c:pt>
                <c:pt idx="226">
                  <c:v>45782</c:v>
                </c:pt>
                <c:pt idx="227">
                  <c:v>45779</c:v>
                </c:pt>
                <c:pt idx="228">
                  <c:v>45777</c:v>
                </c:pt>
                <c:pt idx="229">
                  <c:v>45776</c:v>
                </c:pt>
                <c:pt idx="230">
                  <c:v>45775</c:v>
                </c:pt>
                <c:pt idx="231">
                  <c:v>45772</c:v>
                </c:pt>
                <c:pt idx="232">
                  <c:v>45771</c:v>
                </c:pt>
                <c:pt idx="233">
                  <c:v>45770</c:v>
                </c:pt>
                <c:pt idx="234">
                  <c:v>45769</c:v>
                </c:pt>
                <c:pt idx="235">
                  <c:v>45768</c:v>
                </c:pt>
                <c:pt idx="236">
                  <c:v>45764</c:v>
                </c:pt>
                <c:pt idx="237">
                  <c:v>45763</c:v>
                </c:pt>
                <c:pt idx="238">
                  <c:v>45762</c:v>
                </c:pt>
                <c:pt idx="239">
                  <c:v>45758</c:v>
                </c:pt>
                <c:pt idx="240">
                  <c:v>45756</c:v>
                </c:pt>
                <c:pt idx="241">
                  <c:v>45755</c:v>
                </c:pt>
                <c:pt idx="242">
                  <c:v>45754</c:v>
                </c:pt>
                <c:pt idx="243">
                  <c:v>45751</c:v>
                </c:pt>
                <c:pt idx="244">
                  <c:v>45750</c:v>
                </c:pt>
                <c:pt idx="245">
                  <c:v>45749</c:v>
                </c:pt>
                <c:pt idx="246">
                  <c:v>45748</c:v>
                </c:pt>
                <c:pt idx="247">
                  <c:v>45744</c:v>
                </c:pt>
                <c:pt idx="248">
                  <c:v>45743</c:v>
                </c:pt>
                <c:pt idx="249">
                  <c:v>45742</c:v>
                </c:pt>
                <c:pt idx="250">
                  <c:v>45741</c:v>
                </c:pt>
                <c:pt idx="251">
                  <c:v>45740</c:v>
                </c:pt>
                <c:pt idx="252">
                  <c:v>45737</c:v>
                </c:pt>
                <c:pt idx="253">
                  <c:v>45736</c:v>
                </c:pt>
                <c:pt idx="254">
                  <c:v>45735</c:v>
                </c:pt>
                <c:pt idx="255">
                  <c:v>45734</c:v>
                </c:pt>
                <c:pt idx="256">
                  <c:v>45733</c:v>
                </c:pt>
                <c:pt idx="257">
                  <c:v>45729</c:v>
                </c:pt>
                <c:pt idx="258">
                  <c:v>45728</c:v>
                </c:pt>
                <c:pt idx="259">
                  <c:v>45727</c:v>
                </c:pt>
                <c:pt idx="260">
                  <c:v>45726</c:v>
                </c:pt>
                <c:pt idx="261">
                  <c:v>45723</c:v>
                </c:pt>
                <c:pt idx="262">
                  <c:v>45722</c:v>
                </c:pt>
                <c:pt idx="263">
                  <c:v>45721</c:v>
                </c:pt>
                <c:pt idx="264">
                  <c:v>45720</c:v>
                </c:pt>
                <c:pt idx="265">
                  <c:v>45719</c:v>
                </c:pt>
                <c:pt idx="266">
                  <c:v>45716</c:v>
                </c:pt>
                <c:pt idx="267">
                  <c:v>45715</c:v>
                </c:pt>
                <c:pt idx="268">
                  <c:v>45713</c:v>
                </c:pt>
                <c:pt idx="269">
                  <c:v>45712</c:v>
                </c:pt>
                <c:pt idx="270">
                  <c:v>45709</c:v>
                </c:pt>
                <c:pt idx="271">
                  <c:v>45708</c:v>
                </c:pt>
                <c:pt idx="272">
                  <c:v>45707</c:v>
                </c:pt>
                <c:pt idx="273">
                  <c:v>45706</c:v>
                </c:pt>
                <c:pt idx="274">
                  <c:v>45705</c:v>
                </c:pt>
                <c:pt idx="275">
                  <c:v>45702</c:v>
                </c:pt>
                <c:pt idx="276">
                  <c:v>45701</c:v>
                </c:pt>
                <c:pt idx="277">
                  <c:v>45700</c:v>
                </c:pt>
                <c:pt idx="278">
                  <c:v>45699</c:v>
                </c:pt>
                <c:pt idx="279">
                  <c:v>45698</c:v>
                </c:pt>
                <c:pt idx="280">
                  <c:v>45695</c:v>
                </c:pt>
                <c:pt idx="281">
                  <c:v>45694</c:v>
                </c:pt>
                <c:pt idx="282">
                  <c:v>45693</c:v>
                </c:pt>
                <c:pt idx="283">
                  <c:v>45692</c:v>
                </c:pt>
                <c:pt idx="284">
                  <c:v>45691</c:v>
                </c:pt>
                <c:pt idx="285">
                  <c:v>45689</c:v>
                </c:pt>
                <c:pt idx="286">
                  <c:v>45688</c:v>
                </c:pt>
                <c:pt idx="287">
                  <c:v>45687</c:v>
                </c:pt>
                <c:pt idx="288">
                  <c:v>45686</c:v>
                </c:pt>
                <c:pt idx="289">
                  <c:v>45685</c:v>
                </c:pt>
                <c:pt idx="290">
                  <c:v>45684</c:v>
                </c:pt>
                <c:pt idx="291">
                  <c:v>45681</c:v>
                </c:pt>
                <c:pt idx="292">
                  <c:v>45680</c:v>
                </c:pt>
                <c:pt idx="293">
                  <c:v>45679</c:v>
                </c:pt>
                <c:pt idx="294">
                  <c:v>45678</c:v>
                </c:pt>
                <c:pt idx="295">
                  <c:v>45677</c:v>
                </c:pt>
                <c:pt idx="296">
                  <c:v>45674</c:v>
                </c:pt>
                <c:pt idx="297">
                  <c:v>45673</c:v>
                </c:pt>
                <c:pt idx="298">
                  <c:v>45672</c:v>
                </c:pt>
                <c:pt idx="299">
                  <c:v>45671</c:v>
                </c:pt>
                <c:pt idx="300">
                  <c:v>45670</c:v>
                </c:pt>
                <c:pt idx="301">
                  <c:v>45667</c:v>
                </c:pt>
                <c:pt idx="302">
                  <c:v>45666</c:v>
                </c:pt>
                <c:pt idx="303">
                  <c:v>45665</c:v>
                </c:pt>
                <c:pt idx="304">
                  <c:v>45664</c:v>
                </c:pt>
                <c:pt idx="305">
                  <c:v>45663</c:v>
                </c:pt>
                <c:pt idx="306">
                  <c:v>45660</c:v>
                </c:pt>
                <c:pt idx="307">
                  <c:v>45659</c:v>
                </c:pt>
                <c:pt idx="308">
                  <c:v>45658</c:v>
                </c:pt>
                <c:pt idx="309">
                  <c:v>45657</c:v>
                </c:pt>
                <c:pt idx="310">
                  <c:v>45656</c:v>
                </c:pt>
                <c:pt idx="311">
                  <c:v>45653</c:v>
                </c:pt>
                <c:pt idx="312">
                  <c:v>45652</c:v>
                </c:pt>
                <c:pt idx="313">
                  <c:v>45650</c:v>
                </c:pt>
                <c:pt idx="314">
                  <c:v>45649</c:v>
                </c:pt>
                <c:pt idx="315">
                  <c:v>45646</c:v>
                </c:pt>
                <c:pt idx="316">
                  <c:v>45645</c:v>
                </c:pt>
                <c:pt idx="317">
                  <c:v>45644</c:v>
                </c:pt>
                <c:pt idx="318">
                  <c:v>45643</c:v>
                </c:pt>
                <c:pt idx="319">
                  <c:v>45642</c:v>
                </c:pt>
                <c:pt idx="320">
                  <c:v>45639</c:v>
                </c:pt>
                <c:pt idx="321">
                  <c:v>45638</c:v>
                </c:pt>
                <c:pt idx="322">
                  <c:v>45637</c:v>
                </c:pt>
                <c:pt idx="323">
                  <c:v>45636</c:v>
                </c:pt>
                <c:pt idx="324">
                  <c:v>45635</c:v>
                </c:pt>
                <c:pt idx="325">
                  <c:v>45632</c:v>
                </c:pt>
                <c:pt idx="326">
                  <c:v>45631</c:v>
                </c:pt>
                <c:pt idx="327">
                  <c:v>45630</c:v>
                </c:pt>
                <c:pt idx="328">
                  <c:v>45629</c:v>
                </c:pt>
                <c:pt idx="329">
                  <c:v>45628</c:v>
                </c:pt>
                <c:pt idx="330">
                  <c:v>45625</c:v>
                </c:pt>
                <c:pt idx="331">
                  <c:v>45624</c:v>
                </c:pt>
                <c:pt idx="332">
                  <c:v>45623</c:v>
                </c:pt>
                <c:pt idx="333">
                  <c:v>45622</c:v>
                </c:pt>
                <c:pt idx="334">
                  <c:v>45621</c:v>
                </c:pt>
                <c:pt idx="335">
                  <c:v>45618</c:v>
                </c:pt>
                <c:pt idx="336">
                  <c:v>45617</c:v>
                </c:pt>
                <c:pt idx="337">
                  <c:v>45615</c:v>
                </c:pt>
                <c:pt idx="338">
                  <c:v>45614</c:v>
                </c:pt>
                <c:pt idx="339">
                  <c:v>45610</c:v>
                </c:pt>
                <c:pt idx="340">
                  <c:v>45609</c:v>
                </c:pt>
                <c:pt idx="341">
                  <c:v>45608</c:v>
                </c:pt>
                <c:pt idx="342">
                  <c:v>45607</c:v>
                </c:pt>
                <c:pt idx="343">
                  <c:v>45604</c:v>
                </c:pt>
                <c:pt idx="344">
                  <c:v>45603</c:v>
                </c:pt>
                <c:pt idx="345">
                  <c:v>45602</c:v>
                </c:pt>
                <c:pt idx="346">
                  <c:v>45601</c:v>
                </c:pt>
                <c:pt idx="347">
                  <c:v>45600</c:v>
                </c:pt>
                <c:pt idx="348">
                  <c:v>45597</c:v>
                </c:pt>
                <c:pt idx="349">
                  <c:v>45596</c:v>
                </c:pt>
                <c:pt idx="350">
                  <c:v>45595</c:v>
                </c:pt>
                <c:pt idx="351">
                  <c:v>45594</c:v>
                </c:pt>
                <c:pt idx="352">
                  <c:v>45593</c:v>
                </c:pt>
                <c:pt idx="353">
                  <c:v>45590</c:v>
                </c:pt>
                <c:pt idx="354">
                  <c:v>45589</c:v>
                </c:pt>
                <c:pt idx="355">
                  <c:v>45588</c:v>
                </c:pt>
                <c:pt idx="356">
                  <c:v>45587</c:v>
                </c:pt>
                <c:pt idx="357">
                  <c:v>45586</c:v>
                </c:pt>
                <c:pt idx="358">
                  <c:v>45583</c:v>
                </c:pt>
                <c:pt idx="359">
                  <c:v>45582</c:v>
                </c:pt>
                <c:pt idx="360">
                  <c:v>45581</c:v>
                </c:pt>
                <c:pt idx="361">
                  <c:v>45580</c:v>
                </c:pt>
                <c:pt idx="362">
                  <c:v>45579</c:v>
                </c:pt>
                <c:pt idx="363">
                  <c:v>45576</c:v>
                </c:pt>
                <c:pt idx="364">
                  <c:v>45575</c:v>
                </c:pt>
                <c:pt idx="365">
                  <c:v>45574</c:v>
                </c:pt>
                <c:pt idx="366">
                  <c:v>45573</c:v>
                </c:pt>
                <c:pt idx="367">
                  <c:v>45572</c:v>
                </c:pt>
                <c:pt idx="368">
                  <c:v>45569</c:v>
                </c:pt>
                <c:pt idx="369">
                  <c:v>45568</c:v>
                </c:pt>
                <c:pt idx="370">
                  <c:v>45566</c:v>
                </c:pt>
                <c:pt idx="371">
                  <c:v>45565</c:v>
                </c:pt>
                <c:pt idx="372">
                  <c:v>45562</c:v>
                </c:pt>
                <c:pt idx="373">
                  <c:v>45561</c:v>
                </c:pt>
                <c:pt idx="374">
                  <c:v>45560</c:v>
                </c:pt>
                <c:pt idx="375">
                  <c:v>45559</c:v>
                </c:pt>
                <c:pt idx="376">
                  <c:v>45558</c:v>
                </c:pt>
                <c:pt idx="377">
                  <c:v>45555</c:v>
                </c:pt>
                <c:pt idx="378">
                  <c:v>45554</c:v>
                </c:pt>
                <c:pt idx="379">
                  <c:v>45553</c:v>
                </c:pt>
                <c:pt idx="380">
                  <c:v>45552</c:v>
                </c:pt>
                <c:pt idx="381">
                  <c:v>45551</c:v>
                </c:pt>
                <c:pt idx="382">
                  <c:v>45548</c:v>
                </c:pt>
                <c:pt idx="383">
                  <c:v>45547</c:v>
                </c:pt>
                <c:pt idx="384">
                  <c:v>45546</c:v>
                </c:pt>
                <c:pt idx="385">
                  <c:v>45545</c:v>
                </c:pt>
                <c:pt idx="386">
                  <c:v>45544</c:v>
                </c:pt>
                <c:pt idx="387">
                  <c:v>45541</c:v>
                </c:pt>
                <c:pt idx="388">
                  <c:v>45540</c:v>
                </c:pt>
                <c:pt idx="389">
                  <c:v>45539</c:v>
                </c:pt>
                <c:pt idx="390">
                  <c:v>45538</c:v>
                </c:pt>
                <c:pt idx="391">
                  <c:v>45537</c:v>
                </c:pt>
                <c:pt idx="392">
                  <c:v>45534</c:v>
                </c:pt>
                <c:pt idx="393">
                  <c:v>45533</c:v>
                </c:pt>
                <c:pt idx="394">
                  <c:v>45532</c:v>
                </c:pt>
                <c:pt idx="395">
                  <c:v>45531</c:v>
                </c:pt>
                <c:pt idx="396">
                  <c:v>45530</c:v>
                </c:pt>
                <c:pt idx="397">
                  <c:v>45527</c:v>
                </c:pt>
                <c:pt idx="398">
                  <c:v>45526</c:v>
                </c:pt>
                <c:pt idx="399">
                  <c:v>45525</c:v>
                </c:pt>
                <c:pt idx="400">
                  <c:v>45524</c:v>
                </c:pt>
                <c:pt idx="401">
                  <c:v>45523</c:v>
                </c:pt>
                <c:pt idx="402">
                  <c:v>45520</c:v>
                </c:pt>
                <c:pt idx="403">
                  <c:v>45518</c:v>
                </c:pt>
                <c:pt idx="404">
                  <c:v>45517</c:v>
                </c:pt>
                <c:pt idx="405">
                  <c:v>45516</c:v>
                </c:pt>
                <c:pt idx="406">
                  <c:v>45513</c:v>
                </c:pt>
                <c:pt idx="407">
                  <c:v>45512</c:v>
                </c:pt>
                <c:pt idx="408">
                  <c:v>45511</c:v>
                </c:pt>
                <c:pt idx="409">
                  <c:v>45510</c:v>
                </c:pt>
                <c:pt idx="410">
                  <c:v>45509</c:v>
                </c:pt>
                <c:pt idx="411">
                  <c:v>45506</c:v>
                </c:pt>
                <c:pt idx="412">
                  <c:v>45505</c:v>
                </c:pt>
                <c:pt idx="413">
                  <c:v>45504</c:v>
                </c:pt>
                <c:pt idx="414">
                  <c:v>45503</c:v>
                </c:pt>
                <c:pt idx="415">
                  <c:v>45502</c:v>
                </c:pt>
                <c:pt idx="416">
                  <c:v>45499</c:v>
                </c:pt>
                <c:pt idx="417">
                  <c:v>45498</c:v>
                </c:pt>
                <c:pt idx="418">
                  <c:v>45497</c:v>
                </c:pt>
                <c:pt idx="419">
                  <c:v>45496</c:v>
                </c:pt>
                <c:pt idx="420">
                  <c:v>45495</c:v>
                </c:pt>
                <c:pt idx="421">
                  <c:v>45492</c:v>
                </c:pt>
                <c:pt idx="422">
                  <c:v>45491</c:v>
                </c:pt>
                <c:pt idx="423">
                  <c:v>45489</c:v>
                </c:pt>
                <c:pt idx="424">
                  <c:v>45488</c:v>
                </c:pt>
                <c:pt idx="425">
                  <c:v>45485</c:v>
                </c:pt>
                <c:pt idx="426">
                  <c:v>45484</c:v>
                </c:pt>
                <c:pt idx="427">
                  <c:v>45483</c:v>
                </c:pt>
                <c:pt idx="428">
                  <c:v>45482</c:v>
                </c:pt>
                <c:pt idx="429">
                  <c:v>45481</c:v>
                </c:pt>
                <c:pt idx="430">
                  <c:v>45478</c:v>
                </c:pt>
                <c:pt idx="431">
                  <c:v>45477</c:v>
                </c:pt>
                <c:pt idx="432">
                  <c:v>45476</c:v>
                </c:pt>
                <c:pt idx="433">
                  <c:v>45475</c:v>
                </c:pt>
                <c:pt idx="434">
                  <c:v>45474</c:v>
                </c:pt>
                <c:pt idx="435">
                  <c:v>45471</c:v>
                </c:pt>
                <c:pt idx="436">
                  <c:v>45470</c:v>
                </c:pt>
                <c:pt idx="437">
                  <c:v>45469</c:v>
                </c:pt>
                <c:pt idx="438">
                  <c:v>45468</c:v>
                </c:pt>
                <c:pt idx="439">
                  <c:v>45467</c:v>
                </c:pt>
                <c:pt idx="440">
                  <c:v>45464</c:v>
                </c:pt>
                <c:pt idx="441">
                  <c:v>45463</c:v>
                </c:pt>
                <c:pt idx="442">
                  <c:v>45462</c:v>
                </c:pt>
                <c:pt idx="443">
                  <c:v>45461</c:v>
                </c:pt>
                <c:pt idx="444">
                  <c:v>45457</c:v>
                </c:pt>
                <c:pt idx="445">
                  <c:v>45456</c:v>
                </c:pt>
                <c:pt idx="446">
                  <c:v>45455</c:v>
                </c:pt>
                <c:pt idx="447">
                  <c:v>45454</c:v>
                </c:pt>
                <c:pt idx="448">
                  <c:v>45453</c:v>
                </c:pt>
                <c:pt idx="449">
                  <c:v>45450</c:v>
                </c:pt>
                <c:pt idx="450">
                  <c:v>45449</c:v>
                </c:pt>
                <c:pt idx="451">
                  <c:v>45448</c:v>
                </c:pt>
                <c:pt idx="452">
                  <c:v>45447</c:v>
                </c:pt>
                <c:pt idx="453">
                  <c:v>45446</c:v>
                </c:pt>
                <c:pt idx="454">
                  <c:v>45443</c:v>
                </c:pt>
                <c:pt idx="455">
                  <c:v>45442</c:v>
                </c:pt>
                <c:pt idx="456">
                  <c:v>45441</c:v>
                </c:pt>
                <c:pt idx="457">
                  <c:v>45440</c:v>
                </c:pt>
                <c:pt idx="458">
                  <c:v>45439</c:v>
                </c:pt>
                <c:pt idx="459">
                  <c:v>45436</c:v>
                </c:pt>
                <c:pt idx="460">
                  <c:v>45435</c:v>
                </c:pt>
                <c:pt idx="461">
                  <c:v>45434</c:v>
                </c:pt>
                <c:pt idx="462">
                  <c:v>45433</c:v>
                </c:pt>
                <c:pt idx="463">
                  <c:v>45430</c:v>
                </c:pt>
                <c:pt idx="464">
                  <c:v>45429</c:v>
                </c:pt>
                <c:pt idx="465">
                  <c:v>45428</c:v>
                </c:pt>
                <c:pt idx="466">
                  <c:v>45427</c:v>
                </c:pt>
                <c:pt idx="467">
                  <c:v>45426</c:v>
                </c:pt>
                <c:pt idx="468">
                  <c:v>45425</c:v>
                </c:pt>
                <c:pt idx="469">
                  <c:v>45422</c:v>
                </c:pt>
                <c:pt idx="470">
                  <c:v>45421</c:v>
                </c:pt>
                <c:pt idx="471">
                  <c:v>45420</c:v>
                </c:pt>
                <c:pt idx="472">
                  <c:v>45419</c:v>
                </c:pt>
                <c:pt idx="473">
                  <c:v>45418</c:v>
                </c:pt>
                <c:pt idx="474">
                  <c:v>45415</c:v>
                </c:pt>
                <c:pt idx="475">
                  <c:v>45414</c:v>
                </c:pt>
                <c:pt idx="476">
                  <c:v>45412</c:v>
                </c:pt>
                <c:pt idx="477">
                  <c:v>45411</c:v>
                </c:pt>
                <c:pt idx="478">
                  <c:v>45408</c:v>
                </c:pt>
                <c:pt idx="479">
                  <c:v>45407</c:v>
                </c:pt>
                <c:pt idx="480">
                  <c:v>45406</c:v>
                </c:pt>
                <c:pt idx="481">
                  <c:v>45405</c:v>
                </c:pt>
                <c:pt idx="482">
                  <c:v>45404</c:v>
                </c:pt>
                <c:pt idx="483">
                  <c:v>45401</c:v>
                </c:pt>
                <c:pt idx="484">
                  <c:v>45400</c:v>
                </c:pt>
                <c:pt idx="485">
                  <c:v>45398</c:v>
                </c:pt>
                <c:pt idx="486">
                  <c:v>45397</c:v>
                </c:pt>
                <c:pt idx="487">
                  <c:v>45394</c:v>
                </c:pt>
                <c:pt idx="488">
                  <c:v>45392</c:v>
                </c:pt>
                <c:pt idx="489">
                  <c:v>45391</c:v>
                </c:pt>
                <c:pt idx="490">
                  <c:v>45390</c:v>
                </c:pt>
                <c:pt idx="491">
                  <c:v>45387</c:v>
                </c:pt>
                <c:pt idx="492">
                  <c:v>45386</c:v>
                </c:pt>
                <c:pt idx="493">
                  <c:v>45385</c:v>
                </c:pt>
                <c:pt idx="494">
                  <c:v>45384</c:v>
                </c:pt>
                <c:pt idx="495">
                  <c:v>45383</c:v>
                </c:pt>
                <c:pt idx="496">
                  <c:v>45379</c:v>
                </c:pt>
                <c:pt idx="497">
                  <c:v>45378</c:v>
                </c:pt>
                <c:pt idx="498">
                  <c:v>45377</c:v>
                </c:pt>
                <c:pt idx="499">
                  <c:v>45373</c:v>
                </c:pt>
                <c:pt idx="500">
                  <c:v>45372</c:v>
                </c:pt>
                <c:pt idx="501">
                  <c:v>45371</c:v>
                </c:pt>
                <c:pt idx="502">
                  <c:v>45370</c:v>
                </c:pt>
                <c:pt idx="503">
                  <c:v>45369</c:v>
                </c:pt>
                <c:pt idx="504">
                  <c:v>45366</c:v>
                </c:pt>
                <c:pt idx="505">
                  <c:v>45365</c:v>
                </c:pt>
                <c:pt idx="506">
                  <c:v>45364</c:v>
                </c:pt>
                <c:pt idx="507">
                  <c:v>45363</c:v>
                </c:pt>
                <c:pt idx="508">
                  <c:v>45362</c:v>
                </c:pt>
                <c:pt idx="509">
                  <c:v>45358</c:v>
                </c:pt>
                <c:pt idx="510">
                  <c:v>45357</c:v>
                </c:pt>
                <c:pt idx="511">
                  <c:v>45356</c:v>
                </c:pt>
                <c:pt idx="512">
                  <c:v>45355</c:v>
                </c:pt>
                <c:pt idx="513">
                  <c:v>45353</c:v>
                </c:pt>
                <c:pt idx="514">
                  <c:v>45352</c:v>
                </c:pt>
                <c:pt idx="515">
                  <c:v>45351</c:v>
                </c:pt>
                <c:pt idx="516">
                  <c:v>45350</c:v>
                </c:pt>
                <c:pt idx="517">
                  <c:v>45349</c:v>
                </c:pt>
                <c:pt idx="518">
                  <c:v>45348</c:v>
                </c:pt>
                <c:pt idx="519">
                  <c:v>45345</c:v>
                </c:pt>
                <c:pt idx="520">
                  <c:v>45344</c:v>
                </c:pt>
                <c:pt idx="521">
                  <c:v>45343</c:v>
                </c:pt>
                <c:pt idx="522">
                  <c:v>45342</c:v>
                </c:pt>
                <c:pt idx="523">
                  <c:v>45341</c:v>
                </c:pt>
                <c:pt idx="524">
                  <c:v>45338</c:v>
                </c:pt>
                <c:pt idx="525">
                  <c:v>45337</c:v>
                </c:pt>
                <c:pt idx="526">
                  <c:v>45336</c:v>
                </c:pt>
                <c:pt idx="527">
                  <c:v>45335</c:v>
                </c:pt>
                <c:pt idx="528">
                  <c:v>45334</c:v>
                </c:pt>
                <c:pt idx="529">
                  <c:v>45331</c:v>
                </c:pt>
                <c:pt idx="530">
                  <c:v>45330</c:v>
                </c:pt>
                <c:pt idx="531">
                  <c:v>45329</c:v>
                </c:pt>
                <c:pt idx="532">
                  <c:v>45328</c:v>
                </c:pt>
                <c:pt idx="533">
                  <c:v>45327</c:v>
                </c:pt>
                <c:pt idx="534">
                  <c:v>45324</c:v>
                </c:pt>
                <c:pt idx="535">
                  <c:v>45323</c:v>
                </c:pt>
                <c:pt idx="536">
                  <c:v>45322</c:v>
                </c:pt>
                <c:pt idx="537">
                  <c:v>45321</c:v>
                </c:pt>
                <c:pt idx="538">
                  <c:v>45320</c:v>
                </c:pt>
                <c:pt idx="539">
                  <c:v>45316</c:v>
                </c:pt>
                <c:pt idx="540">
                  <c:v>45315</c:v>
                </c:pt>
                <c:pt idx="541">
                  <c:v>45314</c:v>
                </c:pt>
                <c:pt idx="542">
                  <c:v>45311</c:v>
                </c:pt>
                <c:pt idx="543">
                  <c:v>45310</c:v>
                </c:pt>
                <c:pt idx="544">
                  <c:v>45309</c:v>
                </c:pt>
                <c:pt idx="545">
                  <c:v>45308</c:v>
                </c:pt>
                <c:pt idx="546">
                  <c:v>45307</c:v>
                </c:pt>
                <c:pt idx="547">
                  <c:v>45306</c:v>
                </c:pt>
                <c:pt idx="548">
                  <c:v>45303</c:v>
                </c:pt>
                <c:pt idx="549">
                  <c:v>45302</c:v>
                </c:pt>
                <c:pt idx="550">
                  <c:v>45301</c:v>
                </c:pt>
                <c:pt idx="551">
                  <c:v>45300</c:v>
                </c:pt>
                <c:pt idx="552">
                  <c:v>45299</c:v>
                </c:pt>
                <c:pt idx="553">
                  <c:v>45296</c:v>
                </c:pt>
                <c:pt idx="554">
                  <c:v>45295</c:v>
                </c:pt>
                <c:pt idx="555">
                  <c:v>45294</c:v>
                </c:pt>
                <c:pt idx="556">
                  <c:v>45293</c:v>
                </c:pt>
                <c:pt idx="557">
                  <c:v>45292</c:v>
                </c:pt>
                <c:pt idx="558">
                  <c:v>45289</c:v>
                </c:pt>
                <c:pt idx="559">
                  <c:v>45288</c:v>
                </c:pt>
                <c:pt idx="560">
                  <c:v>45287</c:v>
                </c:pt>
                <c:pt idx="561">
                  <c:v>45286</c:v>
                </c:pt>
                <c:pt idx="562">
                  <c:v>45282</c:v>
                </c:pt>
                <c:pt idx="563">
                  <c:v>45281</c:v>
                </c:pt>
                <c:pt idx="564">
                  <c:v>45280</c:v>
                </c:pt>
                <c:pt idx="565">
                  <c:v>45279</c:v>
                </c:pt>
                <c:pt idx="566">
                  <c:v>45278</c:v>
                </c:pt>
                <c:pt idx="567">
                  <c:v>45275</c:v>
                </c:pt>
                <c:pt idx="568">
                  <c:v>45274</c:v>
                </c:pt>
                <c:pt idx="569">
                  <c:v>45273</c:v>
                </c:pt>
                <c:pt idx="570">
                  <c:v>45272</c:v>
                </c:pt>
                <c:pt idx="571">
                  <c:v>45271</c:v>
                </c:pt>
                <c:pt idx="572">
                  <c:v>45268</c:v>
                </c:pt>
                <c:pt idx="573">
                  <c:v>45267</c:v>
                </c:pt>
                <c:pt idx="574">
                  <c:v>45266</c:v>
                </c:pt>
                <c:pt idx="575">
                  <c:v>45265</c:v>
                </c:pt>
                <c:pt idx="576">
                  <c:v>45264</c:v>
                </c:pt>
                <c:pt idx="577">
                  <c:v>45261</c:v>
                </c:pt>
                <c:pt idx="578">
                  <c:v>45260</c:v>
                </c:pt>
                <c:pt idx="579">
                  <c:v>45259</c:v>
                </c:pt>
                <c:pt idx="580">
                  <c:v>45258</c:v>
                </c:pt>
                <c:pt idx="581">
                  <c:v>45254</c:v>
                </c:pt>
                <c:pt idx="582">
                  <c:v>45253</c:v>
                </c:pt>
                <c:pt idx="583">
                  <c:v>45252</c:v>
                </c:pt>
                <c:pt idx="584">
                  <c:v>45251</c:v>
                </c:pt>
                <c:pt idx="585">
                  <c:v>45250</c:v>
                </c:pt>
                <c:pt idx="586">
                  <c:v>45247</c:v>
                </c:pt>
                <c:pt idx="587">
                  <c:v>45246</c:v>
                </c:pt>
                <c:pt idx="588">
                  <c:v>45245</c:v>
                </c:pt>
                <c:pt idx="589">
                  <c:v>45243</c:v>
                </c:pt>
                <c:pt idx="590">
                  <c:v>45242</c:v>
                </c:pt>
                <c:pt idx="591">
                  <c:v>45240</c:v>
                </c:pt>
                <c:pt idx="592">
                  <c:v>45239</c:v>
                </c:pt>
                <c:pt idx="593">
                  <c:v>45238</c:v>
                </c:pt>
                <c:pt idx="594">
                  <c:v>45237</c:v>
                </c:pt>
                <c:pt idx="595">
                  <c:v>45236</c:v>
                </c:pt>
                <c:pt idx="596">
                  <c:v>45233</c:v>
                </c:pt>
                <c:pt idx="597">
                  <c:v>45232</c:v>
                </c:pt>
                <c:pt idx="598">
                  <c:v>45231</c:v>
                </c:pt>
                <c:pt idx="599">
                  <c:v>45230</c:v>
                </c:pt>
                <c:pt idx="600">
                  <c:v>45229</c:v>
                </c:pt>
                <c:pt idx="601">
                  <c:v>45226</c:v>
                </c:pt>
                <c:pt idx="602">
                  <c:v>45225</c:v>
                </c:pt>
                <c:pt idx="603">
                  <c:v>45224</c:v>
                </c:pt>
                <c:pt idx="604">
                  <c:v>45222</c:v>
                </c:pt>
                <c:pt idx="605">
                  <c:v>45219</c:v>
                </c:pt>
                <c:pt idx="606">
                  <c:v>45218</c:v>
                </c:pt>
                <c:pt idx="607">
                  <c:v>45217</c:v>
                </c:pt>
                <c:pt idx="608">
                  <c:v>45216</c:v>
                </c:pt>
                <c:pt idx="609">
                  <c:v>45215</c:v>
                </c:pt>
                <c:pt idx="610">
                  <c:v>45212</c:v>
                </c:pt>
                <c:pt idx="611">
                  <c:v>45211</c:v>
                </c:pt>
                <c:pt idx="612">
                  <c:v>45210</c:v>
                </c:pt>
                <c:pt idx="613">
                  <c:v>45209</c:v>
                </c:pt>
                <c:pt idx="614">
                  <c:v>45208</c:v>
                </c:pt>
                <c:pt idx="615">
                  <c:v>45205</c:v>
                </c:pt>
                <c:pt idx="616">
                  <c:v>45204</c:v>
                </c:pt>
                <c:pt idx="617">
                  <c:v>45203</c:v>
                </c:pt>
                <c:pt idx="618">
                  <c:v>45202</c:v>
                </c:pt>
                <c:pt idx="619">
                  <c:v>45198</c:v>
                </c:pt>
                <c:pt idx="620">
                  <c:v>45197</c:v>
                </c:pt>
                <c:pt idx="621">
                  <c:v>45196</c:v>
                </c:pt>
                <c:pt idx="622">
                  <c:v>45195</c:v>
                </c:pt>
                <c:pt idx="623">
                  <c:v>45194</c:v>
                </c:pt>
                <c:pt idx="624">
                  <c:v>45191</c:v>
                </c:pt>
                <c:pt idx="625">
                  <c:v>45190</c:v>
                </c:pt>
                <c:pt idx="626">
                  <c:v>45189</c:v>
                </c:pt>
                <c:pt idx="627">
                  <c:v>45187</c:v>
                </c:pt>
                <c:pt idx="628">
                  <c:v>45184</c:v>
                </c:pt>
                <c:pt idx="629">
                  <c:v>45183</c:v>
                </c:pt>
                <c:pt idx="630">
                  <c:v>45182</c:v>
                </c:pt>
                <c:pt idx="631">
                  <c:v>45181</c:v>
                </c:pt>
                <c:pt idx="632">
                  <c:v>45180</c:v>
                </c:pt>
                <c:pt idx="633">
                  <c:v>45177</c:v>
                </c:pt>
                <c:pt idx="634">
                  <c:v>45176</c:v>
                </c:pt>
                <c:pt idx="635">
                  <c:v>45175</c:v>
                </c:pt>
                <c:pt idx="636">
                  <c:v>45174</c:v>
                </c:pt>
                <c:pt idx="637">
                  <c:v>45173</c:v>
                </c:pt>
                <c:pt idx="638">
                  <c:v>45170</c:v>
                </c:pt>
                <c:pt idx="639">
                  <c:v>45169</c:v>
                </c:pt>
                <c:pt idx="640">
                  <c:v>45168</c:v>
                </c:pt>
                <c:pt idx="641">
                  <c:v>45167</c:v>
                </c:pt>
                <c:pt idx="642">
                  <c:v>45166</c:v>
                </c:pt>
                <c:pt idx="643">
                  <c:v>45163</c:v>
                </c:pt>
                <c:pt idx="644">
                  <c:v>45162</c:v>
                </c:pt>
                <c:pt idx="645">
                  <c:v>45161</c:v>
                </c:pt>
                <c:pt idx="646">
                  <c:v>45160</c:v>
                </c:pt>
                <c:pt idx="647">
                  <c:v>45159</c:v>
                </c:pt>
                <c:pt idx="648">
                  <c:v>45156</c:v>
                </c:pt>
                <c:pt idx="649">
                  <c:v>45155</c:v>
                </c:pt>
                <c:pt idx="650">
                  <c:v>45154</c:v>
                </c:pt>
                <c:pt idx="651">
                  <c:v>45152</c:v>
                </c:pt>
                <c:pt idx="652">
                  <c:v>45149</c:v>
                </c:pt>
                <c:pt idx="653">
                  <c:v>45148</c:v>
                </c:pt>
                <c:pt idx="654">
                  <c:v>45147</c:v>
                </c:pt>
                <c:pt idx="655">
                  <c:v>45146</c:v>
                </c:pt>
                <c:pt idx="656">
                  <c:v>45145</c:v>
                </c:pt>
                <c:pt idx="657">
                  <c:v>45142</c:v>
                </c:pt>
                <c:pt idx="658">
                  <c:v>45141</c:v>
                </c:pt>
                <c:pt idx="659">
                  <c:v>45140</c:v>
                </c:pt>
                <c:pt idx="660">
                  <c:v>45139</c:v>
                </c:pt>
                <c:pt idx="661">
                  <c:v>45138</c:v>
                </c:pt>
                <c:pt idx="662">
                  <c:v>45135</c:v>
                </c:pt>
                <c:pt idx="663">
                  <c:v>45134</c:v>
                </c:pt>
                <c:pt idx="664">
                  <c:v>45133</c:v>
                </c:pt>
                <c:pt idx="665">
                  <c:v>45132</c:v>
                </c:pt>
                <c:pt idx="666">
                  <c:v>45131</c:v>
                </c:pt>
                <c:pt idx="667">
                  <c:v>45128</c:v>
                </c:pt>
                <c:pt idx="668">
                  <c:v>45127</c:v>
                </c:pt>
                <c:pt idx="669">
                  <c:v>45126</c:v>
                </c:pt>
                <c:pt idx="670">
                  <c:v>45125</c:v>
                </c:pt>
                <c:pt idx="671">
                  <c:v>45124</c:v>
                </c:pt>
                <c:pt idx="672">
                  <c:v>45121</c:v>
                </c:pt>
                <c:pt idx="673">
                  <c:v>45120</c:v>
                </c:pt>
                <c:pt idx="674">
                  <c:v>45119</c:v>
                </c:pt>
                <c:pt idx="675">
                  <c:v>45118</c:v>
                </c:pt>
                <c:pt idx="676">
                  <c:v>45117</c:v>
                </c:pt>
                <c:pt idx="677">
                  <c:v>45114</c:v>
                </c:pt>
                <c:pt idx="678">
                  <c:v>45113</c:v>
                </c:pt>
                <c:pt idx="679">
                  <c:v>45112</c:v>
                </c:pt>
                <c:pt idx="680">
                  <c:v>45111</c:v>
                </c:pt>
                <c:pt idx="681">
                  <c:v>45110</c:v>
                </c:pt>
                <c:pt idx="682">
                  <c:v>45107</c:v>
                </c:pt>
                <c:pt idx="683">
                  <c:v>45105</c:v>
                </c:pt>
                <c:pt idx="684">
                  <c:v>45104</c:v>
                </c:pt>
                <c:pt idx="685">
                  <c:v>45103</c:v>
                </c:pt>
                <c:pt idx="686">
                  <c:v>45100</c:v>
                </c:pt>
                <c:pt idx="687">
                  <c:v>45099</c:v>
                </c:pt>
                <c:pt idx="688">
                  <c:v>45098</c:v>
                </c:pt>
                <c:pt idx="689">
                  <c:v>45097</c:v>
                </c:pt>
                <c:pt idx="690">
                  <c:v>45096</c:v>
                </c:pt>
                <c:pt idx="691">
                  <c:v>45093</c:v>
                </c:pt>
                <c:pt idx="692">
                  <c:v>45092</c:v>
                </c:pt>
                <c:pt idx="693">
                  <c:v>45091</c:v>
                </c:pt>
                <c:pt idx="694">
                  <c:v>45090</c:v>
                </c:pt>
                <c:pt idx="695">
                  <c:v>45089</c:v>
                </c:pt>
                <c:pt idx="696">
                  <c:v>45086</c:v>
                </c:pt>
                <c:pt idx="697">
                  <c:v>45085</c:v>
                </c:pt>
                <c:pt idx="698">
                  <c:v>45084</c:v>
                </c:pt>
                <c:pt idx="699">
                  <c:v>45083</c:v>
                </c:pt>
                <c:pt idx="700">
                  <c:v>45082</c:v>
                </c:pt>
                <c:pt idx="701">
                  <c:v>45079</c:v>
                </c:pt>
                <c:pt idx="702">
                  <c:v>45078</c:v>
                </c:pt>
                <c:pt idx="703">
                  <c:v>45077</c:v>
                </c:pt>
                <c:pt idx="704">
                  <c:v>45076</c:v>
                </c:pt>
                <c:pt idx="705">
                  <c:v>45075</c:v>
                </c:pt>
                <c:pt idx="706">
                  <c:v>45072</c:v>
                </c:pt>
                <c:pt idx="707">
                  <c:v>45071</c:v>
                </c:pt>
                <c:pt idx="708">
                  <c:v>45070</c:v>
                </c:pt>
                <c:pt idx="709">
                  <c:v>45069</c:v>
                </c:pt>
                <c:pt idx="710">
                  <c:v>45068</c:v>
                </c:pt>
                <c:pt idx="711">
                  <c:v>45065</c:v>
                </c:pt>
                <c:pt idx="712">
                  <c:v>45064</c:v>
                </c:pt>
                <c:pt idx="713">
                  <c:v>45063</c:v>
                </c:pt>
                <c:pt idx="714">
                  <c:v>45062</c:v>
                </c:pt>
                <c:pt idx="715">
                  <c:v>45061</c:v>
                </c:pt>
                <c:pt idx="716">
                  <c:v>45058</c:v>
                </c:pt>
                <c:pt idx="717">
                  <c:v>45057</c:v>
                </c:pt>
                <c:pt idx="718">
                  <c:v>45056</c:v>
                </c:pt>
                <c:pt idx="719">
                  <c:v>45055</c:v>
                </c:pt>
                <c:pt idx="720">
                  <c:v>45054</c:v>
                </c:pt>
                <c:pt idx="721">
                  <c:v>45051</c:v>
                </c:pt>
                <c:pt idx="722">
                  <c:v>45050</c:v>
                </c:pt>
                <c:pt idx="723">
                  <c:v>45049</c:v>
                </c:pt>
                <c:pt idx="724">
                  <c:v>45048</c:v>
                </c:pt>
                <c:pt idx="725">
                  <c:v>45044</c:v>
                </c:pt>
                <c:pt idx="726">
                  <c:v>45043</c:v>
                </c:pt>
                <c:pt idx="727">
                  <c:v>45042</c:v>
                </c:pt>
                <c:pt idx="728">
                  <c:v>45041</c:v>
                </c:pt>
                <c:pt idx="729">
                  <c:v>45040</c:v>
                </c:pt>
                <c:pt idx="730">
                  <c:v>45037</c:v>
                </c:pt>
                <c:pt idx="731">
                  <c:v>45036</c:v>
                </c:pt>
                <c:pt idx="732">
                  <c:v>45035</c:v>
                </c:pt>
                <c:pt idx="733">
                  <c:v>45034</c:v>
                </c:pt>
                <c:pt idx="734">
                  <c:v>45033</c:v>
                </c:pt>
                <c:pt idx="735">
                  <c:v>45029</c:v>
                </c:pt>
                <c:pt idx="736">
                  <c:v>45028</c:v>
                </c:pt>
                <c:pt idx="737">
                  <c:v>45027</c:v>
                </c:pt>
                <c:pt idx="738">
                  <c:v>45026</c:v>
                </c:pt>
                <c:pt idx="739">
                  <c:v>45022</c:v>
                </c:pt>
                <c:pt idx="740">
                  <c:v>45021</c:v>
                </c:pt>
                <c:pt idx="741">
                  <c:v>45019</c:v>
                </c:pt>
                <c:pt idx="742">
                  <c:v>45016</c:v>
                </c:pt>
                <c:pt idx="743">
                  <c:v>45014</c:v>
                </c:pt>
                <c:pt idx="744">
                  <c:v>45013</c:v>
                </c:pt>
                <c:pt idx="745">
                  <c:v>45012</c:v>
                </c:pt>
                <c:pt idx="746">
                  <c:v>45009</c:v>
                </c:pt>
                <c:pt idx="747">
                  <c:v>45008</c:v>
                </c:pt>
                <c:pt idx="748">
                  <c:v>45007</c:v>
                </c:pt>
                <c:pt idx="749">
                  <c:v>45006</c:v>
                </c:pt>
                <c:pt idx="750">
                  <c:v>45005</c:v>
                </c:pt>
                <c:pt idx="751">
                  <c:v>45002</c:v>
                </c:pt>
                <c:pt idx="752">
                  <c:v>45001</c:v>
                </c:pt>
                <c:pt idx="753">
                  <c:v>45000</c:v>
                </c:pt>
                <c:pt idx="754">
                  <c:v>44999</c:v>
                </c:pt>
                <c:pt idx="755">
                  <c:v>44998</c:v>
                </c:pt>
                <c:pt idx="756">
                  <c:v>44995</c:v>
                </c:pt>
                <c:pt idx="757">
                  <c:v>44994</c:v>
                </c:pt>
                <c:pt idx="758">
                  <c:v>44993</c:v>
                </c:pt>
                <c:pt idx="759">
                  <c:v>44991</c:v>
                </c:pt>
                <c:pt idx="760">
                  <c:v>44988</c:v>
                </c:pt>
                <c:pt idx="761">
                  <c:v>44987</c:v>
                </c:pt>
                <c:pt idx="762">
                  <c:v>44986</c:v>
                </c:pt>
                <c:pt idx="763">
                  <c:v>44985</c:v>
                </c:pt>
                <c:pt idx="764">
                  <c:v>44984</c:v>
                </c:pt>
                <c:pt idx="765">
                  <c:v>44981</c:v>
                </c:pt>
                <c:pt idx="766">
                  <c:v>44980</c:v>
                </c:pt>
                <c:pt idx="767">
                  <c:v>44979</c:v>
                </c:pt>
                <c:pt idx="768">
                  <c:v>44978</c:v>
                </c:pt>
                <c:pt idx="769">
                  <c:v>44977</c:v>
                </c:pt>
                <c:pt idx="770">
                  <c:v>44974</c:v>
                </c:pt>
                <c:pt idx="771">
                  <c:v>44973</c:v>
                </c:pt>
                <c:pt idx="772">
                  <c:v>44972</c:v>
                </c:pt>
                <c:pt idx="773">
                  <c:v>44971</c:v>
                </c:pt>
                <c:pt idx="774">
                  <c:v>44970</c:v>
                </c:pt>
                <c:pt idx="775">
                  <c:v>44967</c:v>
                </c:pt>
                <c:pt idx="776">
                  <c:v>44966</c:v>
                </c:pt>
                <c:pt idx="777">
                  <c:v>44965</c:v>
                </c:pt>
                <c:pt idx="778">
                  <c:v>44964</c:v>
                </c:pt>
                <c:pt idx="779">
                  <c:v>44963</c:v>
                </c:pt>
                <c:pt idx="780">
                  <c:v>44960</c:v>
                </c:pt>
                <c:pt idx="781">
                  <c:v>44959</c:v>
                </c:pt>
                <c:pt idx="782">
                  <c:v>44958</c:v>
                </c:pt>
                <c:pt idx="783">
                  <c:v>44957</c:v>
                </c:pt>
                <c:pt idx="784">
                  <c:v>44956</c:v>
                </c:pt>
                <c:pt idx="785">
                  <c:v>44953</c:v>
                </c:pt>
                <c:pt idx="786">
                  <c:v>44951</c:v>
                </c:pt>
                <c:pt idx="787">
                  <c:v>44950</c:v>
                </c:pt>
                <c:pt idx="788">
                  <c:v>44949</c:v>
                </c:pt>
                <c:pt idx="789">
                  <c:v>44946</c:v>
                </c:pt>
                <c:pt idx="790">
                  <c:v>44945</c:v>
                </c:pt>
                <c:pt idx="791">
                  <c:v>44944</c:v>
                </c:pt>
                <c:pt idx="792">
                  <c:v>44943</c:v>
                </c:pt>
                <c:pt idx="793">
                  <c:v>44942</c:v>
                </c:pt>
                <c:pt idx="794">
                  <c:v>44939</c:v>
                </c:pt>
                <c:pt idx="795">
                  <c:v>44938</c:v>
                </c:pt>
                <c:pt idx="796">
                  <c:v>44937</c:v>
                </c:pt>
                <c:pt idx="797">
                  <c:v>44936</c:v>
                </c:pt>
                <c:pt idx="798">
                  <c:v>44935</c:v>
                </c:pt>
                <c:pt idx="799">
                  <c:v>44932</c:v>
                </c:pt>
                <c:pt idx="800">
                  <c:v>44931</c:v>
                </c:pt>
                <c:pt idx="801">
                  <c:v>44930</c:v>
                </c:pt>
                <c:pt idx="802">
                  <c:v>44929</c:v>
                </c:pt>
                <c:pt idx="803">
                  <c:v>44928</c:v>
                </c:pt>
                <c:pt idx="804">
                  <c:v>44925</c:v>
                </c:pt>
                <c:pt idx="805">
                  <c:v>44924</c:v>
                </c:pt>
                <c:pt idx="806">
                  <c:v>44923</c:v>
                </c:pt>
                <c:pt idx="807">
                  <c:v>44922</c:v>
                </c:pt>
                <c:pt idx="808">
                  <c:v>44921</c:v>
                </c:pt>
                <c:pt idx="809">
                  <c:v>44918</c:v>
                </c:pt>
                <c:pt idx="810">
                  <c:v>44917</c:v>
                </c:pt>
                <c:pt idx="811">
                  <c:v>44916</c:v>
                </c:pt>
                <c:pt idx="812">
                  <c:v>44915</c:v>
                </c:pt>
                <c:pt idx="813">
                  <c:v>44914</c:v>
                </c:pt>
                <c:pt idx="814">
                  <c:v>44911</c:v>
                </c:pt>
                <c:pt idx="815">
                  <c:v>44910</c:v>
                </c:pt>
                <c:pt idx="816">
                  <c:v>44909</c:v>
                </c:pt>
                <c:pt idx="817">
                  <c:v>44908</c:v>
                </c:pt>
                <c:pt idx="818">
                  <c:v>44907</c:v>
                </c:pt>
                <c:pt idx="819">
                  <c:v>44904</c:v>
                </c:pt>
                <c:pt idx="820">
                  <c:v>44903</c:v>
                </c:pt>
                <c:pt idx="821">
                  <c:v>44902</c:v>
                </c:pt>
                <c:pt idx="822">
                  <c:v>44901</c:v>
                </c:pt>
                <c:pt idx="823">
                  <c:v>44900</c:v>
                </c:pt>
                <c:pt idx="824">
                  <c:v>44897</c:v>
                </c:pt>
                <c:pt idx="825">
                  <c:v>44896</c:v>
                </c:pt>
                <c:pt idx="826">
                  <c:v>44895</c:v>
                </c:pt>
                <c:pt idx="827">
                  <c:v>44894</c:v>
                </c:pt>
                <c:pt idx="828">
                  <c:v>44893</c:v>
                </c:pt>
                <c:pt idx="829">
                  <c:v>44890</c:v>
                </c:pt>
                <c:pt idx="830">
                  <c:v>44889</c:v>
                </c:pt>
                <c:pt idx="831">
                  <c:v>44888</c:v>
                </c:pt>
                <c:pt idx="832">
                  <c:v>44887</c:v>
                </c:pt>
                <c:pt idx="833">
                  <c:v>44886</c:v>
                </c:pt>
                <c:pt idx="834">
                  <c:v>44883</c:v>
                </c:pt>
                <c:pt idx="835">
                  <c:v>44882</c:v>
                </c:pt>
                <c:pt idx="836">
                  <c:v>44881</c:v>
                </c:pt>
                <c:pt idx="837">
                  <c:v>44880</c:v>
                </c:pt>
                <c:pt idx="838">
                  <c:v>44879</c:v>
                </c:pt>
                <c:pt idx="839">
                  <c:v>44876</c:v>
                </c:pt>
                <c:pt idx="840">
                  <c:v>44875</c:v>
                </c:pt>
                <c:pt idx="841">
                  <c:v>44874</c:v>
                </c:pt>
                <c:pt idx="842">
                  <c:v>44872</c:v>
                </c:pt>
                <c:pt idx="843">
                  <c:v>44869</c:v>
                </c:pt>
                <c:pt idx="844">
                  <c:v>44868</c:v>
                </c:pt>
                <c:pt idx="845">
                  <c:v>44867</c:v>
                </c:pt>
                <c:pt idx="846">
                  <c:v>44866</c:v>
                </c:pt>
                <c:pt idx="847">
                  <c:v>44865</c:v>
                </c:pt>
                <c:pt idx="848">
                  <c:v>44862</c:v>
                </c:pt>
                <c:pt idx="849">
                  <c:v>44861</c:v>
                </c:pt>
                <c:pt idx="850">
                  <c:v>44859</c:v>
                </c:pt>
                <c:pt idx="851">
                  <c:v>44858</c:v>
                </c:pt>
                <c:pt idx="852">
                  <c:v>44855</c:v>
                </c:pt>
                <c:pt idx="853">
                  <c:v>44854</c:v>
                </c:pt>
                <c:pt idx="854">
                  <c:v>44853</c:v>
                </c:pt>
                <c:pt idx="855">
                  <c:v>44852</c:v>
                </c:pt>
                <c:pt idx="856">
                  <c:v>44851</c:v>
                </c:pt>
                <c:pt idx="857">
                  <c:v>44848</c:v>
                </c:pt>
                <c:pt idx="858">
                  <c:v>44847</c:v>
                </c:pt>
                <c:pt idx="859">
                  <c:v>44846</c:v>
                </c:pt>
                <c:pt idx="860">
                  <c:v>44845</c:v>
                </c:pt>
                <c:pt idx="861">
                  <c:v>44844</c:v>
                </c:pt>
                <c:pt idx="862">
                  <c:v>44841</c:v>
                </c:pt>
                <c:pt idx="863">
                  <c:v>44840</c:v>
                </c:pt>
                <c:pt idx="864">
                  <c:v>44838</c:v>
                </c:pt>
                <c:pt idx="865">
                  <c:v>44837</c:v>
                </c:pt>
                <c:pt idx="866">
                  <c:v>44834</c:v>
                </c:pt>
                <c:pt idx="867">
                  <c:v>44833</c:v>
                </c:pt>
                <c:pt idx="868">
                  <c:v>44832</c:v>
                </c:pt>
                <c:pt idx="869">
                  <c:v>44831</c:v>
                </c:pt>
                <c:pt idx="870">
                  <c:v>44830</c:v>
                </c:pt>
                <c:pt idx="871">
                  <c:v>44827</c:v>
                </c:pt>
                <c:pt idx="872">
                  <c:v>44826</c:v>
                </c:pt>
                <c:pt idx="873">
                  <c:v>44825</c:v>
                </c:pt>
                <c:pt idx="874">
                  <c:v>44824</c:v>
                </c:pt>
                <c:pt idx="875">
                  <c:v>44823</c:v>
                </c:pt>
                <c:pt idx="876">
                  <c:v>44820</c:v>
                </c:pt>
                <c:pt idx="877">
                  <c:v>44819</c:v>
                </c:pt>
                <c:pt idx="878">
                  <c:v>44818</c:v>
                </c:pt>
                <c:pt idx="879">
                  <c:v>44817</c:v>
                </c:pt>
                <c:pt idx="880">
                  <c:v>44816</c:v>
                </c:pt>
                <c:pt idx="881">
                  <c:v>44813</c:v>
                </c:pt>
                <c:pt idx="882">
                  <c:v>44812</c:v>
                </c:pt>
                <c:pt idx="883">
                  <c:v>44811</c:v>
                </c:pt>
                <c:pt idx="884">
                  <c:v>44810</c:v>
                </c:pt>
                <c:pt idx="885">
                  <c:v>44809</c:v>
                </c:pt>
                <c:pt idx="886">
                  <c:v>44806</c:v>
                </c:pt>
                <c:pt idx="887">
                  <c:v>44805</c:v>
                </c:pt>
                <c:pt idx="888">
                  <c:v>44803</c:v>
                </c:pt>
                <c:pt idx="889">
                  <c:v>44802</c:v>
                </c:pt>
                <c:pt idx="890">
                  <c:v>44799</c:v>
                </c:pt>
                <c:pt idx="891">
                  <c:v>44798</c:v>
                </c:pt>
                <c:pt idx="892">
                  <c:v>44797</c:v>
                </c:pt>
                <c:pt idx="893">
                  <c:v>44796</c:v>
                </c:pt>
                <c:pt idx="894">
                  <c:v>44795</c:v>
                </c:pt>
                <c:pt idx="895">
                  <c:v>44792</c:v>
                </c:pt>
                <c:pt idx="896">
                  <c:v>44791</c:v>
                </c:pt>
                <c:pt idx="897">
                  <c:v>44790</c:v>
                </c:pt>
                <c:pt idx="898">
                  <c:v>44789</c:v>
                </c:pt>
                <c:pt idx="899">
                  <c:v>44785</c:v>
                </c:pt>
                <c:pt idx="900">
                  <c:v>44784</c:v>
                </c:pt>
                <c:pt idx="901">
                  <c:v>44783</c:v>
                </c:pt>
                <c:pt idx="902">
                  <c:v>44781</c:v>
                </c:pt>
                <c:pt idx="903">
                  <c:v>44778</c:v>
                </c:pt>
                <c:pt idx="904">
                  <c:v>44777</c:v>
                </c:pt>
                <c:pt idx="905">
                  <c:v>44776</c:v>
                </c:pt>
                <c:pt idx="906">
                  <c:v>44775</c:v>
                </c:pt>
                <c:pt idx="907">
                  <c:v>44774</c:v>
                </c:pt>
                <c:pt idx="908">
                  <c:v>44771</c:v>
                </c:pt>
                <c:pt idx="909">
                  <c:v>44770</c:v>
                </c:pt>
                <c:pt idx="910">
                  <c:v>44769</c:v>
                </c:pt>
                <c:pt idx="911">
                  <c:v>44768</c:v>
                </c:pt>
                <c:pt idx="912">
                  <c:v>44767</c:v>
                </c:pt>
                <c:pt idx="913">
                  <c:v>44764</c:v>
                </c:pt>
                <c:pt idx="914">
                  <c:v>44763</c:v>
                </c:pt>
                <c:pt idx="915">
                  <c:v>44762</c:v>
                </c:pt>
                <c:pt idx="916">
                  <c:v>44761</c:v>
                </c:pt>
                <c:pt idx="917">
                  <c:v>44760</c:v>
                </c:pt>
                <c:pt idx="918">
                  <c:v>44757</c:v>
                </c:pt>
                <c:pt idx="919">
                  <c:v>44756</c:v>
                </c:pt>
                <c:pt idx="920">
                  <c:v>44755</c:v>
                </c:pt>
                <c:pt idx="921">
                  <c:v>44754</c:v>
                </c:pt>
                <c:pt idx="922">
                  <c:v>44753</c:v>
                </c:pt>
                <c:pt idx="923">
                  <c:v>44750</c:v>
                </c:pt>
                <c:pt idx="924">
                  <c:v>44749</c:v>
                </c:pt>
                <c:pt idx="925">
                  <c:v>44748</c:v>
                </c:pt>
                <c:pt idx="926">
                  <c:v>44747</c:v>
                </c:pt>
                <c:pt idx="927">
                  <c:v>44746</c:v>
                </c:pt>
                <c:pt idx="928">
                  <c:v>44743</c:v>
                </c:pt>
                <c:pt idx="929">
                  <c:v>44742</c:v>
                </c:pt>
                <c:pt idx="930">
                  <c:v>44741</c:v>
                </c:pt>
                <c:pt idx="931">
                  <c:v>44740</c:v>
                </c:pt>
                <c:pt idx="932">
                  <c:v>44739</c:v>
                </c:pt>
                <c:pt idx="933">
                  <c:v>44736</c:v>
                </c:pt>
                <c:pt idx="934">
                  <c:v>44735</c:v>
                </c:pt>
                <c:pt idx="935">
                  <c:v>44734</c:v>
                </c:pt>
                <c:pt idx="936">
                  <c:v>44733</c:v>
                </c:pt>
                <c:pt idx="937">
                  <c:v>44732</c:v>
                </c:pt>
                <c:pt idx="938">
                  <c:v>44729</c:v>
                </c:pt>
                <c:pt idx="939">
                  <c:v>44728</c:v>
                </c:pt>
                <c:pt idx="940">
                  <c:v>44727</c:v>
                </c:pt>
                <c:pt idx="941">
                  <c:v>44726</c:v>
                </c:pt>
                <c:pt idx="942">
                  <c:v>44725</c:v>
                </c:pt>
                <c:pt idx="943">
                  <c:v>44722</c:v>
                </c:pt>
                <c:pt idx="944">
                  <c:v>44721</c:v>
                </c:pt>
                <c:pt idx="945">
                  <c:v>44720</c:v>
                </c:pt>
                <c:pt idx="946">
                  <c:v>44719</c:v>
                </c:pt>
                <c:pt idx="947">
                  <c:v>44718</c:v>
                </c:pt>
                <c:pt idx="948">
                  <c:v>44715</c:v>
                </c:pt>
                <c:pt idx="949">
                  <c:v>44714</c:v>
                </c:pt>
                <c:pt idx="950">
                  <c:v>44713</c:v>
                </c:pt>
                <c:pt idx="951">
                  <c:v>44712</c:v>
                </c:pt>
                <c:pt idx="952">
                  <c:v>44711</c:v>
                </c:pt>
                <c:pt idx="953">
                  <c:v>44708</c:v>
                </c:pt>
                <c:pt idx="954">
                  <c:v>44707</c:v>
                </c:pt>
                <c:pt idx="955">
                  <c:v>44706</c:v>
                </c:pt>
                <c:pt idx="956">
                  <c:v>44705</c:v>
                </c:pt>
                <c:pt idx="957">
                  <c:v>44704</c:v>
                </c:pt>
                <c:pt idx="958">
                  <c:v>44701</c:v>
                </c:pt>
                <c:pt idx="959">
                  <c:v>44700</c:v>
                </c:pt>
                <c:pt idx="960">
                  <c:v>44699</c:v>
                </c:pt>
                <c:pt idx="961">
                  <c:v>44698</c:v>
                </c:pt>
                <c:pt idx="962">
                  <c:v>44697</c:v>
                </c:pt>
                <c:pt idx="963">
                  <c:v>44694</c:v>
                </c:pt>
                <c:pt idx="964">
                  <c:v>44693</c:v>
                </c:pt>
                <c:pt idx="965">
                  <c:v>44692</c:v>
                </c:pt>
                <c:pt idx="966">
                  <c:v>44691</c:v>
                </c:pt>
                <c:pt idx="967">
                  <c:v>44690</c:v>
                </c:pt>
                <c:pt idx="968">
                  <c:v>44687</c:v>
                </c:pt>
                <c:pt idx="969">
                  <c:v>44686</c:v>
                </c:pt>
                <c:pt idx="970">
                  <c:v>44685</c:v>
                </c:pt>
                <c:pt idx="971">
                  <c:v>44683</c:v>
                </c:pt>
                <c:pt idx="972">
                  <c:v>44680</c:v>
                </c:pt>
                <c:pt idx="973">
                  <c:v>44679</c:v>
                </c:pt>
                <c:pt idx="974">
                  <c:v>44678</c:v>
                </c:pt>
                <c:pt idx="975">
                  <c:v>44677</c:v>
                </c:pt>
                <c:pt idx="976">
                  <c:v>44676</c:v>
                </c:pt>
                <c:pt idx="977">
                  <c:v>44673</c:v>
                </c:pt>
                <c:pt idx="978">
                  <c:v>44672</c:v>
                </c:pt>
                <c:pt idx="979">
                  <c:v>44671</c:v>
                </c:pt>
                <c:pt idx="980">
                  <c:v>44670</c:v>
                </c:pt>
                <c:pt idx="981">
                  <c:v>44669</c:v>
                </c:pt>
                <c:pt idx="982">
                  <c:v>44664</c:v>
                </c:pt>
                <c:pt idx="983">
                  <c:v>44663</c:v>
                </c:pt>
                <c:pt idx="984">
                  <c:v>44662</c:v>
                </c:pt>
                <c:pt idx="985">
                  <c:v>44659</c:v>
                </c:pt>
                <c:pt idx="986">
                  <c:v>44658</c:v>
                </c:pt>
                <c:pt idx="987">
                  <c:v>44657</c:v>
                </c:pt>
                <c:pt idx="988">
                  <c:v>44656</c:v>
                </c:pt>
                <c:pt idx="989">
                  <c:v>44655</c:v>
                </c:pt>
                <c:pt idx="990">
                  <c:v>44652</c:v>
                </c:pt>
                <c:pt idx="991">
                  <c:v>44651</c:v>
                </c:pt>
                <c:pt idx="992">
                  <c:v>44650</c:v>
                </c:pt>
                <c:pt idx="993">
                  <c:v>44649</c:v>
                </c:pt>
                <c:pt idx="994">
                  <c:v>44648</c:v>
                </c:pt>
                <c:pt idx="995">
                  <c:v>44645</c:v>
                </c:pt>
                <c:pt idx="996">
                  <c:v>44644</c:v>
                </c:pt>
                <c:pt idx="997">
                  <c:v>44643</c:v>
                </c:pt>
                <c:pt idx="998">
                  <c:v>44642</c:v>
                </c:pt>
                <c:pt idx="999">
                  <c:v>44641</c:v>
                </c:pt>
                <c:pt idx="1000">
                  <c:v>44637</c:v>
                </c:pt>
                <c:pt idx="1001">
                  <c:v>44636</c:v>
                </c:pt>
                <c:pt idx="1002">
                  <c:v>44635</c:v>
                </c:pt>
                <c:pt idx="1003">
                  <c:v>44634</c:v>
                </c:pt>
                <c:pt idx="1004">
                  <c:v>44631</c:v>
                </c:pt>
                <c:pt idx="1005">
                  <c:v>44630</c:v>
                </c:pt>
                <c:pt idx="1006">
                  <c:v>44629</c:v>
                </c:pt>
                <c:pt idx="1007">
                  <c:v>44628</c:v>
                </c:pt>
                <c:pt idx="1008">
                  <c:v>44627</c:v>
                </c:pt>
                <c:pt idx="1009">
                  <c:v>44624</c:v>
                </c:pt>
                <c:pt idx="1010">
                  <c:v>44623</c:v>
                </c:pt>
                <c:pt idx="1011">
                  <c:v>44622</c:v>
                </c:pt>
                <c:pt idx="1012">
                  <c:v>44620</c:v>
                </c:pt>
                <c:pt idx="1013">
                  <c:v>44617</c:v>
                </c:pt>
                <c:pt idx="1014">
                  <c:v>44616</c:v>
                </c:pt>
                <c:pt idx="1015">
                  <c:v>44615</c:v>
                </c:pt>
                <c:pt idx="1016">
                  <c:v>44614</c:v>
                </c:pt>
                <c:pt idx="1017">
                  <c:v>44613</c:v>
                </c:pt>
                <c:pt idx="1018">
                  <c:v>44610</c:v>
                </c:pt>
                <c:pt idx="1019">
                  <c:v>44609</c:v>
                </c:pt>
                <c:pt idx="1020">
                  <c:v>44608</c:v>
                </c:pt>
                <c:pt idx="1021">
                  <c:v>44607</c:v>
                </c:pt>
                <c:pt idx="1022">
                  <c:v>44606</c:v>
                </c:pt>
                <c:pt idx="1023">
                  <c:v>44603</c:v>
                </c:pt>
                <c:pt idx="1024">
                  <c:v>44602</c:v>
                </c:pt>
                <c:pt idx="1025">
                  <c:v>44601</c:v>
                </c:pt>
                <c:pt idx="1026">
                  <c:v>44600</c:v>
                </c:pt>
                <c:pt idx="1027">
                  <c:v>44599</c:v>
                </c:pt>
                <c:pt idx="1028">
                  <c:v>44596</c:v>
                </c:pt>
                <c:pt idx="1029">
                  <c:v>44595</c:v>
                </c:pt>
                <c:pt idx="1030">
                  <c:v>44594</c:v>
                </c:pt>
                <c:pt idx="1031">
                  <c:v>44593</c:v>
                </c:pt>
                <c:pt idx="1032">
                  <c:v>44592</c:v>
                </c:pt>
                <c:pt idx="1033">
                  <c:v>44589</c:v>
                </c:pt>
                <c:pt idx="1034">
                  <c:v>44588</c:v>
                </c:pt>
                <c:pt idx="1035">
                  <c:v>44586</c:v>
                </c:pt>
                <c:pt idx="1036">
                  <c:v>44585</c:v>
                </c:pt>
                <c:pt idx="1037">
                  <c:v>44582</c:v>
                </c:pt>
                <c:pt idx="1038">
                  <c:v>44581</c:v>
                </c:pt>
                <c:pt idx="1039">
                  <c:v>44580</c:v>
                </c:pt>
                <c:pt idx="1040">
                  <c:v>44579</c:v>
                </c:pt>
                <c:pt idx="1041">
                  <c:v>44578</c:v>
                </c:pt>
                <c:pt idx="1042">
                  <c:v>44575</c:v>
                </c:pt>
                <c:pt idx="1043">
                  <c:v>44574</c:v>
                </c:pt>
                <c:pt idx="1044">
                  <c:v>44573</c:v>
                </c:pt>
                <c:pt idx="1045">
                  <c:v>44572</c:v>
                </c:pt>
                <c:pt idx="1046">
                  <c:v>44571</c:v>
                </c:pt>
                <c:pt idx="1047">
                  <c:v>44568</c:v>
                </c:pt>
                <c:pt idx="1048">
                  <c:v>44567</c:v>
                </c:pt>
                <c:pt idx="1049">
                  <c:v>44566</c:v>
                </c:pt>
                <c:pt idx="1050">
                  <c:v>44565</c:v>
                </c:pt>
                <c:pt idx="1051">
                  <c:v>44564</c:v>
                </c:pt>
                <c:pt idx="1052">
                  <c:v>44561</c:v>
                </c:pt>
                <c:pt idx="1053">
                  <c:v>44560</c:v>
                </c:pt>
                <c:pt idx="1054">
                  <c:v>44559</c:v>
                </c:pt>
                <c:pt idx="1055">
                  <c:v>44558</c:v>
                </c:pt>
                <c:pt idx="1056">
                  <c:v>44557</c:v>
                </c:pt>
                <c:pt idx="1057">
                  <c:v>44554</c:v>
                </c:pt>
                <c:pt idx="1058">
                  <c:v>44553</c:v>
                </c:pt>
                <c:pt idx="1059">
                  <c:v>44552</c:v>
                </c:pt>
                <c:pt idx="1060">
                  <c:v>44551</c:v>
                </c:pt>
                <c:pt idx="1061">
                  <c:v>44550</c:v>
                </c:pt>
                <c:pt idx="1062">
                  <c:v>44547</c:v>
                </c:pt>
                <c:pt idx="1063">
                  <c:v>44546</c:v>
                </c:pt>
                <c:pt idx="1064">
                  <c:v>44545</c:v>
                </c:pt>
                <c:pt idx="1065">
                  <c:v>44544</c:v>
                </c:pt>
                <c:pt idx="1066">
                  <c:v>44543</c:v>
                </c:pt>
                <c:pt idx="1067">
                  <c:v>44540</c:v>
                </c:pt>
                <c:pt idx="1068">
                  <c:v>44539</c:v>
                </c:pt>
                <c:pt idx="1069">
                  <c:v>44538</c:v>
                </c:pt>
                <c:pt idx="1070">
                  <c:v>44537</c:v>
                </c:pt>
                <c:pt idx="1071">
                  <c:v>44536</c:v>
                </c:pt>
                <c:pt idx="1072">
                  <c:v>44533</c:v>
                </c:pt>
                <c:pt idx="1073">
                  <c:v>44532</c:v>
                </c:pt>
                <c:pt idx="1074">
                  <c:v>44531</c:v>
                </c:pt>
                <c:pt idx="1075">
                  <c:v>44530</c:v>
                </c:pt>
                <c:pt idx="1076">
                  <c:v>44529</c:v>
                </c:pt>
                <c:pt idx="1077">
                  <c:v>44526</c:v>
                </c:pt>
                <c:pt idx="1078">
                  <c:v>44525</c:v>
                </c:pt>
                <c:pt idx="1079">
                  <c:v>44524</c:v>
                </c:pt>
                <c:pt idx="1080">
                  <c:v>44523</c:v>
                </c:pt>
                <c:pt idx="1081">
                  <c:v>44522</c:v>
                </c:pt>
                <c:pt idx="1082">
                  <c:v>44518</c:v>
                </c:pt>
                <c:pt idx="1083">
                  <c:v>44517</c:v>
                </c:pt>
                <c:pt idx="1084">
                  <c:v>44516</c:v>
                </c:pt>
                <c:pt idx="1085">
                  <c:v>44515</c:v>
                </c:pt>
                <c:pt idx="1086">
                  <c:v>44512</c:v>
                </c:pt>
                <c:pt idx="1087">
                  <c:v>44511</c:v>
                </c:pt>
                <c:pt idx="1088">
                  <c:v>44510</c:v>
                </c:pt>
                <c:pt idx="1089">
                  <c:v>44509</c:v>
                </c:pt>
                <c:pt idx="1090">
                  <c:v>44508</c:v>
                </c:pt>
                <c:pt idx="1091">
                  <c:v>44504</c:v>
                </c:pt>
                <c:pt idx="1092">
                  <c:v>44503</c:v>
                </c:pt>
                <c:pt idx="1093">
                  <c:v>44502</c:v>
                </c:pt>
                <c:pt idx="1094">
                  <c:v>44501</c:v>
                </c:pt>
                <c:pt idx="1095">
                  <c:v>44498</c:v>
                </c:pt>
                <c:pt idx="1096">
                  <c:v>44497</c:v>
                </c:pt>
                <c:pt idx="1097">
                  <c:v>44496</c:v>
                </c:pt>
                <c:pt idx="1098">
                  <c:v>44495</c:v>
                </c:pt>
                <c:pt idx="1099">
                  <c:v>44494</c:v>
                </c:pt>
                <c:pt idx="1100">
                  <c:v>44491</c:v>
                </c:pt>
                <c:pt idx="1101">
                  <c:v>44490</c:v>
                </c:pt>
                <c:pt idx="1102">
                  <c:v>44489</c:v>
                </c:pt>
                <c:pt idx="1103">
                  <c:v>44488</c:v>
                </c:pt>
                <c:pt idx="1104">
                  <c:v>44487</c:v>
                </c:pt>
                <c:pt idx="1105">
                  <c:v>44483</c:v>
                </c:pt>
                <c:pt idx="1106">
                  <c:v>44482</c:v>
                </c:pt>
                <c:pt idx="1107">
                  <c:v>44481</c:v>
                </c:pt>
                <c:pt idx="1108">
                  <c:v>44480</c:v>
                </c:pt>
                <c:pt idx="1109">
                  <c:v>44477</c:v>
                </c:pt>
                <c:pt idx="1110">
                  <c:v>44476</c:v>
                </c:pt>
                <c:pt idx="1111">
                  <c:v>44475</c:v>
                </c:pt>
                <c:pt idx="1112">
                  <c:v>44474</c:v>
                </c:pt>
                <c:pt idx="1113">
                  <c:v>44473</c:v>
                </c:pt>
                <c:pt idx="1114">
                  <c:v>44470</c:v>
                </c:pt>
                <c:pt idx="1115">
                  <c:v>44469</c:v>
                </c:pt>
                <c:pt idx="1116">
                  <c:v>44468</c:v>
                </c:pt>
                <c:pt idx="1117">
                  <c:v>44467</c:v>
                </c:pt>
                <c:pt idx="1118">
                  <c:v>44466</c:v>
                </c:pt>
                <c:pt idx="1119">
                  <c:v>44463</c:v>
                </c:pt>
                <c:pt idx="1120">
                  <c:v>44462</c:v>
                </c:pt>
                <c:pt idx="1121">
                  <c:v>44461</c:v>
                </c:pt>
                <c:pt idx="1122">
                  <c:v>44460</c:v>
                </c:pt>
                <c:pt idx="1123">
                  <c:v>44459</c:v>
                </c:pt>
                <c:pt idx="1124">
                  <c:v>44456</c:v>
                </c:pt>
                <c:pt idx="1125">
                  <c:v>44455</c:v>
                </c:pt>
                <c:pt idx="1126">
                  <c:v>44454</c:v>
                </c:pt>
                <c:pt idx="1127">
                  <c:v>44453</c:v>
                </c:pt>
                <c:pt idx="1128">
                  <c:v>44452</c:v>
                </c:pt>
                <c:pt idx="1129">
                  <c:v>44448</c:v>
                </c:pt>
                <c:pt idx="1130">
                  <c:v>44447</c:v>
                </c:pt>
                <c:pt idx="1131">
                  <c:v>44446</c:v>
                </c:pt>
                <c:pt idx="1132">
                  <c:v>44445</c:v>
                </c:pt>
                <c:pt idx="1133">
                  <c:v>44442</c:v>
                </c:pt>
                <c:pt idx="1134">
                  <c:v>44441</c:v>
                </c:pt>
                <c:pt idx="1135">
                  <c:v>44440</c:v>
                </c:pt>
                <c:pt idx="1136">
                  <c:v>44439</c:v>
                </c:pt>
                <c:pt idx="1137">
                  <c:v>44438</c:v>
                </c:pt>
                <c:pt idx="1138">
                  <c:v>44435</c:v>
                </c:pt>
                <c:pt idx="1139">
                  <c:v>44434</c:v>
                </c:pt>
                <c:pt idx="1140">
                  <c:v>44433</c:v>
                </c:pt>
                <c:pt idx="1141">
                  <c:v>44432</c:v>
                </c:pt>
                <c:pt idx="1142">
                  <c:v>44431</c:v>
                </c:pt>
                <c:pt idx="1143">
                  <c:v>44428</c:v>
                </c:pt>
                <c:pt idx="1144">
                  <c:v>44426</c:v>
                </c:pt>
                <c:pt idx="1145">
                  <c:v>44425</c:v>
                </c:pt>
                <c:pt idx="1146">
                  <c:v>44424</c:v>
                </c:pt>
                <c:pt idx="1147">
                  <c:v>44421</c:v>
                </c:pt>
                <c:pt idx="1148">
                  <c:v>44420</c:v>
                </c:pt>
                <c:pt idx="1149">
                  <c:v>44419</c:v>
                </c:pt>
                <c:pt idx="1150">
                  <c:v>44418</c:v>
                </c:pt>
                <c:pt idx="1151">
                  <c:v>44417</c:v>
                </c:pt>
                <c:pt idx="1152">
                  <c:v>44414</c:v>
                </c:pt>
                <c:pt idx="1153">
                  <c:v>44413</c:v>
                </c:pt>
                <c:pt idx="1154">
                  <c:v>44412</c:v>
                </c:pt>
                <c:pt idx="1155">
                  <c:v>44411</c:v>
                </c:pt>
                <c:pt idx="1156">
                  <c:v>44410</c:v>
                </c:pt>
                <c:pt idx="1157">
                  <c:v>44407</c:v>
                </c:pt>
                <c:pt idx="1158">
                  <c:v>44406</c:v>
                </c:pt>
                <c:pt idx="1159">
                  <c:v>44405</c:v>
                </c:pt>
                <c:pt idx="1160">
                  <c:v>44404</c:v>
                </c:pt>
                <c:pt idx="1161">
                  <c:v>44403</c:v>
                </c:pt>
                <c:pt idx="1162">
                  <c:v>44400</c:v>
                </c:pt>
                <c:pt idx="1163">
                  <c:v>44399</c:v>
                </c:pt>
                <c:pt idx="1164">
                  <c:v>44397</c:v>
                </c:pt>
                <c:pt idx="1165">
                  <c:v>44396</c:v>
                </c:pt>
                <c:pt idx="1166">
                  <c:v>44393</c:v>
                </c:pt>
                <c:pt idx="1167">
                  <c:v>44392</c:v>
                </c:pt>
                <c:pt idx="1168">
                  <c:v>44391</c:v>
                </c:pt>
                <c:pt idx="1169">
                  <c:v>44390</c:v>
                </c:pt>
                <c:pt idx="1170">
                  <c:v>44389</c:v>
                </c:pt>
                <c:pt idx="1171">
                  <c:v>44386</c:v>
                </c:pt>
                <c:pt idx="1172">
                  <c:v>44385</c:v>
                </c:pt>
                <c:pt idx="1173">
                  <c:v>44384</c:v>
                </c:pt>
                <c:pt idx="1174">
                  <c:v>44383</c:v>
                </c:pt>
                <c:pt idx="1175">
                  <c:v>44382</c:v>
                </c:pt>
                <c:pt idx="1176">
                  <c:v>44379</c:v>
                </c:pt>
                <c:pt idx="1177">
                  <c:v>44378</c:v>
                </c:pt>
                <c:pt idx="1178">
                  <c:v>44377</c:v>
                </c:pt>
                <c:pt idx="1179">
                  <c:v>44376</c:v>
                </c:pt>
                <c:pt idx="1180">
                  <c:v>44375</c:v>
                </c:pt>
                <c:pt idx="1181">
                  <c:v>44372</c:v>
                </c:pt>
                <c:pt idx="1182">
                  <c:v>44371</c:v>
                </c:pt>
                <c:pt idx="1183">
                  <c:v>44370</c:v>
                </c:pt>
                <c:pt idx="1184">
                  <c:v>44369</c:v>
                </c:pt>
                <c:pt idx="1185">
                  <c:v>44368</c:v>
                </c:pt>
                <c:pt idx="1186">
                  <c:v>44365</c:v>
                </c:pt>
                <c:pt idx="1187">
                  <c:v>44364</c:v>
                </c:pt>
                <c:pt idx="1188">
                  <c:v>44363</c:v>
                </c:pt>
                <c:pt idx="1189">
                  <c:v>44362</c:v>
                </c:pt>
                <c:pt idx="1190">
                  <c:v>44361</c:v>
                </c:pt>
                <c:pt idx="1191">
                  <c:v>44358</c:v>
                </c:pt>
                <c:pt idx="1192">
                  <c:v>44357</c:v>
                </c:pt>
                <c:pt idx="1193">
                  <c:v>44356</c:v>
                </c:pt>
                <c:pt idx="1194">
                  <c:v>44355</c:v>
                </c:pt>
                <c:pt idx="1195">
                  <c:v>44354</c:v>
                </c:pt>
                <c:pt idx="1196">
                  <c:v>44351</c:v>
                </c:pt>
                <c:pt idx="1197">
                  <c:v>44350</c:v>
                </c:pt>
                <c:pt idx="1198">
                  <c:v>44349</c:v>
                </c:pt>
                <c:pt idx="1199">
                  <c:v>44348</c:v>
                </c:pt>
                <c:pt idx="1200">
                  <c:v>44347</c:v>
                </c:pt>
                <c:pt idx="1201">
                  <c:v>44344</c:v>
                </c:pt>
                <c:pt idx="1202">
                  <c:v>44343</c:v>
                </c:pt>
                <c:pt idx="1203">
                  <c:v>44342</c:v>
                </c:pt>
                <c:pt idx="1204">
                  <c:v>44341</c:v>
                </c:pt>
                <c:pt idx="1205">
                  <c:v>44340</c:v>
                </c:pt>
                <c:pt idx="1206">
                  <c:v>44337</c:v>
                </c:pt>
                <c:pt idx="1207">
                  <c:v>44336</c:v>
                </c:pt>
                <c:pt idx="1208">
                  <c:v>44335</c:v>
                </c:pt>
                <c:pt idx="1209">
                  <c:v>44334</c:v>
                </c:pt>
                <c:pt idx="1210">
                  <c:v>44333</c:v>
                </c:pt>
                <c:pt idx="1211">
                  <c:v>44330</c:v>
                </c:pt>
                <c:pt idx="1212">
                  <c:v>44328</c:v>
                </c:pt>
                <c:pt idx="1213">
                  <c:v>44327</c:v>
                </c:pt>
                <c:pt idx="1214">
                  <c:v>44326</c:v>
                </c:pt>
                <c:pt idx="1215">
                  <c:v>44323</c:v>
                </c:pt>
                <c:pt idx="1216">
                  <c:v>44322</c:v>
                </c:pt>
                <c:pt idx="1217">
                  <c:v>44321</c:v>
                </c:pt>
                <c:pt idx="1218">
                  <c:v>44320</c:v>
                </c:pt>
                <c:pt idx="1219">
                  <c:v>44319</c:v>
                </c:pt>
                <c:pt idx="1220">
                  <c:v>44316</c:v>
                </c:pt>
                <c:pt idx="1221">
                  <c:v>44315</c:v>
                </c:pt>
                <c:pt idx="1222">
                  <c:v>44314</c:v>
                </c:pt>
                <c:pt idx="1223">
                  <c:v>44313</c:v>
                </c:pt>
                <c:pt idx="1224">
                  <c:v>44312</c:v>
                </c:pt>
                <c:pt idx="1225">
                  <c:v>44309</c:v>
                </c:pt>
                <c:pt idx="1226">
                  <c:v>44308</c:v>
                </c:pt>
                <c:pt idx="1227">
                  <c:v>44306</c:v>
                </c:pt>
                <c:pt idx="1228">
                  <c:v>44305</c:v>
                </c:pt>
                <c:pt idx="1229">
                  <c:v>44302</c:v>
                </c:pt>
                <c:pt idx="1230">
                  <c:v>44301</c:v>
                </c:pt>
                <c:pt idx="1231">
                  <c:v>44299</c:v>
                </c:pt>
                <c:pt idx="1232">
                  <c:v>44298</c:v>
                </c:pt>
                <c:pt idx="1233">
                  <c:v>44295</c:v>
                </c:pt>
                <c:pt idx="1234">
                  <c:v>44294</c:v>
                </c:pt>
                <c:pt idx="1235">
                  <c:v>44293</c:v>
                </c:pt>
                <c:pt idx="1236">
                  <c:v>44292</c:v>
                </c:pt>
                <c:pt idx="1237">
                  <c:v>44291</c:v>
                </c:pt>
                <c:pt idx="1238">
                  <c:v>44287</c:v>
                </c:pt>
              </c:numCache>
            </c:numRef>
          </c:cat>
          <c:val>
            <c:numRef>
              <c:f>'share Price'!$E$3:$E$1241</c:f>
              <c:numCache>
                <c:formatCode>General</c:formatCode>
                <c:ptCount val="1239"/>
                <c:pt idx="0">
                  <c:v>141.1</c:v>
                </c:pt>
                <c:pt idx="1">
                  <c:v>130.9</c:v>
                </c:pt>
                <c:pt idx="2">
                  <c:v>108.2</c:v>
                </c:pt>
                <c:pt idx="3">
                  <c:v>136.1</c:v>
                </c:pt>
                <c:pt idx="4">
                  <c:v>124.2</c:v>
                </c:pt>
                <c:pt idx="5">
                  <c:v>273</c:v>
                </c:pt>
                <c:pt idx="6">
                  <c:v>91.6</c:v>
                </c:pt>
                <c:pt idx="7">
                  <c:v>123.7</c:v>
                </c:pt>
                <c:pt idx="8">
                  <c:v>112.2</c:v>
                </c:pt>
                <c:pt idx="9">
                  <c:v>123.1</c:v>
                </c:pt>
                <c:pt idx="10">
                  <c:v>73.7</c:v>
                </c:pt>
                <c:pt idx="11">
                  <c:v>76</c:v>
                </c:pt>
                <c:pt idx="12">
                  <c:v>78.7</c:v>
                </c:pt>
                <c:pt idx="13">
                  <c:v>96</c:v>
                </c:pt>
                <c:pt idx="14">
                  <c:v>100.7</c:v>
                </c:pt>
                <c:pt idx="15">
                  <c:v>87.2</c:v>
                </c:pt>
                <c:pt idx="16">
                  <c:v>103.6</c:v>
                </c:pt>
                <c:pt idx="17">
                  <c:v>151.5</c:v>
                </c:pt>
                <c:pt idx="18">
                  <c:v>97</c:v>
                </c:pt>
                <c:pt idx="19">
                  <c:v>231.4</c:v>
                </c:pt>
                <c:pt idx="20">
                  <c:v>114.9</c:v>
                </c:pt>
                <c:pt idx="21">
                  <c:v>166.70000000000002</c:v>
                </c:pt>
                <c:pt idx="22">
                  <c:v>278.39999999999998</c:v>
                </c:pt>
                <c:pt idx="23">
                  <c:v>128.9</c:v>
                </c:pt>
                <c:pt idx="24">
                  <c:v>126.3</c:v>
                </c:pt>
                <c:pt idx="25">
                  <c:v>145.69999999999999</c:v>
                </c:pt>
                <c:pt idx="26">
                  <c:v>202.4</c:v>
                </c:pt>
                <c:pt idx="27">
                  <c:v>253.5</c:v>
                </c:pt>
                <c:pt idx="28">
                  <c:v>146.19999999999999</c:v>
                </c:pt>
                <c:pt idx="29">
                  <c:v>457.9</c:v>
                </c:pt>
                <c:pt idx="30">
                  <c:v>260.5</c:v>
                </c:pt>
                <c:pt idx="31">
                  <c:v>79.3</c:v>
                </c:pt>
                <c:pt idx="32">
                  <c:v>86.6</c:v>
                </c:pt>
                <c:pt idx="33">
                  <c:v>82.899999999999991</c:v>
                </c:pt>
                <c:pt idx="34">
                  <c:v>139</c:v>
                </c:pt>
                <c:pt idx="35">
                  <c:v>106.3</c:v>
                </c:pt>
                <c:pt idx="36">
                  <c:v>288.3</c:v>
                </c:pt>
                <c:pt idx="37">
                  <c:v>88.1</c:v>
                </c:pt>
                <c:pt idx="38">
                  <c:v>67.8</c:v>
                </c:pt>
                <c:pt idx="39">
                  <c:v>62.4</c:v>
                </c:pt>
                <c:pt idx="40">
                  <c:v>92.1</c:v>
                </c:pt>
                <c:pt idx="41">
                  <c:v>47.5</c:v>
                </c:pt>
                <c:pt idx="42">
                  <c:v>85.9</c:v>
                </c:pt>
                <c:pt idx="43">
                  <c:v>106.7</c:v>
                </c:pt>
                <c:pt idx="44">
                  <c:v>58.7</c:v>
                </c:pt>
                <c:pt idx="45">
                  <c:v>62.3</c:v>
                </c:pt>
                <c:pt idx="46">
                  <c:v>62.2</c:v>
                </c:pt>
                <c:pt idx="47">
                  <c:v>64.099999999999994</c:v>
                </c:pt>
                <c:pt idx="48">
                  <c:v>51</c:v>
                </c:pt>
                <c:pt idx="49">
                  <c:v>193.4</c:v>
                </c:pt>
                <c:pt idx="50">
                  <c:v>75.599999999999994</c:v>
                </c:pt>
                <c:pt idx="51">
                  <c:v>80.8</c:v>
                </c:pt>
                <c:pt idx="52">
                  <c:v>69.900000000000006</c:v>
                </c:pt>
                <c:pt idx="53">
                  <c:v>68.2</c:v>
                </c:pt>
                <c:pt idx="54">
                  <c:v>39.4</c:v>
                </c:pt>
                <c:pt idx="55">
                  <c:v>45.1</c:v>
                </c:pt>
                <c:pt idx="56">
                  <c:v>44.7</c:v>
                </c:pt>
                <c:pt idx="57">
                  <c:v>59.2</c:v>
                </c:pt>
                <c:pt idx="58">
                  <c:v>25.2</c:v>
                </c:pt>
                <c:pt idx="59">
                  <c:v>36.6</c:v>
                </c:pt>
                <c:pt idx="60">
                  <c:v>65.400000000000006</c:v>
                </c:pt>
                <c:pt idx="61">
                  <c:v>94</c:v>
                </c:pt>
                <c:pt idx="62">
                  <c:v>40.599999999999994</c:v>
                </c:pt>
                <c:pt idx="63">
                  <c:v>20.099999999999998</c:v>
                </c:pt>
                <c:pt idx="64">
                  <c:v>42.7</c:v>
                </c:pt>
                <c:pt idx="65">
                  <c:v>65.900000000000006</c:v>
                </c:pt>
                <c:pt idx="66">
                  <c:v>231</c:v>
                </c:pt>
                <c:pt idx="67">
                  <c:v>131.5</c:v>
                </c:pt>
                <c:pt idx="68">
                  <c:v>65.8</c:v>
                </c:pt>
                <c:pt idx="69">
                  <c:v>48.2</c:v>
                </c:pt>
                <c:pt idx="70">
                  <c:v>55</c:v>
                </c:pt>
                <c:pt idx="71">
                  <c:v>41.900000000000006</c:v>
                </c:pt>
                <c:pt idx="72">
                  <c:v>46.3</c:v>
                </c:pt>
                <c:pt idx="73">
                  <c:v>51.6</c:v>
                </c:pt>
                <c:pt idx="74">
                  <c:v>51.2</c:v>
                </c:pt>
                <c:pt idx="75">
                  <c:v>69.599999999999994</c:v>
                </c:pt>
                <c:pt idx="76">
                  <c:v>75.5</c:v>
                </c:pt>
                <c:pt idx="77">
                  <c:v>103.4</c:v>
                </c:pt>
                <c:pt idx="78">
                  <c:v>126.1</c:v>
                </c:pt>
                <c:pt idx="79">
                  <c:v>129</c:v>
                </c:pt>
                <c:pt idx="80">
                  <c:v>63.4</c:v>
                </c:pt>
                <c:pt idx="81">
                  <c:v>53.4</c:v>
                </c:pt>
                <c:pt idx="82">
                  <c:v>44.5</c:v>
                </c:pt>
                <c:pt idx="83">
                  <c:v>75.5</c:v>
                </c:pt>
                <c:pt idx="84">
                  <c:v>75.8</c:v>
                </c:pt>
                <c:pt idx="85">
                  <c:v>81.099999999999994</c:v>
                </c:pt>
                <c:pt idx="86">
                  <c:v>192.7</c:v>
                </c:pt>
                <c:pt idx="87">
                  <c:v>91.9</c:v>
                </c:pt>
                <c:pt idx="88">
                  <c:v>73.900000000000006</c:v>
                </c:pt>
                <c:pt idx="89">
                  <c:v>109.8</c:v>
                </c:pt>
                <c:pt idx="90">
                  <c:v>75.3</c:v>
                </c:pt>
                <c:pt idx="91">
                  <c:v>79.099999999999994</c:v>
                </c:pt>
                <c:pt idx="92">
                  <c:v>97.4</c:v>
                </c:pt>
                <c:pt idx="93">
                  <c:v>196.6</c:v>
                </c:pt>
                <c:pt idx="94">
                  <c:v>146.4</c:v>
                </c:pt>
                <c:pt idx="95">
                  <c:v>136.9</c:v>
                </c:pt>
                <c:pt idx="96">
                  <c:v>97.9</c:v>
                </c:pt>
                <c:pt idx="97">
                  <c:v>87.7</c:v>
                </c:pt>
                <c:pt idx="98">
                  <c:v>79.400000000000006</c:v>
                </c:pt>
                <c:pt idx="99">
                  <c:v>86.9</c:v>
                </c:pt>
                <c:pt idx="100">
                  <c:v>54.7</c:v>
                </c:pt>
                <c:pt idx="101">
                  <c:v>48.2</c:v>
                </c:pt>
                <c:pt idx="102">
                  <c:v>56.1</c:v>
                </c:pt>
                <c:pt idx="103">
                  <c:v>48.8</c:v>
                </c:pt>
                <c:pt idx="104">
                  <c:v>82.100000000000009</c:v>
                </c:pt>
                <c:pt idx="105">
                  <c:v>72.7</c:v>
                </c:pt>
                <c:pt idx="106">
                  <c:v>86.5</c:v>
                </c:pt>
                <c:pt idx="107">
                  <c:v>203.6</c:v>
                </c:pt>
                <c:pt idx="108">
                  <c:v>17</c:v>
                </c:pt>
                <c:pt idx="109">
                  <c:v>69.900000000000006</c:v>
                </c:pt>
                <c:pt idx="110">
                  <c:v>169.6</c:v>
                </c:pt>
                <c:pt idx="111">
                  <c:v>80.099999999999994</c:v>
                </c:pt>
                <c:pt idx="112">
                  <c:v>69.900000000000006</c:v>
                </c:pt>
                <c:pt idx="113">
                  <c:v>56</c:v>
                </c:pt>
                <c:pt idx="114">
                  <c:v>58.6</c:v>
                </c:pt>
                <c:pt idx="115">
                  <c:v>37.4</c:v>
                </c:pt>
                <c:pt idx="116">
                  <c:v>70.3</c:v>
                </c:pt>
                <c:pt idx="117">
                  <c:v>46.6</c:v>
                </c:pt>
                <c:pt idx="118">
                  <c:v>55.7</c:v>
                </c:pt>
                <c:pt idx="119">
                  <c:v>46.3</c:v>
                </c:pt>
                <c:pt idx="120">
                  <c:v>68.8</c:v>
                </c:pt>
                <c:pt idx="121">
                  <c:v>62.5</c:v>
                </c:pt>
                <c:pt idx="122">
                  <c:v>75.599999999999994</c:v>
                </c:pt>
                <c:pt idx="123">
                  <c:v>105.1</c:v>
                </c:pt>
                <c:pt idx="124">
                  <c:v>86</c:v>
                </c:pt>
                <c:pt idx="125">
                  <c:v>94.9</c:v>
                </c:pt>
                <c:pt idx="126">
                  <c:v>49.4</c:v>
                </c:pt>
                <c:pt idx="127">
                  <c:v>98.3</c:v>
                </c:pt>
                <c:pt idx="128">
                  <c:v>156.6</c:v>
                </c:pt>
                <c:pt idx="129">
                  <c:v>129.9</c:v>
                </c:pt>
                <c:pt idx="130">
                  <c:v>93.3</c:v>
                </c:pt>
                <c:pt idx="131">
                  <c:v>48</c:v>
                </c:pt>
                <c:pt idx="132">
                  <c:v>89.2</c:v>
                </c:pt>
                <c:pt idx="133">
                  <c:v>61.7</c:v>
                </c:pt>
                <c:pt idx="134">
                  <c:v>128.6</c:v>
                </c:pt>
                <c:pt idx="135">
                  <c:v>80</c:v>
                </c:pt>
                <c:pt idx="136">
                  <c:v>72.8</c:v>
                </c:pt>
                <c:pt idx="137">
                  <c:v>130.69999999999999</c:v>
                </c:pt>
                <c:pt idx="138">
                  <c:v>38.1</c:v>
                </c:pt>
                <c:pt idx="139">
                  <c:v>54.7</c:v>
                </c:pt>
                <c:pt idx="140">
                  <c:v>57.9</c:v>
                </c:pt>
                <c:pt idx="141">
                  <c:v>46.2</c:v>
                </c:pt>
                <c:pt idx="142">
                  <c:v>52.2</c:v>
                </c:pt>
                <c:pt idx="143">
                  <c:v>45.5</c:v>
                </c:pt>
                <c:pt idx="144">
                  <c:v>81.7</c:v>
                </c:pt>
                <c:pt idx="145">
                  <c:v>54.4</c:v>
                </c:pt>
                <c:pt idx="146">
                  <c:v>159.9</c:v>
                </c:pt>
                <c:pt idx="147">
                  <c:v>106.9</c:v>
                </c:pt>
                <c:pt idx="148">
                  <c:v>55.4</c:v>
                </c:pt>
                <c:pt idx="149">
                  <c:v>65.7</c:v>
                </c:pt>
                <c:pt idx="150">
                  <c:v>104.1</c:v>
                </c:pt>
                <c:pt idx="151">
                  <c:v>39.9</c:v>
                </c:pt>
                <c:pt idx="152">
                  <c:v>72.5</c:v>
                </c:pt>
                <c:pt idx="153">
                  <c:v>129</c:v>
                </c:pt>
                <c:pt idx="154">
                  <c:v>103.2</c:v>
                </c:pt>
                <c:pt idx="155">
                  <c:v>99</c:v>
                </c:pt>
                <c:pt idx="156">
                  <c:v>66.3</c:v>
                </c:pt>
                <c:pt idx="157">
                  <c:v>100.5</c:v>
                </c:pt>
                <c:pt idx="158">
                  <c:v>98.9</c:v>
                </c:pt>
                <c:pt idx="159">
                  <c:v>105.7</c:v>
                </c:pt>
                <c:pt idx="160">
                  <c:v>102.1</c:v>
                </c:pt>
                <c:pt idx="161">
                  <c:v>86.1</c:v>
                </c:pt>
                <c:pt idx="162">
                  <c:v>87</c:v>
                </c:pt>
                <c:pt idx="163">
                  <c:v>68.5</c:v>
                </c:pt>
                <c:pt idx="164">
                  <c:v>57.2</c:v>
                </c:pt>
                <c:pt idx="165">
                  <c:v>70.7</c:v>
                </c:pt>
                <c:pt idx="166">
                  <c:v>64.400000000000006</c:v>
                </c:pt>
                <c:pt idx="167">
                  <c:v>108.5</c:v>
                </c:pt>
                <c:pt idx="168">
                  <c:v>141.69999999999999</c:v>
                </c:pt>
                <c:pt idx="169">
                  <c:v>80.399999999999991</c:v>
                </c:pt>
                <c:pt idx="170">
                  <c:v>84.7</c:v>
                </c:pt>
                <c:pt idx="171">
                  <c:v>36.799999999999997</c:v>
                </c:pt>
                <c:pt idx="172">
                  <c:v>51.6</c:v>
                </c:pt>
                <c:pt idx="173">
                  <c:v>73.7</c:v>
                </c:pt>
                <c:pt idx="174">
                  <c:v>62.2</c:v>
                </c:pt>
                <c:pt idx="175">
                  <c:v>76.099999999999994</c:v>
                </c:pt>
                <c:pt idx="176">
                  <c:v>91.7</c:v>
                </c:pt>
                <c:pt idx="177">
                  <c:v>113.9</c:v>
                </c:pt>
                <c:pt idx="178">
                  <c:v>53.3</c:v>
                </c:pt>
                <c:pt idx="179">
                  <c:v>45.8</c:v>
                </c:pt>
                <c:pt idx="180">
                  <c:v>45.9</c:v>
                </c:pt>
                <c:pt idx="181">
                  <c:v>32.9</c:v>
                </c:pt>
                <c:pt idx="182">
                  <c:v>44.1</c:v>
                </c:pt>
                <c:pt idx="183">
                  <c:v>52.6</c:v>
                </c:pt>
                <c:pt idx="184">
                  <c:v>86.5</c:v>
                </c:pt>
                <c:pt idx="185">
                  <c:v>41.8</c:v>
                </c:pt>
                <c:pt idx="186">
                  <c:v>62.9</c:v>
                </c:pt>
                <c:pt idx="187">
                  <c:v>89.1</c:v>
                </c:pt>
                <c:pt idx="188">
                  <c:v>65.2</c:v>
                </c:pt>
                <c:pt idx="189">
                  <c:v>78.099999999999994</c:v>
                </c:pt>
                <c:pt idx="190">
                  <c:v>80.8</c:v>
                </c:pt>
                <c:pt idx="191">
                  <c:v>79.400000000000006</c:v>
                </c:pt>
                <c:pt idx="192">
                  <c:v>92</c:v>
                </c:pt>
                <c:pt idx="193">
                  <c:v>51.5</c:v>
                </c:pt>
                <c:pt idx="194">
                  <c:v>56.3</c:v>
                </c:pt>
                <c:pt idx="195">
                  <c:v>76.2</c:v>
                </c:pt>
                <c:pt idx="196">
                  <c:v>55.9</c:v>
                </c:pt>
                <c:pt idx="197">
                  <c:v>69.7</c:v>
                </c:pt>
                <c:pt idx="198">
                  <c:v>104.8</c:v>
                </c:pt>
                <c:pt idx="199">
                  <c:v>106</c:v>
                </c:pt>
                <c:pt idx="200">
                  <c:v>85.9</c:v>
                </c:pt>
                <c:pt idx="201">
                  <c:v>29</c:v>
                </c:pt>
                <c:pt idx="202">
                  <c:v>39.6</c:v>
                </c:pt>
                <c:pt idx="203">
                  <c:v>69.5</c:v>
                </c:pt>
                <c:pt idx="204">
                  <c:v>45.5</c:v>
                </c:pt>
                <c:pt idx="205">
                  <c:v>68.5</c:v>
                </c:pt>
                <c:pt idx="206">
                  <c:v>43.7</c:v>
                </c:pt>
                <c:pt idx="207">
                  <c:v>131.5</c:v>
                </c:pt>
                <c:pt idx="208">
                  <c:v>86.1</c:v>
                </c:pt>
                <c:pt idx="209">
                  <c:v>36.200000000000003</c:v>
                </c:pt>
                <c:pt idx="210">
                  <c:v>77.8</c:v>
                </c:pt>
                <c:pt idx="211">
                  <c:v>31.7</c:v>
                </c:pt>
                <c:pt idx="212">
                  <c:v>50.4</c:v>
                </c:pt>
                <c:pt idx="213">
                  <c:v>61.6</c:v>
                </c:pt>
                <c:pt idx="214">
                  <c:v>41.6</c:v>
                </c:pt>
                <c:pt idx="215">
                  <c:v>71.400000000000006</c:v>
                </c:pt>
                <c:pt idx="216">
                  <c:v>88.6</c:v>
                </c:pt>
                <c:pt idx="217">
                  <c:v>45.8</c:v>
                </c:pt>
                <c:pt idx="218">
                  <c:v>111.5</c:v>
                </c:pt>
                <c:pt idx="219">
                  <c:v>48.7</c:v>
                </c:pt>
                <c:pt idx="220">
                  <c:v>128.5</c:v>
                </c:pt>
                <c:pt idx="221">
                  <c:v>113.7</c:v>
                </c:pt>
                <c:pt idx="222">
                  <c:v>44.8</c:v>
                </c:pt>
                <c:pt idx="223">
                  <c:v>84.2</c:v>
                </c:pt>
                <c:pt idx="224">
                  <c:v>56.9</c:v>
                </c:pt>
                <c:pt idx="225">
                  <c:v>42.7</c:v>
                </c:pt>
                <c:pt idx="226">
                  <c:v>42.8</c:v>
                </c:pt>
                <c:pt idx="227">
                  <c:v>87.3</c:v>
                </c:pt>
                <c:pt idx="228">
                  <c:v>77</c:v>
                </c:pt>
                <c:pt idx="229">
                  <c:v>80.600000000000009</c:v>
                </c:pt>
                <c:pt idx="230">
                  <c:v>58.9</c:v>
                </c:pt>
                <c:pt idx="231">
                  <c:v>83.3</c:v>
                </c:pt>
                <c:pt idx="232">
                  <c:v>71.099999999999994</c:v>
                </c:pt>
                <c:pt idx="233">
                  <c:v>111.4</c:v>
                </c:pt>
                <c:pt idx="234">
                  <c:v>94</c:v>
                </c:pt>
                <c:pt idx="235">
                  <c:v>156.5</c:v>
                </c:pt>
                <c:pt idx="236">
                  <c:v>142.6</c:v>
                </c:pt>
                <c:pt idx="237">
                  <c:v>120.2</c:v>
                </c:pt>
                <c:pt idx="238">
                  <c:v>101.8</c:v>
                </c:pt>
                <c:pt idx="239">
                  <c:v>125.7</c:v>
                </c:pt>
                <c:pt idx="240">
                  <c:v>85.5</c:v>
                </c:pt>
                <c:pt idx="241">
                  <c:v>128.1</c:v>
                </c:pt>
                <c:pt idx="242">
                  <c:v>217.2</c:v>
                </c:pt>
                <c:pt idx="243">
                  <c:v>95.9</c:v>
                </c:pt>
                <c:pt idx="244">
                  <c:v>104.6</c:v>
                </c:pt>
                <c:pt idx="245">
                  <c:v>61.9</c:v>
                </c:pt>
                <c:pt idx="246">
                  <c:v>126.8</c:v>
                </c:pt>
                <c:pt idx="247">
                  <c:v>68</c:v>
                </c:pt>
                <c:pt idx="248">
                  <c:v>94.3</c:v>
                </c:pt>
                <c:pt idx="249">
                  <c:v>66.5</c:v>
                </c:pt>
                <c:pt idx="250">
                  <c:v>98.9</c:v>
                </c:pt>
                <c:pt idx="251">
                  <c:v>88.6</c:v>
                </c:pt>
                <c:pt idx="252">
                  <c:v>100.7</c:v>
                </c:pt>
                <c:pt idx="253">
                  <c:v>71.900000000000006</c:v>
                </c:pt>
                <c:pt idx="254">
                  <c:v>73.900000000000006</c:v>
                </c:pt>
                <c:pt idx="255">
                  <c:v>63</c:v>
                </c:pt>
                <c:pt idx="256">
                  <c:v>75.3</c:v>
                </c:pt>
                <c:pt idx="257">
                  <c:v>78.2</c:v>
                </c:pt>
                <c:pt idx="258">
                  <c:v>148.69999999999999</c:v>
                </c:pt>
                <c:pt idx="259">
                  <c:v>126.7</c:v>
                </c:pt>
                <c:pt idx="260">
                  <c:v>75.599999999999994</c:v>
                </c:pt>
                <c:pt idx="261">
                  <c:v>80.2</c:v>
                </c:pt>
                <c:pt idx="262">
                  <c:v>106.1</c:v>
                </c:pt>
                <c:pt idx="263">
                  <c:v>81.8</c:v>
                </c:pt>
                <c:pt idx="264">
                  <c:v>67.599999999999994</c:v>
                </c:pt>
                <c:pt idx="265">
                  <c:v>75</c:v>
                </c:pt>
                <c:pt idx="266">
                  <c:v>121.8</c:v>
                </c:pt>
                <c:pt idx="267">
                  <c:v>57.6</c:v>
                </c:pt>
                <c:pt idx="268">
                  <c:v>50.9</c:v>
                </c:pt>
                <c:pt idx="269">
                  <c:v>75.900000000000006</c:v>
                </c:pt>
                <c:pt idx="270">
                  <c:v>33.799999999999997</c:v>
                </c:pt>
                <c:pt idx="271">
                  <c:v>22.2</c:v>
                </c:pt>
                <c:pt idx="272">
                  <c:v>46.1</c:v>
                </c:pt>
                <c:pt idx="273">
                  <c:v>43.7</c:v>
                </c:pt>
                <c:pt idx="274">
                  <c:v>44.3</c:v>
                </c:pt>
                <c:pt idx="275">
                  <c:v>52.9</c:v>
                </c:pt>
                <c:pt idx="276">
                  <c:v>52.4</c:v>
                </c:pt>
                <c:pt idx="277">
                  <c:v>56.3</c:v>
                </c:pt>
                <c:pt idx="278">
                  <c:v>44.1</c:v>
                </c:pt>
                <c:pt idx="279">
                  <c:v>38.299999999999997</c:v>
                </c:pt>
                <c:pt idx="280">
                  <c:v>41.3</c:v>
                </c:pt>
                <c:pt idx="281">
                  <c:v>47.7</c:v>
                </c:pt>
                <c:pt idx="282">
                  <c:v>50</c:v>
                </c:pt>
                <c:pt idx="283">
                  <c:v>73.3</c:v>
                </c:pt>
                <c:pt idx="284">
                  <c:v>48.2</c:v>
                </c:pt>
                <c:pt idx="285">
                  <c:v>17</c:v>
                </c:pt>
                <c:pt idx="286">
                  <c:v>58.2</c:v>
                </c:pt>
                <c:pt idx="287">
                  <c:v>73.400000000000006</c:v>
                </c:pt>
                <c:pt idx="288">
                  <c:v>51.5</c:v>
                </c:pt>
                <c:pt idx="289">
                  <c:v>70</c:v>
                </c:pt>
                <c:pt idx="290">
                  <c:v>76.5</c:v>
                </c:pt>
                <c:pt idx="291">
                  <c:v>48.9</c:v>
                </c:pt>
                <c:pt idx="292">
                  <c:v>59.1</c:v>
                </c:pt>
                <c:pt idx="293">
                  <c:v>83.699999999999989</c:v>
                </c:pt>
                <c:pt idx="294">
                  <c:v>71.7</c:v>
                </c:pt>
                <c:pt idx="295">
                  <c:v>43.3</c:v>
                </c:pt>
                <c:pt idx="296">
                  <c:v>164.1</c:v>
                </c:pt>
                <c:pt idx="297">
                  <c:v>75.3</c:v>
                </c:pt>
                <c:pt idx="298">
                  <c:v>29.9</c:v>
                </c:pt>
                <c:pt idx="299">
                  <c:v>57.9</c:v>
                </c:pt>
                <c:pt idx="300">
                  <c:v>58</c:v>
                </c:pt>
                <c:pt idx="301">
                  <c:v>80.399999999999991</c:v>
                </c:pt>
                <c:pt idx="302">
                  <c:v>68.3</c:v>
                </c:pt>
                <c:pt idx="303">
                  <c:v>54.8</c:v>
                </c:pt>
                <c:pt idx="304">
                  <c:v>42.9</c:v>
                </c:pt>
                <c:pt idx="305">
                  <c:v>71.599999999999994</c:v>
                </c:pt>
                <c:pt idx="306">
                  <c:v>62.2</c:v>
                </c:pt>
                <c:pt idx="307">
                  <c:v>70.8</c:v>
                </c:pt>
                <c:pt idx="308">
                  <c:v>18.399999999999999</c:v>
                </c:pt>
                <c:pt idx="309">
                  <c:v>36.1</c:v>
                </c:pt>
                <c:pt idx="310">
                  <c:v>77.900000000000006</c:v>
                </c:pt>
                <c:pt idx="311">
                  <c:v>39.4</c:v>
                </c:pt>
                <c:pt idx="312">
                  <c:v>36.200000000000003</c:v>
                </c:pt>
                <c:pt idx="313">
                  <c:v>23.6</c:v>
                </c:pt>
                <c:pt idx="314">
                  <c:v>27.8</c:v>
                </c:pt>
                <c:pt idx="315">
                  <c:v>110.6</c:v>
                </c:pt>
                <c:pt idx="316">
                  <c:v>53.2</c:v>
                </c:pt>
                <c:pt idx="317">
                  <c:v>30.6</c:v>
                </c:pt>
                <c:pt idx="318">
                  <c:v>58.1</c:v>
                </c:pt>
                <c:pt idx="319">
                  <c:v>31.2</c:v>
                </c:pt>
                <c:pt idx="320">
                  <c:v>53.6</c:v>
                </c:pt>
                <c:pt idx="321">
                  <c:v>64.599999999999994</c:v>
                </c:pt>
                <c:pt idx="322">
                  <c:v>50.3</c:v>
                </c:pt>
                <c:pt idx="323">
                  <c:v>61.7</c:v>
                </c:pt>
                <c:pt idx="324">
                  <c:v>42.7</c:v>
                </c:pt>
                <c:pt idx="325">
                  <c:v>35.700000000000003</c:v>
                </c:pt>
                <c:pt idx="326">
                  <c:v>90.5</c:v>
                </c:pt>
                <c:pt idx="327">
                  <c:v>47.1</c:v>
                </c:pt>
                <c:pt idx="328">
                  <c:v>47.2</c:v>
                </c:pt>
                <c:pt idx="329">
                  <c:v>28.7</c:v>
                </c:pt>
                <c:pt idx="330">
                  <c:v>52.4</c:v>
                </c:pt>
                <c:pt idx="331">
                  <c:v>84.7</c:v>
                </c:pt>
                <c:pt idx="332">
                  <c:v>44.5</c:v>
                </c:pt>
                <c:pt idx="333">
                  <c:v>68.5</c:v>
                </c:pt>
                <c:pt idx="334">
                  <c:v>127.6</c:v>
                </c:pt>
                <c:pt idx="335">
                  <c:v>63</c:v>
                </c:pt>
                <c:pt idx="336">
                  <c:v>54.4</c:v>
                </c:pt>
                <c:pt idx="337">
                  <c:v>46.7</c:v>
                </c:pt>
                <c:pt idx="338">
                  <c:v>48.4</c:v>
                </c:pt>
                <c:pt idx="339">
                  <c:v>43.1</c:v>
                </c:pt>
                <c:pt idx="340">
                  <c:v>42.6</c:v>
                </c:pt>
                <c:pt idx="341">
                  <c:v>50.1</c:v>
                </c:pt>
                <c:pt idx="342">
                  <c:v>38</c:v>
                </c:pt>
                <c:pt idx="343">
                  <c:v>42.1</c:v>
                </c:pt>
                <c:pt idx="344">
                  <c:v>45.5</c:v>
                </c:pt>
                <c:pt idx="345">
                  <c:v>104.2</c:v>
                </c:pt>
                <c:pt idx="346">
                  <c:v>31.6</c:v>
                </c:pt>
                <c:pt idx="347">
                  <c:v>73.400000000000006</c:v>
                </c:pt>
                <c:pt idx="348">
                  <c:v>3.7197</c:v>
                </c:pt>
                <c:pt idx="349">
                  <c:v>74</c:v>
                </c:pt>
                <c:pt idx="350">
                  <c:v>59.2</c:v>
                </c:pt>
                <c:pt idx="351">
                  <c:v>46.2</c:v>
                </c:pt>
                <c:pt idx="352">
                  <c:v>70.2</c:v>
                </c:pt>
                <c:pt idx="353">
                  <c:v>46.9</c:v>
                </c:pt>
                <c:pt idx="354">
                  <c:v>29.1</c:v>
                </c:pt>
                <c:pt idx="355">
                  <c:v>43.1</c:v>
                </c:pt>
                <c:pt idx="356">
                  <c:v>41.3</c:v>
                </c:pt>
                <c:pt idx="357">
                  <c:v>46.5</c:v>
                </c:pt>
                <c:pt idx="358">
                  <c:v>105.3</c:v>
                </c:pt>
                <c:pt idx="359">
                  <c:v>81.599999999999994</c:v>
                </c:pt>
                <c:pt idx="360">
                  <c:v>31.1</c:v>
                </c:pt>
                <c:pt idx="361">
                  <c:v>53.5</c:v>
                </c:pt>
                <c:pt idx="362">
                  <c:v>37.5</c:v>
                </c:pt>
                <c:pt idx="363">
                  <c:v>47.1</c:v>
                </c:pt>
                <c:pt idx="364">
                  <c:v>47.8</c:v>
                </c:pt>
                <c:pt idx="365">
                  <c:v>48.6</c:v>
                </c:pt>
                <c:pt idx="366">
                  <c:v>56.4</c:v>
                </c:pt>
                <c:pt idx="367">
                  <c:v>61.1</c:v>
                </c:pt>
                <c:pt idx="368">
                  <c:v>100</c:v>
                </c:pt>
                <c:pt idx="369">
                  <c:v>75</c:v>
                </c:pt>
                <c:pt idx="370">
                  <c:v>40.300000000000004</c:v>
                </c:pt>
                <c:pt idx="371">
                  <c:v>69.900000000000006</c:v>
                </c:pt>
                <c:pt idx="372">
                  <c:v>149.1</c:v>
                </c:pt>
                <c:pt idx="373">
                  <c:v>89.5</c:v>
                </c:pt>
                <c:pt idx="374">
                  <c:v>42.7</c:v>
                </c:pt>
                <c:pt idx="375">
                  <c:v>72.8</c:v>
                </c:pt>
                <c:pt idx="376">
                  <c:v>36.4</c:v>
                </c:pt>
                <c:pt idx="377">
                  <c:v>152.4</c:v>
                </c:pt>
                <c:pt idx="378">
                  <c:v>79.8</c:v>
                </c:pt>
                <c:pt idx="379">
                  <c:v>63.9</c:v>
                </c:pt>
                <c:pt idx="380">
                  <c:v>27.9</c:v>
                </c:pt>
                <c:pt idx="381">
                  <c:v>15.7</c:v>
                </c:pt>
                <c:pt idx="382">
                  <c:v>38.4</c:v>
                </c:pt>
                <c:pt idx="383">
                  <c:v>85.6</c:v>
                </c:pt>
                <c:pt idx="384">
                  <c:v>53.1</c:v>
                </c:pt>
                <c:pt idx="385">
                  <c:v>69.099999999999994</c:v>
                </c:pt>
                <c:pt idx="386">
                  <c:v>47.7</c:v>
                </c:pt>
                <c:pt idx="387">
                  <c:v>58.5</c:v>
                </c:pt>
                <c:pt idx="388">
                  <c:v>40.799999999999997</c:v>
                </c:pt>
                <c:pt idx="389">
                  <c:v>47.8</c:v>
                </c:pt>
                <c:pt idx="390">
                  <c:v>46.9</c:v>
                </c:pt>
                <c:pt idx="391">
                  <c:v>55.7</c:v>
                </c:pt>
                <c:pt idx="392">
                  <c:v>134.69999999999999</c:v>
                </c:pt>
                <c:pt idx="393">
                  <c:v>72.3</c:v>
                </c:pt>
                <c:pt idx="394">
                  <c:v>65.099999999999994</c:v>
                </c:pt>
                <c:pt idx="395">
                  <c:v>38.299999999999997</c:v>
                </c:pt>
                <c:pt idx="396">
                  <c:v>37.299999999999997</c:v>
                </c:pt>
                <c:pt idx="397">
                  <c:v>50.2</c:v>
                </c:pt>
                <c:pt idx="398">
                  <c:v>43</c:v>
                </c:pt>
                <c:pt idx="399">
                  <c:v>19.7</c:v>
                </c:pt>
                <c:pt idx="400">
                  <c:v>38.700000000000003</c:v>
                </c:pt>
                <c:pt idx="401">
                  <c:v>25.9</c:v>
                </c:pt>
                <c:pt idx="402">
                  <c:v>73.400000000000006</c:v>
                </c:pt>
                <c:pt idx="403">
                  <c:v>74.5</c:v>
                </c:pt>
                <c:pt idx="404">
                  <c:v>41.8</c:v>
                </c:pt>
                <c:pt idx="405">
                  <c:v>43.2</c:v>
                </c:pt>
                <c:pt idx="406">
                  <c:v>42.6</c:v>
                </c:pt>
                <c:pt idx="407">
                  <c:v>62.3</c:v>
                </c:pt>
                <c:pt idx="408">
                  <c:v>50.9</c:v>
                </c:pt>
                <c:pt idx="409">
                  <c:v>76.900000000000006</c:v>
                </c:pt>
                <c:pt idx="410">
                  <c:v>107.4</c:v>
                </c:pt>
                <c:pt idx="411">
                  <c:v>74</c:v>
                </c:pt>
                <c:pt idx="412">
                  <c:v>74.8</c:v>
                </c:pt>
                <c:pt idx="413">
                  <c:v>50</c:v>
                </c:pt>
                <c:pt idx="414">
                  <c:v>27.2</c:v>
                </c:pt>
                <c:pt idx="415">
                  <c:v>46.4</c:v>
                </c:pt>
                <c:pt idx="416">
                  <c:v>113.7</c:v>
                </c:pt>
                <c:pt idx="417">
                  <c:v>58.2</c:v>
                </c:pt>
                <c:pt idx="418">
                  <c:v>60</c:v>
                </c:pt>
                <c:pt idx="419">
                  <c:v>71.099999999999994</c:v>
                </c:pt>
                <c:pt idx="420">
                  <c:v>84.6</c:v>
                </c:pt>
                <c:pt idx="421">
                  <c:v>298.2</c:v>
                </c:pt>
                <c:pt idx="422">
                  <c:v>112.5</c:v>
                </c:pt>
                <c:pt idx="423">
                  <c:v>68.900000000000006</c:v>
                </c:pt>
                <c:pt idx="424">
                  <c:v>69.400000000000006</c:v>
                </c:pt>
                <c:pt idx="425">
                  <c:v>170.8</c:v>
                </c:pt>
                <c:pt idx="426">
                  <c:v>88.6</c:v>
                </c:pt>
                <c:pt idx="427">
                  <c:v>98.5</c:v>
                </c:pt>
                <c:pt idx="428">
                  <c:v>51.9</c:v>
                </c:pt>
                <c:pt idx="429">
                  <c:v>58.8</c:v>
                </c:pt>
                <c:pt idx="430">
                  <c:v>70.7</c:v>
                </c:pt>
                <c:pt idx="431">
                  <c:v>80.099999999999994</c:v>
                </c:pt>
                <c:pt idx="432">
                  <c:v>72.7</c:v>
                </c:pt>
                <c:pt idx="433">
                  <c:v>104.9</c:v>
                </c:pt>
                <c:pt idx="434">
                  <c:v>68</c:v>
                </c:pt>
                <c:pt idx="435">
                  <c:v>81.999999999999986</c:v>
                </c:pt>
                <c:pt idx="436">
                  <c:v>147.6</c:v>
                </c:pt>
                <c:pt idx="437">
                  <c:v>48.5</c:v>
                </c:pt>
                <c:pt idx="438">
                  <c:v>45.5</c:v>
                </c:pt>
                <c:pt idx="439">
                  <c:v>55.6</c:v>
                </c:pt>
                <c:pt idx="440">
                  <c:v>173</c:v>
                </c:pt>
                <c:pt idx="441">
                  <c:v>79.3</c:v>
                </c:pt>
                <c:pt idx="442">
                  <c:v>54.9</c:v>
                </c:pt>
                <c:pt idx="443">
                  <c:v>54.2</c:v>
                </c:pt>
                <c:pt idx="444">
                  <c:v>42.4</c:v>
                </c:pt>
                <c:pt idx="445">
                  <c:v>73.099999999999994</c:v>
                </c:pt>
                <c:pt idx="446">
                  <c:v>95.6</c:v>
                </c:pt>
                <c:pt idx="447">
                  <c:v>48.5</c:v>
                </c:pt>
                <c:pt idx="448">
                  <c:v>68.099999999999994</c:v>
                </c:pt>
                <c:pt idx="449">
                  <c:v>240.8</c:v>
                </c:pt>
                <c:pt idx="450">
                  <c:v>126.6</c:v>
                </c:pt>
                <c:pt idx="451">
                  <c:v>92.3</c:v>
                </c:pt>
                <c:pt idx="452">
                  <c:v>137.4</c:v>
                </c:pt>
                <c:pt idx="453">
                  <c:v>105.9</c:v>
                </c:pt>
                <c:pt idx="454">
                  <c:v>371.1</c:v>
                </c:pt>
                <c:pt idx="455">
                  <c:v>96.6</c:v>
                </c:pt>
                <c:pt idx="456">
                  <c:v>74</c:v>
                </c:pt>
                <c:pt idx="457">
                  <c:v>61.9</c:v>
                </c:pt>
                <c:pt idx="458">
                  <c:v>58.2</c:v>
                </c:pt>
                <c:pt idx="459">
                  <c:v>52.8</c:v>
                </c:pt>
                <c:pt idx="460">
                  <c:v>86.4</c:v>
                </c:pt>
                <c:pt idx="461">
                  <c:v>71.7</c:v>
                </c:pt>
                <c:pt idx="462">
                  <c:v>67.5</c:v>
                </c:pt>
                <c:pt idx="463">
                  <c:v>3.1827999999999999</c:v>
                </c:pt>
                <c:pt idx="464">
                  <c:v>75.400000000000006</c:v>
                </c:pt>
                <c:pt idx="465">
                  <c:v>92.5</c:v>
                </c:pt>
                <c:pt idx="466">
                  <c:v>43.3</c:v>
                </c:pt>
                <c:pt idx="467">
                  <c:v>34.6</c:v>
                </c:pt>
                <c:pt idx="468">
                  <c:v>37.4</c:v>
                </c:pt>
                <c:pt idx="469">
                  <c:v>87.8</c:v>
                </c:pt>
                <c:pt idx="470">
                  <c:v>60.9</c:v>
                </c:pt>
                <c:pt idx="471">
                  <c:v>62.3</c:v>
                </c:pt>
                <c:pt idx="472">
                  <c:v>60.8</c:v>
                </c:pt>
                <c:pt idx="473">
                  <c:v>64.5</c:v>
                </c:pt>
                <c:pt idx="474">
                  <c:v>88.4</c:v>
                </c:pt>
                <c:pt idx="475">
                  <c:v>100.8</c:v>
                </c:pt>
                <c:pt idx="476">
                  <c:v>69.400000000000006</c:v>
                </c:pt>
                <c:pt idx="477">
                  <c:v>50.6</c:v>
                </c:pt>
                <c:pt idx="478">
                  <c:v>80.600000000000009</c:v>
                </c:pt>
                <c:pt idx="479">
                  <c:v>90.9</c:v>
                </c:pt>
                <c:pt idx="480">
                  <c:v>42.7</c:v>
                </c:pt>
                <c:pt idx="481">
                  <c:v>48.6</c:v>
                </c:pt>
                <c:pt idx="482">
                  <c:v>58.6</c:v>
                </c:pt>
                <c:pt idx="483">
                  <c:v>206</c:v>
                </c:pt>
                <c:pt idx="484">
                  <c:v>221.1</c:v>
                </c:pt>
                <c:pt idx="485">
                  <c:v>161.70000000000002</c:v>
                </c:pt>
                <c:pt idx="486">
                  <c:v>85.3</c:v>
                </c:pt>
                <c:pt idx="487">
                  <c:v>122.8</c:v>
                </c:pt>
                <c:pt idx="488">
                  <c:v>67.400000000000006</c:v>
                </c:pt>
                <c:pt idx="489">
                  <c:v>94.2</c:v>
                </c:pt>
                <c:pt idx="490">
                  <c:v>66.099999999999994</c:v>
                </c:pt>
                <c:pt idx="491">
                  <c:v>50.7</c:v>
                </c:pt>
                <c:pt idx="492">
                  <c:v>111.9</c:v>
                </c:pt>
                <c:pt idx="493">
                  <c:v>87.4</c:v>
                </c:pt>
                <c:pt idx="494">
                  <c:v>72.8</c:v>
                </c:pt>
                <c:pt idx="495">
                  <c:v>65.8</c:v>
                </c:pt>
                <c:pt idx="496">
                  <c:v>125</c:v>
                </c:pt>
                <c:pt idx="497">
                  <c:v>68.599999999999994</c:v>
                </c:pt>
                <c:pt idx="498">
                  <c:v>83.5</c:v>
                </c:pt>
                <c:pt idx="499">
                  <c:v>146.69999999999999</c:v>
                </c:pt>
                <c:pt idx="500">
                  <c:v>110.6</c:v>
                </c:pt>
                <c:pt idx="501">
                  <c:v>47.6</c:v>
                </c:pt>
                <c:pt idx="502">
                  <c:v>68.7</c:v>
                </c:pt>
                <c:pt idx="503">
                  <c:v>49.6</c:v>
                </c:pt>
                <c:pt idx="504">
                  <c:v>118.1</c:v>
                </c:pt>
                <c:pt idx="505">
                  <c:v>88</c:v>
                </c:pt>
                <c:pt idx="506">
                  <c:v>56.9</c:v>
                </c:pt>
                <c:pt idx="507">
                  <c:v>46.1</c:v>
                </c:pt>
                <c:pt idx="508">
                  <c:v>67.5</c:v>
                </c:pt>
                <c:pt idx="509">
                  <c:v>63.5</c:v>
                </c:pt>
                <c:pt idx="510">
                  <c:v>64.2</c:v>
                </c:pt>
                <c:pt idx="511">
                  <c:v>46</c:v>
                </c:pt>
                <c:pt idx="512">
                  <c:v>44.5</c:v>
                </c:pt>
                <c:pt idx="513">
                  <c:v>2.9215</c:v>
                </c:pt>
                <c:pt idx="514">
                  <c:v>63.9</c:v>
                </c:pt>
                <c:pt idx="515">
                  <c:v>78.099999999999994</c:v>
                </c:pt>
                <c:pt idx="516">
                  <c:v>31.9</c:v>
                </c:pt>
                <c:pt idx="517">
                  <c:v>51.6</c:v>
                </c:pt>
                <c:pt idx="518">
                  <c:v>27.8</c:v>
                </c:pt>
                <c:pt idx="519">
                  <c:v>53.7</c:v>
                </c:pt>
                <c:pt idx="520">
                  <c:v>58.4</c:v>
                </c:pt>
                <c:pt idx="521">
                  <c:v>43</c:v>
                </c:pt>
                <c:pt idx="522">
                  <c:v>37.1</c:v>
                </c:pt>
                <c:pt idx="523">
                  <c:v>36.9</c:v>
                </c:pt>
                <c:pt idx="524">
                  <c:v>48.8</c:v>
                </c:pt>
                <c:pt idx="525">
                  <c:v>48.3</c:v>
                </c:pt>
                <c:pt idx="526">
                  <c:v>37.700000000000003</c:v>
                </c:pt>
                <c:pt idx="527">
                  <c:v>27</c:v>
                </c:pt>
                <c:pt idx="528">
                  <c:v>35.6</c:v>
                </c:pt>
                <c:pt idx="529">
                  <c:v>46</c:v>
                </c:pt>
                <c:pt idx="530">
                  <c:v>59.2</c:v>
                </c:pt>
                <c:pt idx="531">
                  <c:v>46.1</c:v>
                </c:pt>
                <c:pt idx="532">
                  <c:v>76.900000000000006</c:v>
                </c:pt>
                <c:pt idx="533">
                  <c:v>36.299999999999997</c:v>
                </c:pt>
                <c:pt idx="534">
                  <c:v>78.599999999999994</c:v>
                </c:pt>
                <c:pt idx="535">
                  <c:v>57.6</c:v>
                </c:pt>
                <c:pt idx="536">
                  <c:v>67.599999999999994</c:v>
                </c:pt>
                <c:pt idx="537">
                  <c:v>50</c:v>
                </c:pt>
                <c:pt idx="538">
                  <c:v>42.5</c:v>
                </c:pt>
                <c:pt idx="539">
                  <c:v>88.7</c:v>
                </c:pt>
                <c:pt idx="540">
                  <c:v>90</c:v>
                </c:pt>
                <c:pt idx="541">
                  <c:v>94</c:v>
                </c:pt>
                <c:pt idx="542">
                  <c:v>11.6</c:v>
                </c:pt>
                <c:pt idx="543">
                  <c:v>45.2</c:v>
                </c:pt>
                <c:pt idx="544">
                  <c:v>63.8</c:v>
                </c:pt>
                <c:pt idx="545">
                  <c:v>92.1</c:v>
                </c:pt>
                <c:pt idx="546">
                  <c:v>65</c:v>
                </c:pt>
                <c:pt idx="547">
                  <c:v>132.30000000000001</c:v>
                </c:pt>
                <c:pt idx="548">
                  <c:v>267.5</c:v>
                </c:pt>
                <c:pt idx="549">
                  <c:v>113</c:v>
                </c:pt>
                <c:pt idx="550">
                  <c:v>40.999999999999993</c:v>
                </c:pt>
                <c:pt idx="551">
                  <c:v>44.1</c:v>
                </c:pt>
                <c:pt idx="552">
                  <c:v>44.4</c:v>
                </c:pt>
                <c:pt idx="553">
                  <c:v>89</c:v>
                </c:pt>
                <c:pt idx="554">
                  <c:v>70.599999999999994</c:v>
                </c:pt>
                <c:pt idx="555">
                  <c:v>75.5</c:v>
                </c:pt>
                <c:pt idx="556">
                  <c:v>54</c:v>
                </c:pt>
                <c:pt idx="557">
                  <c:v>28.1</c:v>
                </c:pt>
                <c:pt idx="558">
                  <c:v>43.9</c:v>
                </c:pt>
                <c:pt idx="559">
                  <c:v>57</c:v>
                </c:pt>
                <c:pt idx="560">
                  <c:v>42.3</c:v>
                </c:pt>
                <c:pt idx="561">
                  <c:v>68.8</c:v>
                </c:pt>
                <c:pt idx="562">
                  <c:v>67.400000000000006</c:v>
                </c:pt>
                <c:pt idx="563">
                  <c:v>53.2</c:v>
                </c:pt>
                <c:pt idx="564">
                  <c:v>65.900000000000006</c:v>
                </c:pt>
                <c:pt idx="565">
                  <c:v>42.2</c:v>
                </c:pt>
                <c:pt idx="566">
                  <c:v>64.7</c:v>
                </c:pt>
                <c:pt idx="567">
                  <c:v>184</c:v>
                </c:pt>
                <c:pt idx="568">
                  <c:v>124.9</c:v>
                </c:pt>
                <c:pt idx="569">
                  <c:v>85.5</c:v>
                </c:pt>
                <c:pt idx="570">
                  <c:v>61</c:v>
                </c:pt>
                <c:pt idx="571">
                  <c:v>38.6</c:v>
                </c:pt>
                <c:pt idx="572">
                  <c:v>63.2</c:v>
                </c:pt>
                <c:pt idx="573">
                  <c:v>44.2</c:v>
                </c:pt>
                <c:pt idx="574">
                  <c:v>52.7</c:v>
                </c:pt>
                <c:pt idx="575">
                  <c:v>51.2</c:v>
                </c:pt>
                <c:pt idx="576">
                  <c:v>55.1</c:v>
                </c:pt>
                <c:pt idx="577">
                  <c:v>34.9</c:v>
                </c:pt>
                <c:pt idx="578">
                  <c:v>101.2</c:v>
                </c:pt>
                <c:pt idx="579">
                  <c:v>38.799999999999997</c:v>
                </c:pt>
                <c:pt idx="580">
                  <c:v>37.6</c:v>
                </c:pt>
                <c:pt idx="581">
                  <c:v>29.7</c:v>
                </c:pt>
                <c:pt idx="582">
                  <c:v>31.9</c:v>
                </c:pt>
                <c:pt idx="583">
                  <c:v>31.1</c:v>
                </c:pt>
                <c:pt idx="584">
                  <c:v>37.9</c:v>
                </c:pt>
                <c:pt idx="585">
                  <c:v>35.799999999999997</c:v>
                </c:pt>
                <c:pt idx="586">
                  <c:v>49</c:v>
                </c:pt>
                <c:pt idx="587">
                  <c:v>66.7</c:v>
                </c:pt>
                <c:pt idx="588">
                  <c:v>85.5</c:v>
                </c:pt>
                <c:pt idx="589">
                  <c:v>34.6</c:v>
                </c:pt>
                <c:pt idx="590">
                  <c:v>5.7224000000000004</c:v>
                </c:pt>
                <c:pt idx="591">
                  <c:v>29.4</c:v>
                </c:pt>
                <c:pt idx="592">
                  <c:v>55</c:v>
                </c:pt>
                <c:pt idx="593">
                  <c:v>35.5</c:v>
                </c:pt>
                <c:pt idx="594">
                  <c:v>22.7</c:v>
                </c:pt>
                <c:pt idx="595">
                  <c:v>27.4</c:v>
                </c:pt>
                <c:pt idx="596">
                  <c:v>33.5</c:v>
                </c:pt>
                <c:pt idx="597">
                  <c:v>37.6</c:v>
                </c:pt>
                <c:pt idx="598">
                  <c:v>30.9</c:v>
                </c:pt>
                <c:pt idx="599">
                  <c:v>34.5</c:v>
                </c:pt>
                <c:pt idx="600">
                  <c:v>26.7</c:v>
                </c:pt>
                <c:pt idx="601">
                  <c:v>46.3</c:v>
                </c:pt>
                <c:pt idx="602">
                  <c:v>63.6</c:v>
                </c:pt>
                <c:pt idx="603">
                  <c:v>69.400000000000006</c:v>
                </c:pt>
                <c:pt idx="604">
                  <c:v>26.4</c:v>
                </c:pt>
                <c:pt idx="605">
                  <c:v>39.299999999999997</c:v>
                </c:pt>
                <c:pt idx="606">
                  <c:v>68</c:v>
                </c:pt>
                <c:pt idx="607">
                  <c:v>42.6</c:v>
                </c:pt>
                <c:pt idx="608">
                  <c:v>39.200000000000003</c:v>
                </c:pt>
                <c:pt idx="609">
                  <c:v>48.5</c:v>
                </c:pt>
                <c:pt idx="610">
                  <c:v>179.7</c:v>
                </c:pt>
                <c:pt idx="611">
                  <c:v>110.8</c:v>
                </c:pt>
                <c:pt idx="612">
                  <c:v>72.2</c:v>
                </c:pt>
                <c:pt idx="613">
                  <c:v>56.9</c:v>
                </c:pt>
                <c:pt idx="614">
                  <c:v>35.700000000000003</c:v>
                </c:pt>
                <c:pt idx="615">
                  <c:v>36</c:v>
                </c:pt>
                <c:pt idx="616">
                  <c:v>73.8</c:v>
                </c:pt>
                <c:pt idx="617">
                  <c:v>45.1</c:v>
                </c:pt>
                <c:pt idx="618">
                  <c:v>41.8</c:v>
                </c:pt>
                <c:pt idx="619">
                  <c:v>60.7</c:v>
                </c:pt>
                <c:pt idx="620">
                  <c:v>58.1</c:v>
                </c:pt>
                <c:pt idx="621">
                  <c:v>38.6</c:v>
                </c:pt>
                <c:pt idx="622">
                  <c:v>40</c:v>
                </c:pt>
                <c:pt idx="623">
                  <c:v>42.2</c:v>
                </c:pt>
                <c:pt idx="624">
                  <c:v>54.6</c:v>
                </c:pt>
                <c:pt idx="625">
                  <c:v>67.8</c:v>
                </c:pt>
                <c:pt idx="626">
                  <c:v>41.7</c:v>
                </c:pt>
                <c:pt idx="627">
                  <c:v>39.9</c:v>
                </c:pt>
                <c:pt idx="628">
                  <c:v>86.6</c:v>
                </c:pt>
                <c:pt idx="629">
                  <c:v>64.400000000000006</c:v>
                </c:pt>
                <c:pt idx="630">
                  <c:v>48</c:v>
                </c:pt>
                <c:pt idx="631">
                  <c:v>67.900000000000006</c:v>
                </c:pt>
                <c:pt idx="632">
                  <c:v>41.8</c:v>
                </c:pt>
                <c:pt idx="633">
                  <c:v>31.3</c:v>
                </c:pt>
                <c:pt idx="634">
                  <c:v>44.1</c:v>
                </c:pt>
                <c:pt idx="635">
                  <c:v>50.8</c:v>
                </c:pt>
                <c:pt idx="636">
                  <c:v>55</c:v>
                </c:pt>
                <c:pt idx="637">
                  <c:v>46.1</c:v>
                </c:pt>
                <c:pt idx="638">
                  <c:v>35.799999999999997</c:v>
                </c:pt>
                <c:pt idx="639">
                  <c:v>97.9</c:v>
                </c:pt>
                <c:pt idx="640">
                  <c:v>30.7</c:v>
                </c:pt>
                <c:pt idx="641">
                  <c:v>30.7</c:v>
                </c:pt>
                <c:pt idx="642">
                  <c:v>31.3</c:v>
                </c:pt>
                <c:pt idx="643">
                  <c:v>43.1</c:v>
                </c:pt>
                <c:pt idx="644">
                  <c:v>51.7</c:v>
                </c:pt>
                <c:pt idx="645">
                  <c:v>25.6</c:v>
                </c:pt>
                <c:pt idx="646">
                  <c:v>28.9</c:v>
                </c:pt>
                <c:pt idx="647">
                  <c:v>30.3</c:v>
                </c:pt>
                <c:pt idx="648">
                  <c:v>51.3</c:v>
                </c:pt>
                <c:pt idx="649">
                  <c:v>56.2</c:v>
                </c:pt>
                <c:pt idx="650">
                  <c:v>77.400000000000006</c:v>
                </c:pt>
                <c:pt idx="651">
                  <c:v>43</c:v>
                </c:pt>
                <c:pt idx="652">
                  <c:v>57.8</c:v>
                </c:pt>
                <c:pt idx="653">
                  <c:v>38.700000000000003</c:v>
                </c:pt>
                <c:pt idx="654">
                  <c:v>40.9</c:v>
                </c:pt>
                <c:pt idx="655">
                  <c:v>41.6</c:v>
                </c:pt>
                <c:pt idx="656">
                  <c:v>37.299999999999997</c:v>
                </c:pt>
                <c:pt idx="657">
                  <c:v>57.1</c:v>
                </c:pt>
                <c:pt idx="658">
                  <c:v>65</c:v>
                </c:pt>
                <c:pt idx="659">
                  <c:v>74.2</c:v>
                </c:pt>
                <c:pt idx="660">
                  <c:v>60.6</c:v>
                </c:pt>
                <c:pt idx="661">
                  <c:v>79</c:v>
                </c:pt>
                <c:pt idx="662">
                  <c:v>61.2</c:v>
                </c:pt>
                <c:pt idx="663">
                  <c:v>91.9</c:v>
                </c:pt>
                <c:pt idx="664">
                  <c:v>55.3</c:v>
                </c:pt>
                <c:pt idx="665">
                  <c:v>68</c:v>
                </c:pt>
                <c:pt idx="666">
                  <c:v>88.6</c:v>
                </c:pt>
                <c:pt idx="667">
                  <c:v>455.5</c:v>
                </c:pt>
                <c:pt idx="668">
                  <c:v>83.5</c:v>
                </c:pt>
                <c:pt idx="669">
                  <c:v>136.9</c:v>
                </c:pt>
                <c:pt idx="670">
                  <c:v>167.39999999999998</c:v>
                </c:pt>
                <c:pt idx="671">
                  <c:v>115.7</c:v>
                </c:pt>
                <c:pt idx="672">
                  <c:v>128.30000000000001</c:v>
                </c:pt>
                <c:pt idx="673">
                  <c:v>99.8</c:v>
                </c:pt>
                <c:pt idx="674">
                  <c:v>81</c:v>
                </c:pt>
                <c:pt idx="675">
                  <c:v>61.3</c:v>
                </c:pt>
                <c:pt idx="676">
                  <c:v>39.4</c:v>
                </c:pt>
                <c:pt idx="677">
                  <c:v>63</c:v>
                </c:pt>
                <c:pt idx="678">
                  <c:v>59.6</c:v>
                </c:pt>
                <c:pt idx="679">
                  <c:v>54.1</c:v>
                </c:pt>
                <c:pt idx="680">
                  <c:v>58</c:v>
                </c:pt>
                <c:pt idx="681">
                  <c:v>77.3</c:v>
                </c:pt>
                <c:pt idx="682">
                  <c:v>128.19999999999999</c:v>
                </c:pt>
                <c:pt idx="683">
                  <c:v>56.6</c:v>
                </c:pt>
                <c:pt idx="684">
                  <c:v>32.4</c:v>
                </c:pt>
                <c:pt idx="685">
                  <c:v>34</c:v>
                </c:pt>
                <c:pt idx="686">
                  <c:v>72.400000000000006</c:v>
                </c:pt>
                <c:pt idx="687">
                  <c:v>66.8</c:v>
                </c:pt>
                <c:pt idx="688">
                  <c:v>40.4</c:v>
                </c:pt>
                <c:pt idx="689">
                  <c:v>40.1</c:v>
                </c:pt>
                <c:pt idx="690">
                  <c:v>44.5</c:v>
                </c:pt>
                <c:pt idx="691">
                  <c:v>85.4</c:v>
                </c:pt>
                <c:pt idx="692">
                  <c:v>61.6</c:v>
                </c:pt>
                <c:pt idx="693">
                  <c:v>34.6</c:v>
                </c:pt>
                <c:pt idx="694">
                  <c:v>48.5</c:v>
                </c:pt>
                <c:pt idx="695">
                  <c:v>47.9</c:v>
                </c:pt>
                <c:pt idx="696">
                  <c:v>53.4</c:v>
                </c:pt>
                <c:pt idx="697">
                  <c:v>50.3</c:v>
                </c:pt>
                <c:pt idx="698">
                  <c:v>54</c:v>
                </c:pt>
                <c:pt idx="699">
                  <c:v>100.1</c:v>
                </c:pt>
                <c:pt idx="700">
                  <c:v>50</c:v>
                </c:pt>
                <c:pt idx="701">
                  <c:v>109.1</c:v>
                </c:pt>
                <c:pt idx="702">
                  <c:v>42.8</c:v>
                </c:pt>
                <c:pt idx="703">
                  <c:v>178</c:v>
                </c:pt>
                <c:pt idx="704">
                  <c:v>62.7</c:v>
                </c:pt>
                <c:pt idx="705">
                  <c:v>44.2</c:v>
                </c:pt>
                <c:pt idx="706">
                  <c:v>55.2</c:v>
                </c:pt>
                <c:pt idx="707">
                  <c:v>43.3</c:v>
                </c:pt>
                <c:pt idx="708">
                  <c:v>48.2</c:v>
                </c:pt>
                <c:pt idx="709">
                  <c:v>74.400000000000006</c:v>
                </c:pt>
                <c:pt idx="710">
                  <c:v>76.3</c:v>
                </c:pt>
                <c:pt idx="711">
                  <c:v>110.9</c:v>
                </c:pt>
                <c:pt idx="712">
                  <c:v>69.5</c:v>
                </c:pt>
                <c:pt idx="713">
                  <c:v>104.7</c:v>
                </c:pt>
                <c:pt idx="714">
                  <c:v>52.4</c:v>
                </c:pt>
                <c:pt idx="715">
                  <c:v>55.3</c:v>
                </c:pt>
                <c:pt idx="716">
                  <c:v>82.899999999999991</c:v>
                </c:pt>
                <c:pt idx="717">
                  <c:v>68.900000000000006</c:v>
                </c:pt>
                <c:pt idx="718">
                  <c:v>65.2</c:v>
                </c:pt>
                <c:pt idx="719">
                  <c:v>49.7</c:v>
                </c:pt>
                <c:pt idx="720">
                  <c:v>52.6</c:v>
                </c:pt>
                <c:pt idx="721">
                  <c:v>53.7</c:v>
                </c:pt>
                <c:pt idx="722">
                  <c:v>45.1</c:v>
                </c:pt>
                <c:pt idx="723">
                  <c:v>55.5</c:v>
                </c:pt>
                <c:pt idx="724">
                  <c:v>88.9</c:v>
                </c:pt>
                <c:pt idx="725">
                  <c:v>101.2</c:v>
                </c:pt>
                <c:pt idx="726">
                  <c:v>80.2</c:v>
                </c:pt>
                <c:pt idx="727">
                  <c:v>56.8</c:v>
                </c:pt>
                <c:pt idx="728">
                  <c:v>68.099999999999994</c:v>
                </c:pt>
                <c:pt idx="729">
                  <c:v>83.100000000000009</c:v>
                </c:pt>
                <c:pt idx="730">
                  <c:v>86.9</c:v>
                </c:pt>
                <c:pt idx="731">
                  <c:v>86.2</c:v>
                </c:pt>
                <c:pt idx="732">
                  <c:v>113.1</c:v>
                </c:pt>
                <c:pt idx="733">
                  <c:v>124.3</c:v>
                </c:pt>
                <c:pt idx="734">
                  <c:v>531.70000000000005</c:v>
                </c:pt>
                <c:pt idx="735">
                  <c:v>112.7</c:v>
                </c:pt>
                <c:pt idx="736">
                  <c:v>58.3</c:v>
                </c:pt>
                <c:pt idx="737">
                  <c:v>69.400000000000006</c:v>
                </c:pt>
                <c:pt idx="738">
                  <c:v>49.9</c:v>
                </c:pt>
                <c:pt idx="739">
                  <c:v>69.5</c:v>
                </c:pt>
                <c:pt idx="740">
                  <c:v>75.099999999999994</c:v>
                </c:pt>
                <c:pt idx="741">
                  <c:v>52.4</c:v>
                </c:pt>
                <c:pt idx="742">
                  <c:v>87.1</c:v>
                </c:pt>
                <c:pt idx="743">
                  <c:v>88.1</c:v>
                </c:pt>
                <c:pt idx="744">
                  <c:v>66.3</c:v>
                </c:pt>
                <c:pt idx="745">
                  <c:v>41.7</c:v>
                </c:pt>
                <c:pt idx="746">
                  <c:v>75.599999999999994</c:v>
                </c:pt>
                <c:pt idx="747">
                  <c:v>76.099999999999994</c:v>
                </c:pt>
                <c:pt idx="748">
                  <c:v>83.6</c:v>
                </c:pt>
                <c:pt idx="749">
                  <c:v>85.4</c:v>
                </c:pt>
                <c:pt idx="750">
                  <c:v>82.2</c:v>
                </c:pt>
                <c:pt idx="751">
                  <c:v>90.9</c:v>
                </c:pt>
                <c:pt idx="752">
                  <c:v>73.2</c:v>
                </c:pt>
                <c:pt idx="753">
                  <c:v>75.599999999999994</c:v>
                </c:pt>
                <c:pt idx="754">
                  <c:v>74</c:v>
                </c:pt>
                <c:pt idx="755">
                  <c:v>88</c:v>
                </c:pt>
                <c:pt idx="756">
                  <c:v>37</c:v>
                </c:pt>
                <c:pt idx="757">
                  <c:v>51</c:v>
                </c:pt>
                <c:pt idx="758">
                  <c:v>41.4</c:v>
                </c:pt>
                <c:pt idx="759">
                  <c:v>65.599999999999994</c:v>
                </c:pt>
                <c:pt idx="760">
                  <c:v>46.2</c:v>
                </c:pt>
                <c:pt idx="761">
                  <c:v>46.4</c:v>
                </c:pt>
                <c:pt idx="762">
                  <c:v>51.3</c:v>
                </c:pt>
                <c:pt idx="763">
                  <c:v>96.8</c:v>
                </c:pt>
                <c:pt idx="764">
                  <c:v>49.2</c:v>
                </c:pt>
                <c:pt idx="765">
                  <c:v>27.9</c:v>
                </c:pt>
                <c:pt idx="766">
                  <c:v>47.7</c:v>
                </c:pt>
                <c:pt idx="767">
                  <c:v>36.6</c:v>
                </c:pt>
                <c:pt idx="768">
                  <c:v>27.2</c:v>
                </c:pt>
                <c:pt idx="769">
                  <c:v>24.2</c:v>
                </c:pt>
                <c:pt idx="770">
                  <c:v>28.6</c:v>
                </c:pt>
                <c:pt idx="771">
                  <c:v>42.9</c:v>
                </c:pt>
                <c:pt idx="772">
                  <c:v>34.700000000000003</c:v>
                </c:pt>
                <c:pt idx="773">
                  <c:v>50.4</c:v>
                </c:pt>
                <c:pt idx="774">
                  <c:v>40</c:v>
                </c:pt>
                <c:pt idx="775">
                  <c:v>47.9</c:v>
                </c:pt>
                <c:pt idx="776">
                  <c:v>69</c:v>
                </c:pt>
                <c:pt idx="777">
                  <c:v>79.8</c:v>
                </c:pt>
                <c:pt idx="778">
                  <c:v>43.4</c:v>
                </c:pt>
                <c:pt idx="779">
                  <c:v>45.7</c:v>
                </c:pt>
                <c:pt idx="780">
                  <c:v>70.400000000000006</c:v>
                </c:pt>
                <c:pt idx="781">
                  <c:v>69.2</c:v>
                </c:pt>
                <c:pt idx="782">
                  <c:v>61.9</c:v>
                </c:pt>
                <c:pt idx="783">
                  <c:v>94.5</c:v>
                </c:pt>
                <c:pt idx="784">
                  <c:v>69.599999999999994</c:v>
                </c:pt>
                <c:pt idx="785">
                  <c:v>62.1</c:v>
                </c:pt>
                <c:pt idx="786">
                  <c:v>41.6</c:v>
                </c:pt>
                <c:pt idx="787">
                  <c:v>52</c:v>
                </c:pt>
                <c:pt idx="788">
                  <c:v>48.6</c:v>
                </c:pt>
                <c:pt idx="789">
                  <c:v>65</c:v>
                </c:pt>
                <c:pt idx="790">
                  <c:v>61.7</c:v>
                </c:pt>
                <c:pt idx="791">
                  <c:v>58.4</c:v>
                </c:pt>
                <c:pt idx="792">
                  <c:v>59.2</c:v>
                </c:pt>
                <c:pt idx="793">
                  <c:v>60.7</c:v>
                </c:pt>
                <c:pt idx="794">
                  <c:v>116.1</c:v>
                </c:pt>
                <c:pt idx="795">
                  <c:v>65.900000000000006</c:v>
                </c:pt>
                <c:pt idx="796">
                  <c:v>61.7</c:v>
                </c:pt>
                <c:pt idx="797">
                  <c:v>71.599999999999994</c:v>
                </c:pt>
                <c:pt idx="798">
                  <c:v>115</c:v>
                </c:pt>
                <c:pt idx="799">
                  <c:v>64.400000000000006</c:v>
                </c:pt>
                <c:pt idx="800">
                  <c:v>98.7</c:v>
                </c:pt>
                <c:pt idx="801">
                  <c:v>70.599999999999994</c:v>
                </c:pt>
                <c:pt idx="802">
                  <c:v>45.5</c:v>
                </c:pt>
                <c:pt idx="803">
                  <c:v>38</c:v>
                </c:pt>
                <c:pt idx="804">
                  <c:v>50.6</c:v>
                </c:pt>
                <c:pt idx="805">
                  <c:v>46.2</c:v>
                </c:pt>
                <c:pt idx="806">
                  <c:v>50.3</c:v>
                </c:pt>
                <c:pt idx="807">
                  <c:v>48.6</c:v>
                </c:pt>
                <c:pt idx="808">
                  <c:v>41.2</c:v>
                </c:pt>
                <c:pt idx="809">
                  <c:v>62.8</c:v>
                </c:pt>
                <c:pt idx="810">
                  <c:v>63</c:v>
                </c:pt>
                <c:pt idx="811">
                  <c:v>62.4</c:v>
                </c:pt>
                <c:pt idx="812">
                  <c:v>74</c:v>
                </c:pt>
                <c:pt idx="813">
                  <c:v>62.2</c:v>
                </c:pt>
                <c:pt idx="814">
                  <c:v>96.3</c:v>
                </c:pt>
                <c:pt idx="815">
                  <c:v>64.400000000000006</c:v>
                </c:pt>
                <c:pt idx="816">
                  <c:v>49.8</c:v>
                </c:pt>
                <c:pt idx="817">
                  <c:v>61.4</c:v>
                </c:pt>
                <c:pt idx="818">
                  <c:v>80.399999999999991</c:v>
                </c:pt>
                <c:pt idx="819">
                  <c:v>88.8</c:v>
                </c:pt>
                <c:pt idx="820">
                  <c:v>42.1</c:v>
                </c:pt>
                <c:pt idx="821">
                  <c:v>49</c:v>
                </c:pt>
                <c:pt idx="822">
                  <c:v>48.2</c:v>
                </c:pt>
                <c:pt idx="823">
                  <c:v>38.200000000000003</c:v>
                </c:pt>
                <c:pt idx="824">
                  <c:v>42.8</c:v>
                </c:pt>
                <c:pt idx="825">
                  <c:v>54.1</c:v>
                </c:pt>
                <c:pt idx="826">
                  <c:v>118.7</c:v>
                </c:pt>
                <c:pt idx="827">
                  <c:v>31.3</c:v>
                </c:pt>
                <c:pt idx="828">
                  <c:v>38.299999999999997</c:v>
                </c:pt>
                <c:pt idx="829">
                  <c:v>45.6</c:v>
                </c:pt>
                <c:pt idx="830">
                  <c:v>52.8</c:v>
                </c:pt>
                <c:pt idx="831">
                  <c:v>32.5</c:v>
                </c:pt>
                <c:pt idx="832">
                  <c:v>34</c:v>
                </c:pt>
                <c:pt idx="833">
                  <c:v>30.7</c:v>
                </c:pt>
                <c:pt idx="834">
                  <c:v>31.3</c:v>
                </c:pt>
                <c:pt idx="835">
                  <c:v>34.700000000000003</c:v>
                </c:pt>
                <c:pt idx="836">
                  <c:v>45</c:v>
                </c:pt>
                <c:pt idx="837">
                  <c:v>35</c:v>
                </c:pt>
                <c:pt idx="838">
                  <c:v>49.1</c:v>
                </c:pt>
                <c:pt idx="839">
                  <c:v>72.099999999999994</c:v>
                </c:pt>
                <c:pt idx="840">
                  <c:v>34.4</c:v>
                </c:pt>
                <c:pt idx="841">
                  <c:v>33.299999999999997</c:v>
                </c:pt>
                <c:pt idx="842">
                  <c:v>49</c:v>
                </c:pt>
                <c:pt idx="843">
                  <c:v>45.1</c:v>
                </c:pt>
                <c:pt idx="844">
                  <c:v>31.7</c:v>
                </c:pt>
                <c:pt idx="845">
                  <c:v>29.4</c:v>
                </c:pt>
                <c:pt idx="846">
                  <c:v>45.4</c:v>
                </c:pt>
                <c:pt idx="847">
                  <c:v>45.4</c:v>
                </c:pt>
                <c:pt idx="848">
                  <c:v>30.5</c:v>
                </c:pt>
                <c:pt idx="849">
                  <c:v>67.599999999999994</c:v>
                </c:pt>
                <c:pt idx="850">
                  <c:v>39.1</c:v>
                </c:pt>
                <c:pt idx="851">
                  <c:v>9.8284000000000002</c:v>
                </c:pt>
                <c:pt idx="852">
                  <c:v>35.9</c:v>
                </c:pt>
                <c:pt idx="853">
                  <c:v>45.8</c:v>
                </c:pt>
                <c:pt idx="854">
                  <c:v>35.5</c:v>
                </c:pt>
                <c:pt idx="855">
                  <c:v>46.9</c:v>
                </c:pt>
                <c:pt idx="856">
                  <c:v>42.9</c:v>
                </c:pt>
                <c:pt idx="857">
                  <c:v>149.9</c:v>
                </c:pt>
                <c:pt idx="858">
                  <c:v>48.2</c:v>
                </c:pt>
                <c:pt idx="859">
                  <c:v>54.8</c:v>
                </c:pt>
                <c:pt idx="860">
                  <c:v>128.19999999999999</c:v>
                </c:pt>
                <c:pt idx="861">
                  <c:v>52.7</c:v>
                </c:pt>
                <c:pt idx="862">
                  <c:v>39.9</c:v>
                </c:pt>
                <c:pt idx="863">
                  <c:v>61.8</c:v>
                </c:pt>
                <c:pt idx="864">
                  <c:v>66.3</c:v>
                </c:pt>
                <c:pt idx="865">
                  <c:v>49.4</c:v>
                </c:pt>
                <c:pt idx="866">
                  <c:v>81.199999999999989</c:v>
                </c:pt>
                <c:pt idx="867">
                  <c:v>61.2</c:v>
                </c:pt>
                <c:pt idx="868">
                  <c:v>70.2</c:v>
                </c:pt>
                <c:pt idx="869">
                  <c:v>85.6</c:v>
                </c:pt>
                <c:pt idx="870">
                  <c:v>94.1</c:v>
                </c:pt>
                <c:pt idx="871">
                  <c:v>104.3</c:v>
                </c:pt>
                <c:pt idx="872">
                  <c:v>91.7</c:v>
                </c:pt>
                <c:pt idx="873">
                  <c:v>79.2</c:v>
                </c:pt>
                <c:pt idx="874">
                  <c:v>72.2</c:v>
                </c:pt>
                <c:pt idx="875">
                  <c:v>66</c:v>
                </c:pt>
                <c:pt idx="876">
                  <c:v>204.6</c:v>
                </c:pt>
                <c:pt idx="877">
                  <c:v>127.8</c:v>
                </c:pt>
                <c:pt idx="878">
                  <c:v>143.30000000000001</c:v>
                </c:pt>
                <c:pt idx="879">
                  <c:v>49.5</c:v>
                </c:pt>
                <c:pt idx="880">
                  <c:v>54.9</c:v>
                </c:pt>
                <c:pt idx="881">
                  <c:v>48.2</c:v>
                </c:pt>
                <c:pt idx="882">
                  <c:v>40.599999999999994</c:v>
                </c:pt>
                <c:pt idx="883">
                  <c:v>36</c:v>
                </c:pt>
                <c:pt idx="884">
                  <c:v>34.299999999999997</c:v>
                </c:pt>
                <c:pt idx="885">
                  <c:v>36.700000000000003</c:v>
                </c:pt>
                <c:pt idx="886">
                  <c:v>51.8</c:v>
                </c:pt>
                <c:pt idx="887">
                  <c:v>81.400000000000006</c:v>
                </c:pt>
                <c:pt idx="888">
                  <c:v>67.3</c:v>
                </c:pt>
                <c:pt idx="889">
                  <c:v>80.8</c:v>
                </c:pt>
                <c:pt idx="890">
                  <c:v>30.8</c:v>
                </c:pt>
                <c:pt idx="891">
                  <c:v>43.3</c:v>
                </c:pt>
                <c:pt idx="892">
                  <c:v>28.9</c:v>
                </c:pt>
                <c:pt idx="893">
                  <c:v>55.5</c:v>
                </c:pt>
                <c:pt idx="894">
                  <c:v>39.5</c:v>
                </c:pt>
                <c:pt idx="895">
                  <c:v>47.4</c:v>
                </c:pt>
                <c:pt idx="896">
                  <c:v>46.4</c:v>
                </c:pt>
                <c:pt idx="897">
                  <c:v>40.700000000000003</c:v>
                </c:pt>
                <c:pt idx="898">
                  <c:v>30</c:v>
                </c:pt>
                <c:pt idx="899">
                  <c:v>35.6</c:v>
                </c:pt>
                <c:pt idx="900">
                  <c:v>34.6</c:v>
                </c:pt>
                <c:pt idx="901">
                  <c:v>44.2</c:v>
                </c:pt>
                <c:pt idx="902">
                  <c:v>37.6</c:v>
                </c:pt>
                <c:pt idx="903">
                  <c:v>53.6</c:v>
                </c:pt>
                <c:pt idx="904">
                  <c:v>74</c:v>
                </c:pt>
                <c:pt idx="905">
                  <c:v>60.1</c:v>
                </c:pt>
                <c:pt idx="906">
                  <c:v>43.7</c:v>
                </c:pt>
                <c:pt idx="907">
                  <c:v>29.8</c:v>
                </c:pt>
                <c:pt idx="908">
                  <c:v>70.099999999999994</c:v>
                </c:pt>
                <c:pt idx="909">
                  <c:v>66.400000000000006</c:v>
                </c:pt>
                <c:pt idx="910">
                  <c:v>45.2</c:v>
                </c:pt>
                <c:pt idx="911">
                  <c:v>72.7</c:v>
                </c:pt>
                <c:pt idx="912">
                  <c:v>78.599999999999994</c:v>
                </c:pt>
                <c:pt idx="913">
                  <c:v>70.2</c:v>
                </c:pt>
                <c:pt idx="914">
                  <c:v>50.1</c:v>
                </c:pt>
                <c:pt idx="915">
                  <c:v>50.8</c:v>
                </c:pt>
                <c:pt idx="916">
                  <c:v>34.200000000000003</c:v>
                </c:pt>
                <c:pt idx="917">
                  <c:v>58.4</c:v>
                </c:pt>
                <c:pt idx="918">
                  <c:v>56.2</c:v>
                </c:pt>
                <c:pt idx="919">
                  <c:v>61.6</c:v>
                </c:pt>
                <c:pt idx="920">
                  <c:v>52.6</c:v>
                </c:pt>
                <c:pt idx="921">
                  <c:v>47.1</c:v>
                </c:pt>
                <c:pt idx="922">
                  <c:v>47</c:v>
                </c:pt>
                <c:pt idx="923">
                  <c:v>36.5</c:v>
                </c:pt>
                <c:pt idx="924">
                  <c:v>33.200000000000003</c:v>
                </c:pt>
                <c:pt idx="925">
                  <c:v>52.1</c:v>
                </c:pt>
                <c:pt idx="926">
                  <c:v>73.8</c:v>
                </c:pt>
                <c:pt idx="927">
                  <c:v>48</c:v>
                </c:pt>
                <c:pt idx="928">
                  <c:v>46.5</c:v>
                </c:pt>
                <c:pt idx="929">
                  <c:v>91.7</c:v>
                </c:pt>
                <c:pt idx="930">
                  <c:v>50.6</c:v>
                </c:pt>
                <c:pt idx="931">
                  <c:v>44.1</c:v>
                </c:pt>
                <c:pt idx="932">
                  <c:v>45.1</c:v>
                </c:pt>
                <c:pt idx="933">
                  <c:v>61.1</c:v>
                </c:pt>
                <c:pt idx="934">
                  <c:v>62.5</c:v>
                </c:pt>
                <c:pt idx="935">
                  <c:v>62.5</c:v>
                </c:pt>
                <c:pt idx="936">
                  <c:v>62.7</c:v>
                </c:pt>
                <c:pt idx="937">
                  <c:v>46</c:v>
                </c:pt>
                <c:pt idx="938">
                  <c:v>96.9</c:v>
                </c:pt>
                <c:pt idx="939">
                  <c:v>66.400000000000006</c:v>
                </c:pt>
                <c:pt idx="940">
                  <c:v>46.5</c:v>
                </c:pt>
                <c:pt idx="941">
                  <c:v>60.9</c:v>
                </c:pt>
                <c:pt idx="942">
                  <c:v>69.900000000000006</c:v>
                </c:pt>
                <c:pt idx="943">
                  <c:v>65.2</c:v>
                </c:pt>
                <c:pt idx="944">
                  <c:v>43.6</c:v>
                </c:pt>
                <c:pt idx="945">
                  <c:v>47</c:v>
                </c:pt>
                <c:pt idx="946">
                  <c:v>49</c:v>
                </c:pt>
                <c:pt idx="947">
                  <c:v>66.2</c:v>
                </c:pt>
                <c:pt idx="948">
                  <c:v>94</c:v>
                </c:pt>
                <c:pt idx="949">
                  <c:v>72.099999999999994</c:v>
                </c:pt>
                <c:pt idx="950">
                  <c:v>87.4</c:v>
                </c:pt>
                <c:pt idx="951">
                  <c:v>160.30000000000001</c:v>
                </c:pt>
                <c:pt idx="952">
                  <c:v>109</c:v>
                </c:pt>
                <c:pt idx="953">
                  <c:v>82.8</c:v>
                </c:pt>
                <c:pt idx="954">
                  <c:v>130.4</c:v>
                </c:pt>
                <c:pt idx="955">
                  <c:v>96.3</c:v>
                </c:pt>
                <c:pt idx="956">
                  <c:v>56.9</c:v>
                </c:pt>
                <c:pt idx="957">
                  <c:v>58.9</c:v>
                </c:pt>
                <c:pt idx="958">
                  <c:v>104.9</c:v>
                </c:pt>
                <c:pt idx="959">
                  <c:v>165.6</c:v>
                </c:pt>
                <c:pt idx="960">
                  <c:v>65.900000000000006</c:v>
                </c:pt>
                <c:pt idx="961">
                  <c:v>65.2</c:v>
                </c:pt>
                <c:pt idx="962">
                  <c:v>61.5</c:v>
                </c:pt>
                <c:pt idx="963">
                  <c:v>67.2</c:v>
                </c:pt>
                <c:pt idx="964">
                  <c:v>70.3</c:v>
                </c:pt>
                <c:pt idx="965">
                  <c:v>78.5</c:v>
                </c:pt>
                <c:pt idx="966">
                  <c:v>62.1</c:v>
                </c:pt>
                <c:pt idx="967">
                  <c:v>68.3</c:v>
                </c:pt>
                <c:pt idx="968">
                  <c:v>61.7</c:v>
                </c:pt>
                <c:pt idx="969">
                  <c:v>61.4</c:v>
                </c:pt>
                <c:pt idx="970">
                  <c:v>62.2</c:v>
                </c:pt>
                <c:pt idx="971">
                  <c:v>70.7</c:v>
                </c:pt>
                <c:pt idx="972">
                  <c:v>98.3</c:v>
                </c:pt>
                <c:pt idx="973">
                  <c:v>92.5</c:v>
                </c:pt>
                <c:pt idx="974">
                  <c:v>88.2</c:v>
                </c:pt>
                <c:pt idx="975">
                  <c:v>53.5</c:v>
                </c:pt>
                <c:pt idx="976">
                  <c:v>70</c:v>
                </c:pt>
                <c:pt idx="977">
                  <c:v>81.300000000000011</c:v>
                </c:pt>
                <c:pt idx="978">
                  <c:v>77.7</c:v>
                </c:pt>
                <c:pt idx="979">
                  <c:v>106.8</c:v>
                </c:pt>
                <c:pt idx="980">
                  <c:v>170.4</c:v>
                </c:pt>
                <c:pt idx="981">
                  <c:v>305.2</c:v>
                </c:pt>
                <c:pt idx="982">
                  <c:v>62.6</c:v>
                </c:pt>
                <c:pt idx="983">
                  <c:v>64.599999999999994</c:v>
                </c:pt>
                <c:pt idx="984">
                  <c:v>82.5</c:v>
                </c:pt>
                <c:pt idx="985">
                  <c:v>51.3</c:v>
                </c:pt>
                <c:pt idx="986">
                  <c:v>58</c:v>
                </c:pt>
                <c:pt idx="987">
                  <c:v>54.1</c:v>
                </c:pt>
                <c:pt idx="988">
                  <c:v>54.7</c:v>
                </c:pt>
                <c:pt idx="989">
                  <c:v>73.599999999999994</c:v>
                </c:pt>
                <c:pt idx="990">
                  <c:v>61.7</c:v>
                </c:pt>
                <c:pt idx="991">
                  <c:v>54</c:v>
                </c:pt>
                <c:pt idx="992">
                  <c:v>78</c:v>
                </c:pt>
                <c:pt idx="993">
                  <c:v>39.200000000000003</c:v>
                </c:pt>
                <c:pt idx="994">
                  <c:v>40.1</c:v>
                </c:pt>
                <c:pt idx="995">
                  <c:v>34.4</c:v>
                </c:pt>
                <c:pt idx="996">
                  <c:v>37.799999999999997</c:v>
                </c:pt>
                <c:pt idx="997">
                  <c:v>61.9</c:v>
                </c:pt>
                <c:pt idx="998">
                  <c:v>57.1</c:v>
                </c:pt>
                <c:pt idx="999">
                  <c:v>83.6</c:v>
                </c:pt>
                <c:pt idx="1000">
                  <c:v>177.3</c:v>
                </c:pt>
                <c:pt idx="1001">
                  <c:v>52.3</c:v>
                </c:pt>
                <c:pt idx="1002">
                  <c:v>71.400000000000006</c:v>
                </c:pt>
                <c:pt idx="1003">
                  <c:v>102.9</c:v>
                </c:pt>
                <c:pt idx="1004">
                  <c:v>47.6</c:v>
                </c:pt>
                <c:pt idx="1005">
                  <c:v>65.5</c:v>
                </c:pt>
                <c:pt idx="1006">
                  <c:v>101.9</c:v>
                </c:pt>
                <c:pt idx="1007">
                  <c:v>109.8</c:v>
                </c:pt>
                <c:pt idx="1008">
                  <c:v>97.4</c:v>
                </c:pt>
                <c:pt idx="1009">
                  <c:v>90.7</c:v>
                </c:pt>
                <c:pt idx="1010">
                  <c:v>73.400000000000006</c:v>
                </c:pt>
                <c:pt idx="1011">
                  <c:v>67.7</c:v>
                </c:pt>
                <c:pt idx="1012">
                  <c:v>150.80000000000001</c:v>
                </c:pt>
                <c:pt idx="1013">
                  <c:v>97.4</c:v>
                </c:pt>
                <c:pt idx="1014">
                  <c:v>135.9</c:v>
                </c:pt>
                <c:pt idx="1015">
                  <c:v>54.8</c:v>
                </c:pt>
                <c:pt idx="1016">
                  <c:v>88.8</c:v>
                </c:pt>
                <c:pt idx="1017">
                  <c:v>51.2</c:v>
                </c:pt>
                <c:pt idx="1018">
                  <c:v>56</c:v>
                </c:pt>
                <c:pt idx="1019">
                  <c:v>39.4</c:v>
                </c:pt>
                <c:pt idx="1020">
                  <c:v>53.5</c:v>
                </c:pt>
                <c:pt idx="1021">
                  <c:v>46.7</c:v>
                </c:pt>
                <c:pt idx="1022">
                  <c:v>74.599999999999994</c:v>
                </c:pt>
                <c:pt idx="1023">
                  <c:v>75.5</c:v>
                </c:pt>
                <c:pt idx="1024">
                  <c:v>43.3</c:v>
                </c:pt>
                <c:pt idx="1025">
                  <c:v>38.700000000000003</c:v>
                </c:pt>
                <c:pt idx="1026">
                  <c:v>60.5</c:v>
                </c:pt>
                <c:pt idx="1027">
                  <c:v>43.1</c:v>
                </c:pt>
                <c:pt idx="1028">
                  <c:v>47</c:v>
                </c:pt>
                <c:pt idx="1029">
                  <c:v>38.299999999999997</c:v>
                </c:pt>
                <c:pt idx="1030">
                  <c:v>42.5</c:v>
                </c:pt>
                <c:pt idx="1031">
                  <c:v>51.2</c:v>
                </c:pt>
                <c:pt idx="1032">
                  <c:v>87.9</c:v>
                </c:pt>
                <c:pt idx="1033">
                  <c:v>110</c:v>
                </c:pt>
                <c:pt idx="1034">
                  <c:v>112.3</c:v>
                </c:pt>
                <c:pt idx="1035">
                  <c:v>91.4</c:v>
                </c:pt>
                <c:pt idx="1036">
                  <c:v>71.2</c:v>
                </c:pt>
                <c:pt idx="1037">
                  <c:v>82.5</c:v>
                </c:pt>
                <c:pt idx="1038">
                  <c:v>55.3</c:v>
                </c:pt>
                <c:pt idx="1039">
                  <c:v>57.5</c:v>
                </c:pt>
                <c:pt idx="1040">
                  <c:v>36.9</c:v>
                </c:pt>
                <c:pt idx="1041">
                  <c:v>52.6</c:v>
                </c:pt>
                <c:pt idx="1042">
                  <c:v>76.900000000000006</c:v>
                </c:pt>
                <c:pt idx="1043">
                  <c:v>142.80000000000001</c:v>
                </c:pt>
                <c:pt idx="1044">
                  <c:v>53.6</c:v>
                </c:pt>
                <c:pt idx="1045">
                  <c:v>51.4</c:v>
                </c:pt>
                <c:pt idx="1046">
                  <c:v>78.599999999999994</c:v>
                </c:pt>
                <c:pt idx="1047">
                  <c:v>48.3</c:v>
                </c:pt>
                <c:pt idx="1048">
                  <c:v>64.5</c:v>
                </c:pt>
                <c:pt idx="1049">
                  <c:v>70</c:v>
                </c:pt>
                <c:pt idx="1050">
                  <c:v>39.200000000000003</c:v>
                </c:pt>
                <c:pt idx="1051">
                  <c:v>33.299999999999997</c:v>
                </c:pt>
                <c:pt idx="1052">
                  <c:v>46.2</c:v>
                </c:pt>
                <c:pt idx="1053">
                  <c:v>45.8</c:v>
                </c:pt>
                <c:pt idx="1054">
                  <c:v>32.4</c:v>
                </c:pt>
                <c:pt idx="1055">
                  <c:v>33.4</c:v>
                </c:pt>
                <c:pt idx="1056">
                  <c:v>26.5</c:v>
                </c:pt>
                <c:pt idx="1057">
                  <c:v>37.799999999999997</c:v>
                </c:pt>
                <c:pt idx="1058">
                  <c:v>41.1</c:v>
                </c:pt>
                <c:pt idx="1059">
                  <c:v>41.6</c:v>
                </c:pt>
                <c:pt idx="1060">
                  <c:v>53.5</c:v>
                </c:pt>
                <c:pt idx="1061">
                  <c:v>57.7</c:v>
                </c:pt>
                <c:pt idx="1062">
                  <c:v>188.9</c:v>
                </c:pt>
                <c:pt idx="1063">
                  <c:v>44.8</c:v>
                </c:pt>
                <c:pt idx="1064">
                  <c:v>30.5</c:v>
                </c:pt>
                <c:pt idx="1065">
                  <c:v>47.7</c:v>
                </c:pt>
                <c:pt idx="1066">
                  <c:v>40.4</c:v>
                </c:pt>
                <c:pt idx="1067">
                  <c:v>18.2</c:v>
                </c:pt>
                <c:pt idx="1068">
                  <c:v>20.8</c:v>
                </c:pt>
                <c:pt idx="1069">
                  <c:v>30.3</c:v>
                </c:pt>
                <c:pt idx="1070">
                  <c:v>42</c:v>
                </c:pt>
                <c:pt idx="1071">
                  <c:v>39.9</c:v>
                </c:pt>
                <c:pt idx="1072">
                  <c:v>67.5</c:v>
                </c:pt>
                <c:pt idx="1073">
                  <c:v>55.6</c:v>
                </c:pt>
                <c:pt idx="1074">
                  <c:v>51.9</c:v>
                </c:pt>
                <c:pt idx="1075">
                  <c:v>148.1</c:v>
                </c:pt>
                <c:pt idx="1076">
                  <c:v>39.4</c:v>
                </c:pt>
                <c:pt idx="1077">
                  <c:v>44.9</c:v>
                </c:pt>
                <c:pt idx="1078">
                  <c:v>44.8</c:v>
                </c:pt>
                <c:pt idx="1079">
                  <c:v>73.3</c:v>
                </c:pt>
                <c:pt idx="1080">
                  <c:v>84.4</c:v>
                </c:pt>
                <c:pt idx="1081">
                  <c:v>66.2</c:v>
                </c:pt>
                <c:pt idx="1082">
                  <c:v>43.3</c:v>
                </c:pt>
                <c:pt idx="1083">
                  <c:v>47.3</c:v>
                </c:pt>
                <c:pt idx="1084">
                  <c:v>60.3</c:v>
                </c:pt>
                <c:pt idx="1085">
                  <c:v>43.5</c:v>
                </c:pt>
                <c:pt idx="1086">
                  <c:v>50.7</c:v>
                </c:pt>
                <c:pt idx="1087">
                  <c:v>47.3</c:v>
                </c:pt>
                <c:pt idx="1088">
                  <c:v>47.8</c:v>
                </c:pt>
                <c:pt idx="1089">
                  <c:v>40.199999999999996</c:v>
                </c:pt>
                <c:pt idx="1090">
                  <c:v>52.5</c:v>
                </c:pt>
                <c:pt idx="1091">
                  <c:v>4.8341000000000003</c:v>
                </c:pt>
                <c:pt idx="1092">
                  <c:v>35.299999999999997</c:v>
                </c:pt>
                <c:pt idx="1093">
                  <c:v>34.700000000000003</c:v>
                </c:pt>
                <c:pt idx="1094">
                  <c:v>36.4</c:v>
                </c:pt>
                <c:pt idx="1095">
                  <c:v>58.8</c:v>
                </c:pt>
                <c:pt idx="1096">
                  <c:v>53.3</c:v>
                </c:pt>
                <c:pt idx="1097">
                  <c:v>50.9</c:v>
                </c:pt>
                <c:pt idx="1098">
                  <c:v>58.7</c:v>
                </c:pt>
                <c:pt idx="1099">
                  <c:v>59.1</c:v>
                </c:pt>
                <c:pt idx="1100">
                  <c:v>73.7</c:v>
                </c:pt>
                <c:pt idx="1101">
                  <c:v>87.8</c:v>
                </c:pt>
                <c:pt idx="1102">
                  <c:v>58.8</c:v>
                </c:pt>
                <c:pt idx="1103">
                  <c:v>103.2</c:v>
                </c:pt>
                <c:pt idx="1104">
                  <c:v>134.4</c:v>
                </c:pt>
                <c:pt idx="1105">
                  <c:v>196.6</c:v>
                </c:pt>
                <c:pt idx="1106">
                  <c:v>71</c:v>
                </c:pt>
                <c:pt idx="1107">
                  <c:v>74.400000000000006</c:v>
                </c:pt>
                <c:pt idx="1108">
                  <c:v>88.4</c:v>
                </c:pt>
                <c:pt idx="1109">
                  <c:v>47.4</c:v>
                </c:pt>
                <c:pt idx="1110">
                  <c:v>54.8</c:v>
                </c:pt>
                <c:pt idx="1111">
                  <c:v>42.7</c:v>
                </c:pt>
                <c:pt idx="1112">
                  <c:v>43.7</c:v>
                </c:pt>
                <c:pt idx="1113">
                  <c:v>29.5</c:v>
                </c:pt>
                <c:pt idx="1114">
                  <c:v>57.3</c:v>
                </c:pt>
                <c:pt idx="1115">
                  <c:v>69.099999999999994</c:v>
                </c:pt>
                <c:pt idx="1116">
                  <c:v>77.900000000000006</c:v>
                </c:pt>
                <c:pt idx="1117">
                  <c:v>65.599999999999994</c:v>
                </c:pt>
                <c:pt idx="1118">
                  <c:v>50.5</c:v>
                </c:pt>
                <c:pt idx="1119">
                  <c:v>82.8</c:v>
                </c:pt>
                <c:pt idx="1120">
                  <c:v>38.299999999999997</c:v>
                </c:pt>
                <c:pt idx="1121">
                  <c:v>45.5</c:v>
                </c:pt>
                <c:pt idx="1122">
                  <c:v>46.7</c:v>
                </c:pt>
                <c:pt idx="1123">
                  <c:v>56.6</c:v>
                </c:pt>
                <c:pt idx="1124">
                  <c:v>74.5</c:v>
                </c:pt>
                <c:pt idx="1125">
                  <c:v>32.5</c:v>
                </c:pt>
                <c:pt idx="1126">
                  <c:v>40.599999999999994</c:v>
                </c:pt>
                <c:pt idx="1127">
                  <c:v>49.5</c:v>
                </c:pt>
                <c:pt idx="1128">
                  <c:v>46.6</c:v>
                </c:pt>
                <c:pt idx="1129">
                  <c:v>33.299999999999997</c:v>
                </c:pt>
                <c:pt idx="1130">
                  <c:v>45.8</c:v>
                </c:pt>
                <c:pt idx="1131">
                  <c:v>35.200000000000003</c:v>
                </c:pt>
                <c:pt idx="1132">
                  <c:v>48.8</c:v>
                </c:pt>
                <c:pt idx="1133">
                  <c:v>53.4</c:v>
                </c:pt>
                <c:pt idx="1134">
                  <c:v>68.3</c:v>
                </c:pt>
                <c:pt idx="1135">
                  <c:v>78</c:v>
                </c:pt>
                <c:pt idx="1136">
                  <c:v>122.6</c:v>
                </c:pt>
                <c:pt idx="1137">
                  <c:v>65.599999999999994</c:v>
                </c:pt>
                <c:pt idx="1138">
                  <c:v>67</c:v>
                </c:pt>
                <c:pt idx="1139">
                  <c:v>53</c:v>
                </c:pt>
                <c:pt idx="1140">
                  <c:v>61.5</c:v>
                </c:pt>
                <c:pt idx="1141">
                  <c:v>76</c:v>
                </c:pt>
                <c:pt idx="1142">
                  <c:v>61.9</c:v>
                </c:pt>
                <c:pt idx="1143">
                  <c:v>62.1</c:v>
                </c:pt>
                <c:pt idx="1144">
                  <c:v>66.900000000000006</c:v>
                </c:pt>
                <c:pt idx="1145">
                  <c:v>95.1</c:v>
                </c:pt>
                <c:pt idx="1146">
                  <c:v>45.6</c:v>
                </c:pt>
                <c:pt idx="1147">
                  <c:v>56.1</c:v>
                </c:pt>
                <c:pt idx="1148">
                  <c:v>56.6</c:v>
                </c:pt>
                <c:pt idx="1149">
                  <c:v>49</c:v>
                </c:pt>
                <c:pt idx="1150">
                  <c:v>68.5</c:v>
                </c:pt>
                <c:pt idx="1151">
                  <c:v>50.2</c:v>
                </c:pt>
                <c:pt idx="1152">
                  <c:v>37.5</c:v>
                </c:pt>
                <c:pt idx="1153">
                  <c:v>54.2</c:v>
                </c:pt>
                <c:pt idx="1154">
                  <c:v>67.400000000000006</c:v>
                </c:pt>
                <c:pt idx="1155">
                  <c:v>55.1</c:v>
                </c:pt>
                <c:pt idx="1156">
                  <c:v>55.5</c:v>
                </c:pt>
                <c:pt idx="1157">
                  <c:v>62.3</c:v>
                </c:pt>
                <c:pt idx="1158">
                  <c:v>46.6</c:v>
                </c:pt>
                <c:pt idx="1159">
                  <c:v>46.9</c:v>
                </c:pt>
                <c:pt idx="1160">
                  <c:v>58.9</c:v>
                </c:pt>
                <c:pt idx="1161">
                  <c:v>45.9</c:v>
                </c:pt>
                <c:pt idx="1162">
                  <c:v>41.8</c:v>
                </c:pt>
                <c:pt idx="1163">
                  <c:v>78.5</c:v>
                </c:pt>
                <c:pt idx="1164">
                  <c:v>50.7</c:v>
                </c:pt>
                <c:pt idx="1165">
                  <c:v>56.7</c:v>
                </c:pt>
                <c:pt idx="1166">
                  <c:v>62.7</c:v>
                </c:pt>
                <c:pt idx="1167">
                  <c:v>100.2</c:v>
                </c:pt>
                <c:pt idx="1168">
                  <c:v>56.6</c:v>
                </c:pt>
                <c:pt idx="1169">
                  <c:v>44.6</c:v>
                </c:pt>
                <c:pt idx="1170">
                  <c:v>45.9</c:v>
                </c:pt>
                <c:pt idx="1171">
                  <c:v>34.4</c:v>
                </c:pt>
                <c:pt idx="1172">
                  <c:v>33.299999999999997</c:v>
                </c:pt>
                <c:pt idx="1173">
                  <c:v>48</c:v>
                </c:pt>
                <c:pt idx="1174">
                  <c:v>40.9</c:v>
                </c:pt>
                <c:pt idx="1175">
                  <c:v>40.599999999999994</c:v>
                </c:pt>
                <c:pt idx="1176">
                  <c:v>51.7</c:v>
                </c:pt>
                <c:pt idx="1177">
                  <c:v>48.1</c:v>
                </c:pt>
                <c:pt idx="1178">
                  <c:v>60.6</c:v>
                </c:pt>
                <c:pt idx="1179">
                  <c:v>59.1</c:v>
                </c:pt>
                <c:pt idx="1180">
                  <c:v>50.2</c:v>
                </c:pt>
                <c:pt idx="1181">
                  <c:v>97.8</c:v>
                </c:pt>
                <c:pt idx="1182">
                  <c:v>107.9</c:v>
                </c:pt>
                <c:pt idx="1183">
                  <c:v>55.3</c:v>
                </c:pt>
                <c:pt idx="1184">
                  <c:v>64.3</c:v>
                </c:pt>
                <c:pt idx="1185">
                  <c:v>54.5</c:v>
                </c:pt>
                <c:pt idx="1186">
                  <c:v>135.30000000000001</c:v>
                </c:pt>
                <c:pt idx="1187">
                  <c:v>76.8</c:v>
                </c:pt>
                <c:pt idx="1188">
                  <c:v>76.599999999999994</c:v>
                </c:pt>
                <c:pt idx="1189">
                  <c:v>54</c:v>
                </c:pt>
                <c:pt idx="1190">
                  <c:v>71.3</c:v>
                </c:pt>
                <c:pt idx="1191">
                  <c:v>61.4</c:v>
                </c:pt>
                <c:pt idx="1192">
                  <c:v>35</c:v>
                </c:pt>
                <c:pt idx="1193">
                  <c:v>53.9</c:v>
                </c:pt>
                <c:pt idx="1194">
                  <c:v>73.599999999999994</c:v>
                </c:pt>
                <c:pt idx="1195">
                  <c:v>51.5</c:v>
                </c:pt>
                <c:pt idx="1196">
                  <c:v>41.900000000000006</c:v>
                </c:pt>
                <c:pt idx="1197">
                  <c:v>51.2</c:v>
                </c:pt>
                <c:pt idx="1198">
                  <c:v>92.7</c:v>
                </c:pt>
                <c:pt idx="1199">
                  <c:v>47.9</c:v>
                </c:pt>
                <c:pt idx="1200">
                  <c:v>44.3</c:v>
                </c:pt>
                <c:pt idx="1201">
                  <c:v>42.6</c:v>
                </c:pt>
                <c:pt idx="1202">
                  <c:v>153.69999999999999</c:v>
                </c:pt>
                <c:pt idx="1203">
                  <c:v>68.5</c:v>
                </c:pt>
                <c:pt idx="1204">
                  <c:v>40.999999999999993</c:v>
                </c:pt>
                <c:pt idx="1205">
                  <c:v>42.3</c:v>
                </c:pt>
                <c:pt idx="1206">
                  <c:v>49.7</c:v>
                </c:pt>
                <c:pt idx="1207">
                  <c:v>44.9</c:v>
                </c:pt>
                <c:pt idx="1208">
                  <c:v>44.4</c:v>
                </c:pt>
                <c:pt idx="1209">
                  <c:v>56.2</c:v>
                </c:pt>
                <c:pt idx="1210">
                  <c:v>50.2</c:v>
                </c:pt>
                <c:pt idx="1211">
                  <c:v>48.2</c:v>
                </c:pt>
                <c:pt idx="1212">
                  <c:v>52.4</c:v>
                </c:pt>
                <c:pt idx="1213">
                  <c:v>64.2</c:v>
                </c:pt>
                <c:pt idx="1214">
                  <c:v>72</c:v>
                </c:pt>
                <c:pt idx="1215">
                  <c:v>49.9</c:v>
                </c:pt>
                <c:pt idx="1216">
                  <c:v>48.1</c:v>
                </c:pt>
                <c:pt idx="1217">
                  <c:v>39.4</c:v>
                </c:pt>
                <c:pt idx="1218">
                  <c:v>48.9</c:v>
                </c:pt>
                <c:pt idx="1219">
                  <c:v>45.6</c:v>
                </c:pt>
                <c:pt idx="1220">
                  <c:v>83.5</c:v>
                </c:pt>
                <c:pt idx="1221">
                  <c:v>54.1</c:v>
                </c:pt>
                <c:pt idx="1222">
                  <c:v>48.8</c:v>
                </c:pt>
                <c:pt idx="1223">
                  <c:v>36.4</c:v>
                </c:pt>
                <c:pt idx="1224">
                  <c:v>70.900000000000006</c:v>
                </c:pt>
                <c:pt idx="1225">
                  <c:v>73.2</c:v>
                </c:pt>
                <c:pt idx="1226">
                  <c:v>66.2</c:v>
                </c:pt>
                <c:pt idx="1227">
                  <c:v>85.6</c:v>
                </c:pt>
                <c:pt idx="1228">
                  <c:v>125.1</c:v>
                </c:pt>
                <c:pt idx="1229">
                  <c:v>108.8</c:v>
                </c:pt>
                <c:pt idx="1230">
                  <c:v>253.4</c:v>
                </c:pt>
                <c:pt idx="1231">
                  <c:v>148.6</c:v>
                </c:pt>
                <c:pt idx="1232">
                  <c:v>203.8</c:v>
                </c:pt>
                <c:pt idx="1233">
                  <c:v>60.5</c:v>
                </c:pt>
                <c:pt idx="1234">
                  <c:v>56.5</c:v>
                </c:pt>
                <c:pt idx="1235">
                  <c:v>58.8</c:v>
                </c:pt>
                <c:pt idx="1236">
                  <c:v>57.9</c:v>
                </c:pt>
                <c:pt idx="1237">
                  <c:v>94.8</c:v>
                </c:pt>
                <c:pt idx="1238">
                  <c:v>56.8</c:v>
                </c:pt>
              </c:numCache>
            </c:numRef>
          </c:val>
          <c:extLst>
            <c:ext xmlns:c16="http://schemas.microsoft.com/office/drawing/2014/chart" uri="{C3380CC4-5D6E-409C-BE32-E72D297353CC}">
              <c16:uniqueId val="{00000000-ACFC-4B0D-B781-C133F927C5F1}"/>
            </c:ext>
          </c:extLst>
        </c:ser>
        <c:dLbls>
          <c:showLegendKey val="0"/>
          <c:showVal val="0"/>
          <c:showCatName val="0"/>
          <c:showSerName val="0"/>
          <c:showPercent val="0"/>
          <c:showBubbleSize val="0"/>
        </c:dLbls>
        <c:axId val="130692592"/>
        <c:axId val="130706992"/>
      </c:areaChart>
      <c:dateAx>
        <c:axId val="13069259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620000" spcFirstLastPara="1" vertOverflow="ellipsis" wrap="square" anchor="t"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0706992"/>
        <c:crosses val="autoZero"/>
        <c:auto val="1"/>
        <c:lblOffset val="100"/>
        <c:baseTimeUnit val="days"/>
      </c:dateAx>
      <c:valAx>
        <c:axId val="130706992"/>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69259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Weekly Returns Distribution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a:rPr>
            <a:t>Weekly Returns Distribution</a:t>
          </a:r>
        </a:p>
      </cx:txPr>
    </cx:title>
    <cx:plotArea>
      <cx:plotAreaRegion>
        <cx:series layoutId="clusteredColumn" uniqueId="{2C9A196F-D462-41F9-959D-9ACA1715D320}">
          <cx:spPr>
            <a:ln w="6350">
              <a:solidFill>
                <a:schemeClr val="bg1"/>
              </a:solidFill>
            </a:ln>
          </cx:spPr>
          <cx:dataId val="0"/>
          <cx:layoutPr>
            <cx:binning intervalClosed="r"/>
          </cx:layoutPr>
        </cx:series>
      </cx:plotAreaRegion>
      <cx:axis id="0" hidden="1">
        <cx:catScaling gapWidth="0"/>
        <cx:tickLabels/>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image" Target="../media/image2.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19.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2.png"/><Relationship Id="rId5" Type="http://schemas.openxmlformats.org/officeDocument/2006/relationships/chart" Target="../charts/chart18.xml"/><Relationship Id="rId4"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1</xdr:col>
      <xdr:colOff>1133394</xdr:colOff>
      <xdr:row>3</xdr:row>
      <xdr:rowOff>67961</xdr:rowOff>
    </xdr:from>
    <xdr:to>
      <xdr:col>8</xdr:col>
      <xdr:colOff>251203</xdr:colOff>
      <xdr:row>14</xdr:row>
      <xdr:rowOff>45720</xdr:rowOff>
    </xdr:to>
    <xdr:pic>
      <xdr:nvPicPr>
        <xdr:cNvPr id="5" name="Picture 4">
          <a:extLst>
            <a:ext uri="{FF2B5EF4-FFF2-40B4-BE49-F238E27FC236}">
              <a16:creationId xmlns:a16="http://schemas.microsoft.com/office/drawing/2014/main" id="{03E1E495-2FE8-4B67-AAB4-F9ED23D207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144" y="544211"/>
          <a:ext cx="3959684" cy="1985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99060</xdr:colOff>
      <xdr:row>3</xdr:row>
      <xdr:rowOff>60960</xdr:rowOff>
    </xdr:from>
    <xdr:to>
      <xdr:col>1</xdr:col>
      <xdr:colOff>1155985</xdr:colOff>
      <xdr:row>3</xdr:row>
      <xdr:rowOff>601980</xdr:rowOff>
    </xdr:to>
    <xdr:pic>
      <xdr:nvPicPr>
        <xdr:cNvPr id="2" name="Picture 1">
          <a:extLst>
            <a:ext uri="{FF2B5EF4-FFF2-40B4-BE49-F238E27FC236}">
              <a16:creationId xmlns:a16="http://schemas.microsoft.com/office/drawing/2014/main" id="{2E02EA10-1B1F-482E-AB8C-4E8598284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9080" y="472440"/>
          <a:ext cx="1056925" cy="541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7620</xdr:colOff>
      <xdr:row>8</xdr:row>
      <xdr:rowOff>15240</xdr:rowOff>
    </xdr:from>
    <xdr:to>
      <xdr:col>15</xdr:col>
      <xdr:colOff>7620</xdr:colOff>
      <xdr:row>18</xdr:row>
      <xdr:rowOff>7620</xdr:rowOff>
    </xdr:to>
    <xdr:graphicFrame macro="">
      <xdr:nvGraphicFramePr>
        <xdr:cNvPr id="3" name="Chart 2">
          <a:extLst>
            <a:ext uri="{FF2B5EF4-FFF2-40B4-BE49-F238E27FC236}">
              <a16:creationId xmlns:a16="http://schemas.microsoft.com/office/drawing/2014/main" id="{4BD0AF1B-2638-4285-BF9B-65841DE2A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20</xdr:row>
      <xdr:rowOff>15240</xdr:rowOff>
    </xdr:from>
    <xdr:to>
      <xdr:col>15</xdr:col>
      <xdr:colOff>7620</xdr:colOff>
      <xdr:row>27</xdr:row>
      <xdr:rowOff>15240</xdr:rowOff>
    </xdr:to>
    <xdr:graphicFrame macro="">
      <xdr:nvGraphicFramePr>
        <xdr:cNvPr id="6" name="Chart 5">
          <a:extLst>
            <a:ext uri="{FF2B5EF4-FFF2-40B4-BE49-F238E27FC236}">
              <a16:creationId xmlns:a16="http://schemas.microsoft.com/office/drawing/2014/main" id="{A82BC28D-D96E-4A1E-8500-3624B4EB4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144780</xdr:colOff>
      <xdr:row>30</xdr:row>
      <xdr:rowOff>38100</xdr:rowOff>
    </xdr:from>
    <xdr:to>
      <xdr:col>14</xdr:col>
      <xdr:colOff>563880</xdr:colOff>
      <xdr:row>39</xdr:row>
      <xdr:rowOff>144780</xdr:rowOff>
    </xdr:to>
    <xdr:graphicFrame macro="">
      <xdr:nvGraphicFramePr>
        <xdr:cNvPr id="7" name="Chart 6">
          <a:extLst>
            <a:ext uri="{FF2B5EF4-FFF2-40B4-BE49-F238E27FC236}">
              <a16:creationId xmlns:a16="http://schemas.microsoft.com/office/drawing/2014/main" id="{88482BFB-E72F-434C-8578-F3154253E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388620</xdr:colOff>
      <xdr:row>3</xdr:row>
      <xdr:rowOff>99060</xdr:rowOff>
    </xdr:from>
    <xdr:to>
      <xdr:col>13</xdr:col>
      <xdr:colOff>3641</xdr:colOff>
      <xdr:row>6</xdr:row>
      <xdr:rowOff>97536</xdr:rowOff>
    </xdr:to>
    <xdr:pic>
      <xdr:nvPicPr>
        <xdr:cNvPr id="2" name="Picture 1">
          <a:extLst>
            <a:ext uri="{FF2B5EF4-FFF2-40B4-BE49-F238E27FC236}">
              <a16:creationId xmlns:a16="http://schemas.microsoft.com/office/drawing/2014/main" id="{1B26EE75-7AFD-4415-9EF0-024E82706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9840" y="44196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495621</xdr:colOff>
      <xdr:row>3</xdr:row>
      <xdr:rowOff>77193</xdr:rowOff>
    </xdr:from>
    <xdr:to>
      <xdr:col>15</xdr:col>
      <xdr:colOff>3962</xdr:colOff>
      <xdr:row>6</xdr:row>
      <xdr:rowOff>75669</xdr:rowOff>
    </xdr:to>
    <xdr:pic>
      <xdr:nvPicPr>
        <xdr:cNvPr id="2" name="Picture 1">
          <a:extLst>
            <a:ext uri="{FF2B5EF4-FFF2-40B4-BE49-F238E27FC236}">
              <a16:creationId xmlns:a16="http://schemas.microsoft.com/office/drawing/2014/main" id="{D98498EA-4799-4351-9727-CE3A629DEE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50461" y="420093"/>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388620</xdr:colOff>
      <xdr:row>3</xdr:row>
      <xdr:rowOff>91440</xdr:rowOff>
    </xdr:from>
    <xdr:to>
      <xdr:col>12</xdr:col>
      <xdr:colOff>3641</xdr:colOff>
      <xdr:row>6</xdr:row>
      <xdr:rowOff>89916</xdr:rowOff>
    </xdr:to>
    <xdr:pic>
      <xdr:nvPicPr>
        <xdr:cNvPr id="2" name="Picture 1">
          <a:extLst>
            <a:ext uri="{FF2B5EF4-FFF2-40B4-BE49-F238E27FC236}">
              <a16:creationId xmlns:a16="http://schemas.microsoft.com/office/drawing/2014/main" id="{BF3847A7-82E6-46D1-B76F-25528427D1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3434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594360</xdr:colOff>
      <xdr:row>11</xdr:row>
      <xdr:rowOff>167640</xdr:rowOff>
    </xdr:from>
    <xdr:to>
      <xdr:col>12</xdr:col>
      <xdr:colOff>792479</xdr:colOff>
      <xdr:row>27</xdr:row>
      <xdr:rowOff>7620</xdr:rowOff>
    </xdr:to>
    <xdr:graphicFrame macro="">
      <xdr:nvGraphicFramePr>
        <xdr:cNvPr id="3" name="Chart 2">
          <a:extLst>
            <a:ext uri="{FF2B5EF4-FFF2-40B4-BE49-F238E27FC236}">
              <a16:creationId xmlns:a16="http://schemas.microsoft.com/office/drawing/2014/main" id="{5E63EDEB-824B-09C4-F69E-AF9AF203F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620608</xdr:colOff>
      <xdr:row>30</xdr:row>
      <xdr:rowOff>7620</xdr:rowOff>
    </xdr:from>
    <xdr:to>
      <xdr:col>12</xdr:col>
      <xdr:colOff>815339</xdr:colOff>
      <xdr:row>45</xdr:row>
      <xdr:rowOff>27550</xdr:rowOff>
    </xdr:to>
    <xdr:graphicFrame macro="">
      <xdr:nvGraphicFramePr>
        <xdr:cNvPr id="7" name="Chart 6">
          <a:extLst>
            <a:ext uri="{FF2B5EF4-FFF2-40B4-BE49-F238E27FC236}">
              <a16:creationId xmlns:a16="http://schemas.microsoft.com/office/drawing/2014/main" id="{52BC4DCB-1E35-B369-DD05-78228E26F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628835</xdr:colOff>
      <xdr:row>48</xdr:row>
      <xdr:rowOff>7398</xdr:rowOff>
    </xdr:from>
    <xdr:to>
      <xdr:col>12</xdr:col>
      <xdr:colOff>806389</xdr:colOff>
      <xdr:row>63</xdr:row>
      <xdr:rowOff>25154</xdr:rowOff>
    </xdr:to>
    <xdr:graphicFrame macro="">
      <xdr:nvGraphicFramePr>
        <xdr:cNvPr id="11" name="Chart 10">
          <a:extLst>
            <a:ext uri="{FF2B5EF4-FFF2-40B4-BE49-F238E27FC236}">
              <a16:creationId xmlns:a16="http://schemas.microsoft.com/office/drawing/2014/main" id="{624B9361-4CCC-C3D0-02EF-C644A8219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365760</xdr:colOff>
      <xdr:row>3</xdr:row>
      <xdr:rowOff>83820</xdr:rowOff>
    </xdr:from>
    <xdr:to>
      <xdr:col>12</xdr:col>
      <xdr:colOff>834221</xdr:colOff>
      <xdr:row>6</xdr:row>
      <xdr:rowOff>82296</xdr:rowOff>
    </xdr:to>
    <xdr:pic>
      <xdr:nvPicPr>
        <xdr:cNvPr id="4" name="Picture 3">
          <a:extLst>
            <a:ext uri="{FF2B5EF4-FFF2-40B4-BE49-F238E27FC236}">
              <a16:creationId xmlns:a16="http://schemas.microsoft.com/office/drawing/2014/main" id="{CECAACFF-22BB-4E1F-ADD4-2511D514D59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204960" y="42672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510540</xdr:colOff>
      <xdr:row>3</xdr:row>
      <xdr:rowOff>91440</xdr:rowOff>
    </xdr:from>
    <xdr:to>
      <xdr:col>9</xdr:col>
      <xdr:colOff>3641</xdr:colOff>
      <xdr:row>6</xdr:row>
      <xdr:rowOff>89916</xdr:rowOff>
    </xdr:to>
    <xdr:pic>
      <xdr:nvPicPr>
        <xdr:cNvPr id="9" name="Picture 8">
          <a:extLst>
            <a:ext uri="{FF2B5EF4-FFF2-40B4-BE49-F238E27FC236}">
              <a16:creationId xmlns:a16="http://schemas.microsoft.com/office/drawing/2014/main" id="{D2A6E3D6-BB3B-4EF4-94AD-B4A04EC09B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4860" y="43434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830580</xdr:colOff>
      <xdr:row>3</xdr:row>
      <xdr:rowOff>83820</xdr:rowOff>
    </xdr:from>
    <xdr:to>
      <xdr:col>10</xdr:col>
      <xdr:colOff>3641</xdr:colOff>
      <xdr:row>6</xdr:row>
      <xdr:rowOff>82296</xdr:rowOff>
    </xdr:to>
    <xdr:pic>
      <xdr:nvPicPr>
        <xdr:cNvPr id="3" name="Picture 2">
          <a:extLst>
            <a:ext uri="{FF2B5EF4-FFF2-40B4-BE49-F238E27FC236}">
              <a16:creationId xmlns:a16="http://schemas.microsoft.com/office/drawing/2014/main" id="{0EC862D6-B805-4195-8079-63A3A0200A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42672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761995</xdr:colOff>
      <xdr:row>3</xdr:row>
      <xdr:rowOff>89653</xdr:rowOff>
    </xdr:from>
    <xdr:to>
      <xdr:col>6</xdr:col>
      <xdr:colOff>1038013</xdr:colOff>
      <xdr:row>6</xdr:row>
      <xdr:rowOff>86485</xdr:rowOff>
    </xdr:to>
    <xdr:pic>
      <xdr:nvPicPr>
        <xdr:cNvPr id="3" name="Picture 2">
          <a:extLst>
            <a:ext uri="{FF2B5EF4-FFF2-40B4-BE49-F238E27FC236}">
              <a16:creationId xmlns:a16="http://schemas.microsoft.com/office/drawing/2014/main" id="{BB700E81-47A6-485A-B56A-3B69E3CD62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79230" y="425829"/>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723515</xdr:colOff>
      <xdr:row>3</xdr:row>
      <xdr:rowOff>76945</xdr:rowOff>
    </xdr:from>
    <xdr:to>
      <xdr:col>8</xdr:col>
      <xdr:colOff>990931</xdr:colOff>
      <xdr:row>6</xdr:row>
      <xdr:rowOff>68571</xdr:rowOff>
    </xdr:to>
    <xdr:pic>
      <xdr:nvPicPr>
        <xdr:cNvPr id="3" name="Picture 2">
          <a:extLst>
            <a:ext uri="{FF2B5EF4-FFF2-40B4-BE49-F238E27FC236}">
              <a16:creationId xmlns:a16="http://schemas.microsoft.com/office/drawing/2014/main" id="{F43D605E-D4D4-4CB4-908C-3F72CF2F4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9939" y="423309"/>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236220</xdr:colOff>
      <xdr:row>3</xdr:row>
      <xdr:rowOff>83820</xdr:rowOff>
    </xdr:from>
    <xdr:to>
      <xdr:col>16</xdr:col>
      <xdr:colOff>3641</xdr:colOff>
      <xdr:row>6</xdr:row>
      <xdr:rowOff>82296</xdr:rowOff>
    </xdr:to>
    <xdr:pic>
      <xdr:nvPicPr>
        <xdr:cNvPr id="3" name="Picture 2">
          <a:extLst>
            <a:ext uri="{FF2B5EF4-FFF2-40B4-BE49-F238E27FC236}">
              <a16:creationId xmlns:a16="http://schemas.microsoft.com/office/drawing/2014/main" id="{C20E6B9D-3861-4485-A820-07D4C543D4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4660" y="42672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464820</xdr:colOff>
      <xdr:row>3</xdr:row>
      <xdr:rowOff>83820</xdr:rowOff>
    </xdr:from>
    <xdr:to>
      <xdr:col>13</xdr:col>
      <xdr:colOff>430361</xdr:colOff>
      <xdr:row>6</xdr:row>
      <xdr:rowOff>82296</xdr:rowOff>
    </xdr:to>
    <xdr:pic>
      <xdr:nvPicPr>
        <xdr:cNvPr id="2" name="Picture 1">
          <a:extLst>
            <a:ext uri="{FF2B5EF4-FFF2-40B4-BE49-F238E27FC236}">
              <a16:creationId xmlns:a16="http://schemas.microsoft.com/office/drawing/2014/main" id="{117780D1-DED1-4357-8720-479AADC13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72300" y="42672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152400</xdr:colOff>
      <xdr:row>31</xdr:row>
      <xdr:rowOff>3810</xdr:rowOff>
    </xdr:from>
    <xdr:to>
      <xdr:col>14</xdr:col>
      <xdr:colOff>7620</xdr:colOff>
      <xdr:row>46</xdr:row>
      <xdr:rowOff>3810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54D433C-B206-425A-E410-03715F5536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18760" y="5505450"/>
              <a:ext cx="34442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xdr:col>
      <xdr:colOff>68580</xdr:colOff>
      <xdr:row>11</xdr:row>
      <xdr:rowOff>11430</xdr:rowOff>
    </xdr:from>
    <xdr:to>
      <xdr:col>10</xdr:col>
      <xdr:colOff>327660</xdr:colOff>
      <xdr:row>33</xdr:row>
      <xdr:rowOff>83820</xdr:rowOff>
    </xdr:to>
    <xdr:graphicFrame macro="">
      <xdr:nvGraphicFramePr>
        <xdr:cNvPr id="2" name="Chart 1">
          <a:extLst>
            <a:ext uri="{FF2B5EF4-FFF2-40B4-BE49-F238E27FC236}">
              <a16:creationId xmlns:a16="http://schemas.microsoft.com/office/drawing/2014/main" id="{ED0E95BC-DC57-8883-445C-3EC72313B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417942</xdr:colOff>
      <xdr:row>23</xdr:row>
      <xdr:rowOff>167640</xdr:rowOff>
    </xdr:from>
    <xdr:to>
      <xdr:col>10</xdr:col>
      <xdr:colOff>275478</xdr:colOff>
      <xdr:row>23</xdr:row>
      <xdr:rowOff>167640</xdr:rowOff>
    </xdr:to>
    <xdr:cxnSp macro="">
      <xdr:nvCxnSpPr>
        <xdr:cNvPr id="4" name="Straight Connector 3">
          <a:extLst>
            <a:ext uri="{FF2B5EF4-FFF2-40B4-BE49-F238E27FC236}">
              <a16:creationId xmlns:a16="http://schemas.microsoft.com/office/drawing/2014/main" id="{9DC36334-C3A4-C3AE-0C27-A89CC153C127}"/>
            </a:ext>
          </a:extLst>
        </xdr:cNvPr>
        <xdr:cNvCxnSpPr/>
      </xdr:nvCxnSpPr>
      <xdr:spPr>
        <a:xfrm>
          <a:off x="577962" y="4160520"/>
          <a:ext cx="5343936" cy="0"/>
        </a:xfrm>
        <a:prstGeom prst="line">
          <a:avLst/>
        </a:prstGeom>
        <a:ln w="15875" cap="flat" cmpd="sng">
          <a:solidFill>
            <a:srgbClr val="FFC000"/>
          </a:solidFill>
          <a:prstDash val="dash"/>
          <a:miter lim="800000"/>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53340</xdr:colOff>
      <xdr:row>3</xdr:row>
      <xdr:rowOff>83820</xdr:rowOff>
    </xdr:from>
    <xdr:to>
      <xdr:col>16</xdr:col>
      <xdr:colOff>3641</xdr:colOff>
      <xdr:row>6</xdr:row>
      <xdr:rowOff>82296</xdr:rowOff>
    </xdr:to>
    <xdr:pic>
      <xdr:nvPicPr>
        <xdr:cNvPr id="7" name="Picture 6">
          <a:extLst>
            <a:ext uri="{FF2B5EF4-FFF2-40B4-BE49-F238E27FC236}">
              <a16:creationId xmlns:a16="http://schemas.microsoft.com/office/drawing/2014/main" id="{1CE55C6C-AA06-43E9-98FC-9C9BA44350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0" y="426720"/>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15396</xdr:colOff>
      <xdr:row>13</xdr:row>
      <xdr:rowOff>138544</xdr:rowOff>
    </xdr:from>
    <xdr:to>
      <xdr:col>2</xdr:col>
      <xdr:colOff>428723</xdr:colOff>
      <xdr:row>23</xdr:row>
      <xdr:rowOff>1200</xdr:rowOff>
    </xdr:to>
    <xdr:grpSp>
      <xdr:nvGrpSpPr>
        <xdr:cNvPr id="11" name="Group 10">
          <a:extLst>
            <a:ext uri="{FF2B5EF4-FFF2-40B4-BE49-F238E27FC236}">
              <a16:creationId xmlns:a16="http://schemas.microsoft.com/office/drawing/2014/main" id="{A6747013-DAAF-7C24-07BF-D0943006608F}"/>
            </a:ext>
          </a:extLst>
        </xdr:cNvPr>
        <xdr:cNvGrpSpPr/>
      </xdr:nvGrpSpPr>
      <xdr:grpSpPr>
        <a:xfrm>
          <a:off x="177032" y="2686241"/>
          <a:ext cx="2514600" cy="1709929"/>
          <a:chOff x="161639" y="2147453"/>
          <a:chExt cx="1916544" cy="1662546"/>
        </a:xfrm>
      </xdr:grpSpPr>
      <xdr:graphicFrame macro="">
        <xdr:nvGraphicFramePr>
          <xdr:cNvPr id="5" name="Chart 4">
            <a:extLst>
              <a:ext uri="{FF2B5EF4-FFF2-40B4-BE49-F238E27FC236}">
                <a16:creationId xmlns:a16="http://schemas.microsoft.com/office/drawing/2014/main" id="{B7E211F3-1FFC-45F8-BB52-B6F5EC2B0CBC}"/>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TextBox 5">
            <a:extLst>
              <a:ext uri="{FF2B5EF4-FFF2-40B4-BE49-F238E27FC236}">
                <a16:creationId xmlns:a16="http://schemas.microsoft.com/office/drawing/2014/main" id="{2D983408-DD1D-4BC7-D1D9-1A0FF949129E}"/>
              </a:ext>
            </a:extLst>
          </xdr:cNvPr>
          <xdr:cNvSpPr txBox="1"/>
        </xdr:nvSpPr>
        <xdr:spPr>
          <a:xfrm>
            <a:off x="570368" y="2147453"/>
            <a:ext cx="1010933"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Revenue (INR</a:t>
            </a:r>
            <a:r>
              <a:rPr lang="en-IN" sz="1050" b="1" baseline="0">
                <a:solidFill>
                  <a:srgbClr val="2596BE"/>
                </a:solidFill>
                <a:latin typeface="+mn-lt"/>
              </a:rPr>
              <a:t> Crs.)</a:t>
            </a:r>
            <a:endParaRPr lang="en-IN" sz="1050" b="1">
              <a:solidFill>
                <a:srgbClr val="2596BE"/>
              </a:solidFill>
              <a:latin typeface="+mn-lt"/>
            </a:endParaRPr>
          </a:p>
        </xdr:txBody>
      </xdr:sp>
      <xdr:cxnSp macro="">
        <xdr:nvCxnSpPr>
          <xdr:cNvPr id="10" name="Straight Connector 9">
            <a:extLst>
              <a:ext uri="{FF2B5EF4-FFF2-40B4-BE49-F238E27FC236}">
                <a16:creationId xmlns:a16="http://schemas.microsoft.com/office/drawing/2014/main" id="{EDD0744D-6101-C51C-4B84-A7D00C89A050}"/>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76973</xdr:colOff>
      <xdr:row>13</xdr:row>
      <xdr:rowOff>146243</xdr:rowOff>
    </xdr:from>
    <xdr:to>
      <xdr:col>5</xdr:col>
      <xdr:colOff>759694</xdr:colOff>
      <xdr:row>23</xdr:row>
      <xdr:rowOff>8897</xdr:rowOff>
    </xdr:to>
    <xdr:grpSp>
      <xdr:nvGrpSpPr>
        <xdr:cNvPr id="20" name="Group 19">
          <a:extLst>
            <a:ext uri="{FF2B5EF4-FFF2-40B4-BE49-F238E27FC236}">
              <a16:creationId xmlns:a16="http://schemas.microsoft.com/office/drawing/2014/main" id="{34B4875A-BF51-456F-9DEC-86C3E798DC48}"/>
            </a:ext>
          </a:extLst>
        </xdr:cNvPr>
        <xdr:cNvGrpSpPr/>
      </xdr:nvGrpSpPr>
      <xdr:grpSpPr>
        <a:xfrm>
          <a:off x="3255821" y="2693940"/>
          <a:ext cx="2514600" cy="1709927"/>
          <a:chOff x="161639" y="2155152"/>
          <a:chExt cx="1916544" cy="1654847"/>
        </a:xfrm>
      </xdr:grpSpPr>
      <xdr:graphicFrame macro="">
        <xdr:nvGraphicFramePr>
          <xdr:cNvPr id="21" name="Chart 20">
            <a:extLst>
              <a:ext uri="{FF2B5EF4-FFF2-40B4-BE49-F238E27FC236}">
                <a16:creationId xmlns:a16="http://schemas.microsoft.com/office/drawing/2014/main" id="{29902D32-938D-3ED5-4941-E1F8602523CA}"/>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2" name="TextBox 21">
            <a:extLst>
              <a:ext uri="{FF2B5EF4-FFF2-40B4-BE49-F238E27FC236}">
                <a16:creationId xmlns:a16="http://schemas.microsoft.com/office/drawing/2014/main" id="{16CED3FE-026B-3FFD-32C7-C6AB23DCC2C6}"/>
              </a:ext>
            </a:extLst>
          </xdr:cNvPr>
          <xdr:cNvSpPr txBox="1"/>
        </xdr:nvSpPr>
        <xdr:spPr>
          <a:xfrm>
            <a:off x="568536" y="2170048"/>
            <a:ext cx="1001032"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Net</a:t>
            </a:r>
            <a:r>
              <a:rPr lang="en-IN" sz="1050" b="1" baseline="0">
                <a:solidFill>
                  <a:srgbClr val="2596BE"/>
                </a:solidFill>
                <a:latin typeface="+mn-lt"/>
              </a:rPr>
              <a:t> Profit</a:t>
            </a:r>
            <a:r>
              <a:rPr lang="en-IN" sz="1050" b="1">
                <a:solidFill>
                  <a:srgbClr val="2596BE"/>
                </a:solidFill>
                <a:latin typeface="+mn-lt"/>
              </a:rPr>
              <a:t> (INR</a:t>
            </a:r>
            <a:r>
              <a:rPr lang="en-IN" sz="1050" b="1" baseline="0">
                <a:solidFill>
                  <a:srgbClr val="2596BE"/>
                </a:solidFill>
                <a:latin typeface="+mn-lt"/>
              </a:rPr>
              <a:t> Crs.)</a:t>
            </a:r>
            <a:endParaRPr lang="en-IN" sz="1050" b="1">
              <a:solidFill>
                <a:srgbClr val="2596BE"/>
              </a:solidFill>
              <a:latin typeface="+mn-lt"/>
            </a:endParaRPr>
          </a:p>
        </xdr:txBody>
      </xdr:sp>
      <xdr:cxnSp macro="">
        <xdr:nvCxnSpPr>
          <xdr:cNvPr id="23" name="Straight Connector 22">
            <a:extLst>
              <a:ext uri="{FF2B5EF4-FFF2-40B4-BE49-F238E27FC236}">
                <a16:creationId xmlns:a16="http://schemas.microsoft.com/office/drawing/2014/main" id="{E58612E9-DCCD-2483-C98A-769CCCA94178}"/>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338430</xdr:colOff>
      <xdr:row>13</xdr:row>
      <xdr:rowOff>138545</xdr:rowOff>
    </xdr:from>
    <xdr:to>
      <xdr:col>8</xdr:col>
      <xdr:colOff>913583</xdr:colOff>
      <xdr:row>23</xdr:row>
      <xdr:rowOff>1201</xdr:rowOff>
    </xdr:to>
    <xdr:grpSp>
      <xdr:nvGrpSpPr>
        <xdr:cNvPr id="24" name="Group 23">
          <a:extLst>
            <a:ext uri="{FF2B5EF4-FFF2-40B4-BE49-F238E27FC236}">
              <a16:creationId xmlns:a16="http://schemas.microsoft.com/office/drawing/2014/main" id="{B342483B-171D-4CA4-BA4D-4E9EDA7844BB}"/>
            </a:ext>
          </a:extLst>
        </xdr:cNvPr>
        <xdr:cNvGrpSpPr/>
      </xdr:nvGrpSpPr>
      <xdr:grpSpPr>
        <a:xfrm>
          <a:off x="6265097" y="2686242"/>
          <a:ext cx="2407031" cy="1709929"/>
          <a:chOff x="161639" y="2147454"/>
          <a:chExt cx="1916543" cy="1662545"/>
        </a:xfrm>
      </xdr:grpSpPr>
      <xdr:graphicFrame macro="">
        <xdr:nvGraphicFramePr>
          <xdr:cNvPr id="25" name="Chart 24">
            <a:extLst>
              <a:ext uri="{FF2B5EF4-FFF2-40B4-BE49-F238E27FC236}">
                <a16:creationId xmlns:a16="http://schemas.microsoft.com/office/drawing/2014/main" id="{8543E7B0-1B1A-59E1-E3C3-3C766AC6DE23}"/>
              </a:ext>
            </a:extLst>
          </xdr:cNvPr>
          <xdr:cNvGraphicFramePr/>
        </xdr:nvGraphicFramePr>
        <xdr:xfrm>
          <a:off x="161639" y="2409153"/>
          <a:ext cx="1916543" cy="140084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6" name="TextBox 25">
            <a:extLst>
              <a:ext uri="{FF2B5EF4-FFF2-40B4-BE49-F238E27FC236}">
                <a16:creationId xmlns:a16="http://schemas.microsoft.com/office/drawing/2014/main" id="{3BF3939B-1EE0-DC51-5844-B6CD36F584BD}"/>
              </a:ext>
            </a:extLst>
          </xdr:cNvPr>
          <xdr:cNvSpPr txBox="1"/>
        </xdr:nvSpPr>
        <xdr:spPr>
          <a:xfrm>
            <a:off x="394078" y="2147454"/>
            <a:ext cx="135504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Avg. Total</a:t>
            </a:r>
            <a:r>
              <a:rPr lang="en-IN" sz="1050" b="1" baseline="0">
                <a:solidFill>
                  <a:srgbClr val="2596BE"/>
                </a:solidFill>
                <a:latin typeface="+mn-lt"/>
              </a:rPr>
              <a:t> Assets</a:t>
            </a:r>
            <a:r>
              <a:rPr lang="en-IN" sz="1050" b="1">
                <a:solidFill>
                  <a:srgbClr val="2596BE"/>
                </a:solidFill>
                <a:latin typeface="+mn-lt"/>
              </a:rPr>
              <a:t> (INR </a:t>
            </a:r>
            <a:r>
              <a:rPr lang="en-IN" sz="1050" b="1" baseline="0">
                <a:solidFill>
                  <a:srgbClr val="2596BE"/>
                </a:solidFill>
                <a:latin typeface="+mn-lt"/>
              </a:rPr>
              <a:t>Crs.)</a:t>
            </a:r>
            <a:endParaRPr lang="en-IN" sz="1050" b="1">
              <a:solidFill>
                <a:srgbClr val="2596BE"/>
              </a:solidFill>
              <a:latin typeface="+mn-lt"/>
            </a:endParaRPr>
          </a:p>
        </xdr:txBody>
      </xdr:sp>
      <xdr:cxnSp macro="">
        <xdr:nvCxnSpPr>
          <xdr:cNvPr id="27" name="Straight Connector 26">
            <a:extLst>
              <a:ext uri="{FF2B5EF4-FFF2-40B4-BE49-F238E27FC236}">
                <a16:creationId xmlns:a16="http://schemas.microsoft.com/office/drawing/2014/main" id="{B1D05094-9D10-D0B0-4481-9B8DF41DCFAE}"/>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46183</xdr:colOff>
      <xdr:row>24</xdr:row>
      <xdr:rowOff>7695</xdr:rowOff>
    </xdr:from>
    <xdr:to>
      <xdr:col>5</xdr:col>
      <xdr:colOff>728904</xdr:colOff>
      <xdr:row>33</xdr:row>
      <xdr:rowOff>55078</xdr:rowOff>
    </xdr:to>
    <xdr:grpSp>
      <xdr:nvGrpSpPr>
        <xdr:cNvPr id="28" name="Group 27">
          <a:extLst>
            <a:ext uri="{FF2B5EF4-FFF2-40B4-BE49-F238E27FC236}">
              <a16:creationId xmlns:a16="http://schemas.microsoft.com/office/drawing/2014/main" id="{DFE3A087-D7DB-4028-A9FD-46413F1C9FC2}"/>
            </a:ext>
          </a:extLst>
        </xdr:cNvPr>
        <xdr:cNvGrpSpPr/>
      </xdr:nvGrpSpPr>
      <xdr:grpSpPr>
        <a:xfrm>
          <a:off x="3225031" y="4587392"/>
          <a:ext cx="2514600" cy="1709928"/>
          <a:chOff x="161639" y="2147453"/>
          <a:chExt cx="1916544" cy="1662546"/>
        </a:xfrm>
      </xdr:grpSpPr>
      <xdr:graphicFrame macro="">
        <xdr:nvGraphicFramePr>
          <xdr:cNvPr id="29" name="Chart 28">
            <a:extLst>
              <a:ext uri="{FF2B5EF4-FFF2-40B4-BE49-F238E27FC236}">
                <a16:creationId xmlns:a16="http://schemas.microsoft.com/office/drawing/2014/main" id="{47664D6B-A8CE-15CD-49EF-98C924C242AA}"/>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0" name="TextBox 29">
            <a:extLst>
              <a:ext uri="{FF2B5EF4-FFF2-40B4-BE49-F238E27FC236}">
                <a16:creationId xmlns:a16="http://schemas.microsoft.com/office/drawing/2014/main" id="{3F862394-C088-79C3-72C6-0A9AF0D45348}"/>
              </a:ext>
            </a:extLst>
          </xdr:cNvPr>
          <xdr:cNvSpPr txBox="1"/>
        </xdr:nvSpPr>
        <xdr:spPr>
          <a:xfrm>
            <a:off x="400242" y="2147453"/>
            <a:ext cx="1454728" cy="259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Return</a:t>
            </a:r>
            <a:r>
              <a:rPr lang="en-IN" sz="1050" b="1" baseline="0">
                <a:solidFill>
                  <a:srgbClr val="2596BE"/>
                </a:solidFill>
                <a:latin typeface="+mn-lt"/>
              </a:rPr>
              <a:t> on Equity </a:t>
            </a:r>
            <a:r>
              <a:rPr lang="en-IN" sz="1050" b="1">
                <a:solidFill>
                  <a:srgbClr val="2596BE"/>
                </a:solidFill>
                <a:latin typeface="+mn-lt"/>
              </a:rPr>
              <a:t>(%</a:t>
            </a:r>
            <a:r>
              <a:rPr lang="en-IN" sz="1050" b="1" baseline="0">
                <a:solidFill>
                  <a:srgbClr val="2596BE"/>
                </a:solidFill>
                <a:latin typeface="+mn-lt"/>
              </a:rPr>
              <a:t>)</a:t>
            </a:r>
            <a:endParaRPr lang="en-IN" sz="1050" b="1">
              <a:solidFill>
                <a:srgbClr val="2596BE"/>
              </a:solidFill>
              <a:latin typeface="+mn-lt"/>
            </a:endParaRPr>
          </a:p>
        </xdr:txBody>
      </xdr:sp>
      <xdr:cxnSp macro="">
        <xdr:nvCxnSpPr>
          <xdr:cNvPr id="31" name="Straight Connector 30">
            <a:extLst>
              <a:ext uri="{FF2B5EF4-FFF2-40B4-BE49-F238E27FC236}">
                <a16:creationId xmlns:a16="http://schemas.microsoft.com/office/drawing/2014/main" id="{E184CCA8-00B9-3EF7-6F0D-B4A327CF3DBD}"/>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15395</xdr:colOff>
      <xdr:row>24</xdr:row>
      <xdr:rowOff>7696</xdr:rowOff>
    </xdr:from>
    <xdr:to>
      <xdr:col>2</xdr:col>
      <xdr:colOff>428722</xdr:colOff>
      <xdr:row>33</xdr:row>
      <xdr:rowOff>55079</xdr:rowOff>
    </xdr:to>
    <xdr:grpSp>
      <xdr:nvGrpSpPr>
        <xdr:cNvPr id="32" name="Group 31">
          <a:extLst>
            <a:ext uri="{FF2B5EF4-FFF2-40B4-BE49-F238E27FC236}">
              <a16:creationId xmlns:a16="http://schemas.microsoft.com/office/drawing/2014/main" id="{9E7BAF0D-9B4D-4AEF-8922-D9E74B93E1FF}"/>
            </a:ext>
          </a:extLst>
        </xdr:cNvPr>
        <xdr:cNvGrpSpPr/>
      </xdr:nvGrpSpPr>
      <xdr:grpSpPr>
        <a:xfrm>
          <a:off x="177031" y="4587393"/>
          <a:ext cx="2514600" cy="1709928"/>
          <a:chOff x="161639" y="2147453"/>
          <a:chExt cx="1916544" cy="1662546"/>
        </a:xfrm>
      </xdr:grpSpPr>
      <xdr:graphicFrame macro="">
        <xdr:nvGraphicFramePr>
          <xdr:cNvPr id="33" name="Chart 32">
            <a:extLst>
              <a:ext uri="{FF2B5EF4-FFF2-40B4-BE49-F238E27FC236}">
                <a16:creationId xmlns:a16="http://schemas.microsoft.com/office/drawing/2014/main" id="{11E54852-5EA6-F814-8596-553969A92C77}"/>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4" name="TextBox 33">
            <a:extLst>
              <a:ext uri="{FF2B5EF4-FFF2-40B4-BE49-F238E27FC236}">
                <a16:creationId xmlns:a16="http://schemas.microsoft.com/office/drawing/2014/main" id="{75C3AEFA-3BF8-E5E3-1615-ED63FC591FE6}"/>
              </a:ext>
            </a:extLst>
          </xdr:cNvPr>
          <xdr:cNvSpPr txBox="1"/>
        </xdr:nvSpPr>
        <xdr:spPr>
          <a:xfrm>
            <a:off x="558634" y="2147453"/>
            <a:ext cx="1069598" cy="2593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Return</a:t>
            </a:r>
            <a:r>
              <a:rPr lang="en-IN" sz="1050" b="1" baseline="0">
                <a:solidFill>
                  <a:srgbClr val="2596BE"/>
                </a:solidFill>
                <a:latin typeface="+mn-lt"/>
              </a:rPr>
              <a:t> on Assets (%)</a:t>
            </a:r>
            <a:endParaRPr lang="en-IN" sz="1050" b="1">
              <a:solidFill>
                <a:srgbClr val="2596BE"/>
              </a:solidFill>
              <a:latin typeface="+mn-lt"/>
            </a:endParaRPr>
          </a:p>
        </xdr:txBody>
      </xdr:sp>
      <xdr:cxnSp macro="">
        <xdr:nvCxnSpPr>
          <xdr:cNvPr id="35" name="Straight Connector 34">
            <a:extLst>
              <a:ext uri="{FF2B5EF4-FFF2-40B4-BE49-F238E27FC236}">
                <a16:creationId xmlns:a16="http://schemas.microsoft.com/office/drawing/2014/main" id="{AB997C01-B09E-E0A9-E5E8-9376AFD252B9}"/>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223211</xdr:colOff>
      <xdr:row>24</xdr:row>
      <xdr:rowOff>15396</xdr:rowOff>
    </xdr:from>
    <xdr:to>
      <xdr:col>8</xdr:col>
      <xdr:colOff>905933</xdr:colOff>
      <xdr:row>33</xdr:row>
      <xdr:rowOff>62779</xdr:rowOff>
    </xdr:to>
    <xdr:grpSp>
      <xdr:nvGrpSpPr>
        <xdr:cNvPr id="36" name="Group 35">
          <a:extLst>
            <a:ext uri="{FF2B5EF4-FFF2-40B4-BE49-F238E27FC236}">
              <a16:creationId xmlns:a16="http://schemas.microsoft.com/office/drawing/2014/main" id="{DA244376-0D65-4F95-A8BF-A812F77BEA35}"/>
            </a:ext>
          </a:extLst>
        </xdr:cNvPr>
        <xdr:cNvGrpSpPr/>
      </xdr:nvGrpSpPr>
      <xdr:grpSpPr>
        <a:xfrm>
          <a:off x="6149878" y="4595093"/>
          <a:ext cx="2514600" cy="1709928"/>
          <a:chOff x="161639" y="2155152"/>
          <a:chExt cx="1916544" cy="1654847"/>
        </a:xfrm>
      </xdr:grpSpPr>
      <xdr:graphicFrame macro="">
        <xdr:nvGraphicFramePr>
          <xdr:cNvPr id="37" name="Chart 36">
            <a:extLst>
              <a:ext uri="{FF2B5EF4-FFF2-40B4-BE49-F238E27FC236}">
                <a16:creationId xmlns:a16="http://schemas.microsoft.com/office/drawing/2014/main" id="{276A1660-399E-5528-EBFC-0472578991F9}"/>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8" name="TextBox 37">
            <a:extLst>
              <a:ext uri="{FF2B5EF4-FFF2-40B4-BE49-F238E27FC236}">
                <a16:creationId xmlns:a16="http://schemas.microsoft.com/office/drawing/2014/main" id="{E84757B5-0F9D-F5E2-D9DB-4B658BBE6824}"/>
              </a:ext>
            </a:extLst>
          </xdr:cNvPr>
          <xdr:cNvSpPr txBox="1"/>
        </xdr:nvSpPr>
        <xdr:spPr>
          <a:xfrm>
            <a:off x="449798" y="2177992"/>
            <a:ext cx="128403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Financial</a:t>
            </a:r>
            <a:r>
              <a:rPr lang="en-IN" sz="1050" b="1" baseline="0">
                <a:solidFill>
                  <a:srgbClr val="2596BE"/>
                </a:solidFill>
                <a:latin typeface="+mn-lt"/>
              </a:rPr>
              <a:t> Leverage (Times)</a:t>
            </a:r>
            <a:endParaRPr lang="en-IN" sz="1050" b="1">
              <a:solidFill>
                <a:srgbClr val="2596BE"/>
              </a:solidFill>
              <a:latin typeface="+mn-lt"/>
            </a:endParaRPr>
          </a:p>
        </xdr:txBody>
      </xdr:sp>
      <xdr:cxnSp macro="">
        <xdr:nvCxnSpPr>
          <xdr:cNvPr id="39" name="Straight Connector 38">
            <a:extLst>
              <a:ext uri="{FF2B5EF4-FFF2-40B4-BE49-F238E27FC236}">
                <a16:creationId xmlns:a16="http://schemas.microsoft.com/office/drawing/2014/main" id="{C21A7673-90D1-A3EE-B971-FEA58ADE368F}"/>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xdr:col>
      <xdr:colOff>6369</xdr:colOff>
      <xdr:row>36</xdr:row>
      <xdr:rowOff>33706</xdr:rowOff>
    </xdr:from>
    <xdr:ext cx="8521874" cy="1505688"/>
    <xdr:sp macro="" textlink="">
      <xdr:nvSpPr>
        <xdr:cNvPr id="40" name="TextBox 39">
          <a:extLst>
            <a:ext uri="{FF2B5EF4-FFF2-40B4-BE49-F238E27FC236}">
              <a16:creationId xmlns:a16="http://schemas.microsoft.com/office/drawing/2014/main" id="{E10A5494-31E5-2163-D85C-24B60AE83560}"/>
            </a:ext>
          </a:extLst>
        </xdr:cNvPr>
        <xdr:cNvSpPr txBox="1"/>
      </xdr:nvSpPr>
      <xdr:spPr>
        <a:xfrm>
          <a:off x="168005" y="6429888"/>
          <a:ext cx="8521874" cy="1505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mn-lt"/>
              <a:ea typeface="+mn-ea"/>
              <a:cs typeface="+mn-cs"/>
            </a:rPr>
            <a:t>Infosys reported a consolidated net profit of ₹6,654.00 crores for Q3 FY26 (October-December 2025), marking a decline of 9.64% quarter-on-quarter but a modest fall of 2.23% year-on-year.</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mn-lt"/>
              <a:ea typeface="+mn-ea"/>
              <a:cs typeface="+mn-cs"/>
            </a:rPr>
            <a:t>The company's operating margin (excluding other income) contracted to 23.38% from 23.68% in the previous quarter, reflecting the ongoing challenges of balancing growth investments with profitability in a competitive talent market. </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mn-lt"/>
              <a:ea typeface="+mn-ea"/>
              <a:cs typeface="+mn-cs"/>
            </a:rPr>
            <a:t>The PAT margin also witnessed compression, declining to 14.66% from 16.58% in the previous quarter. This 192 basis point contraction was partly offset by a decline in the tax rate to 27.77% from 27.90%.</a:t>
          </a:r>
          <a:endParaRPr lang="en-IN">
            <a:effectLst/>
          </a:endParaRPr>
        </a:p>
        <a:p>
          <a:pPr marL="171450" indent="-171450" algn="l">
            <a:buFont typeface="Arial" panose="020B0604020202020204" pitchFamily="34" charset="0"/>
            <a:buChar char="•"/>
          </a:pPr>
          <a:r>
            <a:rPr lang="en-IN" sz="1100" b="0" i="0">
              <a:solidFill>
                <a:schemeClr val="tx1"/>
              </a:solidFill>
              <a:effectLst/>
              <a:latin typeface="+mn-lt"/>
              <a:ea typeface="+mn-ea"/>
              <a:cs typeface="+mn-cs"/>
            </a:rPr>
            <a:t>It continues to demonstrate exceptional capital efficiency, with a return on equity (ROE) of 27.22% for the latest period, significantly above the peer group average of approximately 25%.</a:t>
          </a:r>
          <a:endParaRPr lang="en-IN">
            <a:effectLst/>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a:p>
      </xdr:txBody>
    </xdr:sp>
    <xdr:clientData/>
  </xdr:oneCellAnchor>
  <xdr:oneCellAnchor>
    <xdr:from>
      <xdr:col>0</xdr:col>
      <xdr:colOff>138546</xdr:colOff>
      <xdr:row>95</xdr:row>
      <xdr:rowOff>69272</xdr:rowOff>
    </xdr:from>
    <xdr:ext cx="8528241" cy="1516304"/>
    <xdr:sp macro="" textlink="">
      <xdr:nvSpPr>
        <xdr:cNvPr id="3" name="TextBox 2">
          <a:extLst>
            <a:ext uri="{FF2B5EF4-FFF2-40B4-BE49-F238E27FC236}">
              <a16:creationId xmlns:a16="http://schemas.microsoft.com/office/drawing/2014/main" id="{D51A34A8-0747-7C30-EDE3-EF889A615EB4}"/>
            </a:ext>
          </a:extLst>
        </xdr:cNvPr>
        <xdr:cNvSpPr txBox="1"/>
      </xdr:nvSpPr>
      <xdr:spPr>
        <a:xfrm>
          <a:off x="138546" y="17033393"/>
          <a:ext cx="8528241" cy="1516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71450" indent="-171450">
            <a:buFont typeface="Arial" panose="020B0604020202020204" pitchFamily="34" charset="0"/>
            <a:buChar char="•"/>
          </a:pPr>
          <a:r>
            <a:rPr lang="en-IN" sz="1100"/>
            <a:t>ROE</a:t>
          </a:r>
          <a:r>
            <a:rPr lang="en-IN" sz="1100" baseline="0"/>
            <a:t> of Infosys, demonstrated a consistent upward trend through FY-2024, reaching a peak of 32.1%. However, in FY-2025, ROE declined to 29.09%, indicating a moderation in profitability relative to shareholder's Equity.</a:t>
          </a:r>
        </a:p>
        <a:p>
          <a:pPr marL="171450" indent="-171450">
            <a:buFont typeface="Arial" panose="020B0604020202020204" pitchFamily="34" charset="0"/>
            <a:buChar char="•"/>
          </a:pPr>
          <a:r>
            <a:rPr lang="en-IN" sz="1100" baseline="0"/>
            <a:t>Net Profit Margin has exhibited a declining trend, decreasing from 19.33% in FY-2021 to 16.41% in FY-2025. the overall contraction was briefly interrupted in FY-2024, which recorded a marginal increase of 0.65% before resuming its downward trajectory.</a:t>
          </a:r>
        </a:p>
        <a:p>
          <a:pPr marL="171450" indent="-171450">
            <a:buFont typeface="Arial" panose="020B0604020202020204" pitchFamily="34" charset="0"/>
            <a:buChar char="•"/>
          </a:pPr>
          <a:r>
            <a:rPr lang="en-IN" sz="1100" baseline="0"/>
            <a:t>Financial leverage exhibited a consistent upward trends through  FY-2024, reaching 1.60x in FY-2025, however it moderated slightly to 1.55x, indicating a marginal reduction in the companies reliance on debt financing.</a:t>
          </a:r>
        </a:p>
        <a:p>
          <a:pPr marL="171450" indent="-171450">
            <a:buFont typeface="Arial" panose="020B0604020202020204" pitchFamily="34" charset="0"/>
            <a:buChar char="•"/>
          </a:pPr>
          <a:r>
            <a:rPr lang="en-IN" sz="1100" baseline="0"/>
            <a:t>Return on Assets increased, consistently through FY-2024, reaching a peak of 20.04%. In FY-2025, however, it declined to 18.76%, making a reversal from the prior upward trend.</a:t>
          </a:r>
          <a:endParaRPr lang="en-IN" sz="1100"/>
        </a:p>
      </xdr:txBody>
    </xdr:sp>
    <xdr:clientData/>
  </xdr:oneCellAnchor>
  <xdr:twoCellAnchor editAs="oneCell">
    <xdr:from>
      <xdr:col>7</xdr:col>
      <xdr:colOff>500299</xdr:colOff>
      <xdr:row>3</xdr:row>
      <xdr:rowOff>69272</xdr:rowOff>
    </xdr:from>
    <xdr:to>
      <xdr:col>8</xdr:col>
      <xdr:colOff>906261</xdr:colOff>
      <xdr:row>6</xdr:row>
      <xdr:rowOff>83989</xdr:rowOff>
    </xdr:to>
    <xdr:pic>
      <xdr:nvPicPr>
        <xdr:cNvPr id="7" name="Picture 6">
          <a:extLst>
            <a:ext uri="{FF2B5EF4-FFF2-40B4-BE49-F238E27FC236}">
              <a16:creationId xmlns:a16="http://schemas.microsoft.com/office/drawing/2014/main" id="{275B5154-675E-4E78-842D-7876D65E967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342905" y="415636"/>
          <a:ext cx="1321901" cy="676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15396</xdr:colOff>
      <xdr:row>13</xdr:row>
      <xdr:rowOff>115455</xdr:rowOff>
    </xdr:from>
    <xdr:to>
      <xdr:col>2</xdr:col>
      <xdr:colOff>282480</xdr:colOff>
      <xdr:row>23</xdr:row>
      <xdr:rowOff>1201</xdr:rowOff>
    </xdr:to>
    <xdr:grpSp>
      <xdr:nvGrpSpPr>
        <xdr:cNvPr id="2" name="Group 1">
          <a:extLst>
            <a:ext uri="{FF2B5EF4-FFF2-40B4-BE49-F238E27FC236}">
              <a16:creationId xmlns:a16="http://schemas.microsoft.com/office/drawing/2014/main" id="{001840B6-4684-447E-9B76-51D623F4B654}"/>
            </a:ext>
          </a:extLst>
        </xdr:cNvPr>
        <xdr:cNvGrpSpPr/>
      </xdr:nvGrpSpPr>
      <xdr:grpSpPr>
        <a:xfrm>
          <a:off x="177032" y="2663152"/>
          <a:ext cx="2514600" cy="1733019"/>
          <a:chOff x="161639" y="2125003"/>
          <a:chExt cx="1916544" cy="1684996"/>
        </a:xfrm>
      </xdr:grpSpPr>
      <xdr:graphicFrame macro="">
        <xdr:nvGraphicFramePr>
          <xdr:cNvPr id="3" name="Chart 2">
            <a:extLst>
              <a:ext uri="{FF2B5EF4-FFF2-40B4-BE49-F238E27FC236}">
                <a16:creationId xmlns:a16="http://schemas.microsoft.com/office/drawing/2014/main" id="{62A83CAC-D5F7-2AC9-CFA1-4DF718F5E4D4}"/>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5E2A03C8-ADDE-CD73-7981-7CE9E9C6DD0E}"/>
              </a:ext>
            </a:extLst>
          </xdr:cNvPr>
          <xdr:cNvSpPr txBox="1"/>
        </xdr:nvSpPr>
        <xdr:spPr>
          <a:xfrm>
            <a:off x="235985" y="2125003"/>
            <a:ext cx="1691430" cy="249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Working Capital / Total Assets</a:t>
            </a:r>
            <a:r>
              <a:rPr lang="en-IN" sz="1050" b="1" baseline="0">
                <a:solidFill>
                  <a:srgbClr val="2596BE"/>
                </a:solidFill>
                <a:latin typeface="+mn-lt"/>
              </a:rPr>
              <a:t> (%)</a:t>
            </a:r>
          </a:p>
        </xdr:txBody>
      </xdr:sp>
      <xdr:cxnSp macro="">
        <xdr:nvCxnSpPr>
          <xdr:cNvPr id="5" name="Straight Connector 4">
            <a:extLst>
              <a:ext uri="{FF2B5EF4-FFF2-40B4-BE49-F238E27FC236}">
                <a16:creationId xmlns:a16="http://schemas.microsoft.com/office/drawing/2014/main" id="{46085C8E-0E55-4E52-BB29-AA91090386BD}"/>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76973</xdr:colOff>
      <xdr:row>13</xdr:row>
      <xdr:rowOff>130847</xdr:rowOff>
    </xdr:from>
    <xdr:to>
      <xdr:col>5</xdr:col>
      <xdr:colOff>831272</xdr:colOff>
      <xdr:row>23</xdr:row>
      <xdr:rowOff>8897</xdr:rowOff>
    </xdr:to>
    <xdr:grpSp>
      <xdr:nvGrpSpPr>
        <xdr:cNvPr id="6" name="Group 5">
          <a:extLst>
            <a:ext uri="{FF2B5EF4-FFF2-40B4-BE49-F238E27FC236}">
              <a16:creationId xmlns:a16="http://schemas.microsoft.com/office/drawing/2014/main" id="{017D73CB-AB88-4150-B81E-24C646E0DEB6}"/>
            </a:ext>
          </a:extLst>
        </xdr:cNvPr>
        <xdr:cNvGrpSpPr/>
      </xdr:nvGrpSpPr>
      <xdr:grpSpPr>
        <a:xfrm>
          <a:off x="3402064" y="2678544"/>
          <a:ext cx="2586178" cy="1725323"/>
          <a:chOff x="161639" y="2140252"/>
          <a:chExt cx="1971098" cy="1669747"/>
        </a:xfrm>
      </xdr:grpSpPr>
      <xdr:graphicFrame macro="">
        <xdr:nvGraphicFramePr>
          <xdr:cNvPr id="7" name="Chart 6">
            <a:extLst>
              <a:ext uri="{FF2B5EF4-FFF2-40B4-BE49-F238E27FC236}">
                <a16:creationId xmlns:a16="http://schemas.microsoft.com/office/drawing/2014/main" id="{764A8FAD-B48D-032D-583E-629E5A6E84CF}"/>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C230C254-ADEA-3769-76BD-8FAB721477B6}"/>
              </a:ext>
            </a:extLst>
          </xdr:cNvPr>
          <xdr:cNvSpPr txBox="1"/>
        </xdr:nvSpPr>
        <xdr:spPr>
          <a:xfrm>
            <a:off x="251751" y="2140252"/>
            <a:ext cx="1880986"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Retained</a:t>
            </a:r>
            <a:r>
              <a:rPr lang="en-IN" sz="1050" b="1" baseline="0">
                <a:solidFill>
                  <a:srgbClr val="2596BE"/>
                </a:solidFill>
                <a:latin typeface="+mn-lt"/>
              </a:rPr>
              <a:t> Earning / Total Assets </a:t>
            </a:r>
            <a:r>
              <a:rPr lang="en-IN" sz="1050" b="1">
                <a:solidFill>
                  <a:srgbClr val="2596BE"/>
                </a:solidFill>
                <a:latin typeface="+mn-lt"/>
              </a:rPr>
              <a:t>(%</a:t>
            </a:r>
            <a:r>
              <a:rPr lang="en-IN" sz="1050" b="1" baseline="0">
                <a:solidFill>
                  <a:srgbClr val="2596BE"/>
                </a:solidFill>
                <a:latin typeface="+mn-lt"/>
              </a:rPr>
              <a:t>)</a:t>
            </a:r>
            <a:endParaRPr lang="en-IN" sz="1050" b="1">
              <a:solidFill>
                <a:srgbClr val="2596BE"/>
              </a:solidFill>
              <a:latin typeface="+mn-lt"/>
            </a:endParaRPr>
          </a:p>
        </xdr:txBody>
      </xdr:sp>
      <xdr:cxnSp macro="">
        <xdr:nvCxnSpPr>
          <xdr:cNvPr id="9" name="Straight Connector 8">
            <a:extLst>
              <a:ext uri="{FF2B5EF4-FFF2-40B4-BE49-F238E27FC236}">
                <a16:creationId xmlns:a16="http://schemas.microsoft.com/office/drawing/2014/main" id="{7924DF9B-C95A-2EDC-6F00-DA06C07C13CA}"/>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338430</xdr:colOff>
      <xdr:row>13</xdr:row>
      <xdr:rowOff>130847</xdr:rowOff>
    </xdr:from>
    <xdr:to>
      <xdr:col>8</xdr:col>
      <xdr:colOff>913583</xdr:colOff>
      <xdr:row>23</xdr:row>
      <xdr:rowOff>1200</xdr:rowOff>
    </xdr:to>
    <xdr:grpSp>
      <xdr:nvGrpSpPr>
        <xdr:cNvPr id="10" name="Group 9">
          <a:extLst>
            <a:ext uri="{FF2B5EF4-FFF2-40B4-BE49-F238E27FC236}">
              <a16:creationId xmlns:a16="http://schemas.microsoft.com/office/drawing/2014/main" id="{6B773D3B-2FC1-41EE-B5D5-4CDCB1942D27}"/>
            </a:ext>
          </a:extLst>
        </xdr:cNvPr>
        <xdr:cNvGrpSpPr/>
      </xdr:nvGrpSpPr>
      <xdr:grpSpPr>
        <a:xfrm>
          <a:off x="6411339" y="2678544"/>
          <a:ext cx="2407032" cy="1717626"/>
          <a:chOff x="161639" y="2139970"/>
          <a:chExt cx="1916543" cy="1670029"/>
        </a:xfrm>
      </xdr:grpSpPr>
      <xdr:graphicFrame macro="">
        <xdr:nvGraphicFramePr>
          <xdr:cNvPr id="11" name="Chart 10">
            <a:extLst>
              <a:ext uri="{FF2B5EF4-FFF2-40B4-BE49-F238E27FC236}">
                <a16:creationId xmlns:a16="http://schemas.microsoft.com/office/drawing/2014/main" id="{E85CC238-0A04-8F6C-34DE-FB8533E44C0B}"/>
              </a:ext>
            </a:extLst>
          </xdr:cNvPr>
          <xdr:cNvGraphicFramePr/>
        </xdr:nvGraphicFramePr>
        <xdr:xfrm>
          <a:off x="161639" y="2409153"/>
          <a:ext cx="1916543" cy="140084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5363F942-0943-9266-BBB4-392B9AEB0008}"/>
              </a:ext>
            </a:extLst>
          </xdr:cNvPr>
          <xdr:cNvSpPr txBox="1"/>
        </xdr:nvSpPr>
        <xdr:spPr>
          <a:xfrm>
            <a:off x="473749" y="2139970"/>
            <a:ext cx="135504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EBIT</a:t>
            </a:r>
            <a:r>
              <a:rPr lang="en-IN" sz="1050" b="1" baseline="0">
                <a:solidFill>
                  <a:srgbClr val="2596BE"/>
                </a:solidFill>
                <a:latin typeface="+mn-lt"/>
              </a:rPr>
              <a:t> / Total Assets (%)</a:t>
            </a:r>
            <a:endParaRPr lang="en-IN" sz="1050" b="1">
              <a:solidFill>
                <a:srgbClr val="2596BE"/>
              </a:solidFill>
              <a:latin typeface="+mn-lt"/>
            </a:endParaRPr>
          </a:p>
        </xdr:txBody>
      </xdr:sp>
      <xdr:cxnSp macro="">
        <xdr:nvCxnSpPr>
          <xdr:cNvPr id="13" name="Straight Connector 12">
            <a:extLst>
              <a:ext uri="{FF2B5EF4-FFF2-40B4-BE49-F238E27FC236}">
                <a16:creationId xmlns:a16="http://schemas.microsoft.com/office/drawing/2014/main" id="{6B99D3EC-EA83-4519-90AB-3DE6850FD98A}"/>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15395</xdr:colOff>
      <xdr:row>23</xdr:row>
      <xdr:rowOff>169331</xdr:rowOff>
    </xdr:from>
    <xdr:to>
      <xdr:col>2</xdr:col>
      <xdr:colOff>282479</xdr:colOff>
      <xdr:row>33</xdr:row>
      <xdr:rowOff>55079</xdr:rowOff>
    </xdr:to>
    <xdr:grpSp>
      <xdr:nvGrpSpPr>
        <xdr:cNvPr id="18" name="Group 17">
          <a:extLst>
            <a:ext uri="{FF2B5EF4-FFF2-40B4-BE49-F238E27FC236}">
              <a16:creationId xmlns:a16="http://schemas.microsoft.com/office/drawing/2014/main" id="{52122531-3066-4174-ACFA-AE6693AD8A40}"/>
            </a:ext>
          </a:extLst>
        </xdr:cNvPr>
        <xdr:cNvGrpSpPr/>
      </xdr:nvGrpSpPr>
      <xdr:grpSpPr>
        <a:xfrm>
          <a:off x="177031" y="4564301"/>
          <a:ext cx="2514600" cy="1733020"/>
          <a:chOff x="161639" y="2125001"/>
          <a:chExt cx="1916544" cy="1684998"/>
        </a:xfrm>
      </xdr:grpSpPr>
      <xdr:graphicFrame macro="">
        <xdr:nvGraphicFramePr>
          <xdr:cNvPr id="19" name="Chart 18">
            <a:extLst>
              <a:ext uri="{FF2B5EF4-FFF2-40B4-BE49-F238E27FC236}">
                <a16:creationId xmlns:a16="http://schemas.microsoft.com/office/drawing/2014/main" id="{9FF190E1-003E-2E8D-88DD-BE4B33A7C123}"/>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0" name="TextBox 19">
            <a:extLst>
              <a:ext uri="{FF2B5EF4-FFF2-40B4-BE49-F238E27FC236}">
                <a16:creationId xmlns:a16="http://schemas.microsoft.com/office/drawing/2014/main" id="{25A908D9-771E-CD5E-E5FF-0AA7E6517AC9}"/>
              </a:ext>
            </a:extLst>
          </xdr:cNvPr>
          <xdr:cNvSpPr txBox="1"/>
        </xdr:nvSpPr>
        <xdr:spPr>
          <a:xfrm>
            <a:off x="376777" y="2125001"/>
            <a:ext cx="1491977" cy="249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baseline="0">
                <a:solidFill>
                  <a:srgbClr val="2596BE"/>
                </a:solidFill>
                <a:latin typeface="+mn-lt"/>
              </a:rPr>
              <a:t>Market Cap / Total Assets (%)</a:t>
            </a:r>
            <a:endParaRPr lang="en-IN" sz="1050" b="1">
              <a:solidFill>
                <a:srgbClr val="2596BE"/>
              </a:solidFill>
              <a:latin typeface="+mn-lt"/>
            </a:endParaRPr>
          </a:p>
        </xdr:txBody>
      </xdr:sp>
      <xdr:cxnSp macro="">
        <xdr:nvCxnSpPr>
          <xdr:cNvPr id="21" name="Straight Connector 20">
            <a:extLst>
              <a:ext uri="{FF2B5EF4-FFF2-40B4-BE49-F238E27FC236}">
                <a16:creationId xmlns:a16="http://schemas.microsoft.com/office/drawing/2014/main" id="{6516618C-F812-7A33-7AD7-277C2C16578D}"/>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223211</xdr:colOff>
      <xdr:row>23</xdr:row>
      <xdr:rowOff>177540</xdr:rowOff>
    </xdr:from>
    <xdr:to>
      <xdr:col>8</xdr:col>
      <xdr:colOff>905933</xdr:colOff>
      <xdr:row>33</xdr:row>
      <xdr:rowOff>62778</xdr:rowOff>
    </xdr:to>
    <xdr:grpSp>
      <xdr:nvGrpSpPr>
        <xdr:cNvPr id="22" name="Group 21">
          <a:extLst>
            <a:ext uri="{FF2B5EF4-FFF2-40B4-BE49-F238E27FC236}">
              <a16:creationId xmlns:a16="http://schemas.microsoft.com/office/drawing/2014/main" id="{F546D261-2622-4579-92B1-5B39A5709C29}"/>
            </a:ext>
          </a:extLst>
        </xdr:cNvPr>
        <xdr:cNvGrpSpPr/>
      </xdr:nvGrpSpPr>
      <xdr:grpSpPr>
        <a:xfrm>
          <a:off x="6296120" y="4572510"/>
          <a:ext cx="2514601" cy="1732510"/>
          <a:chOff x="161639" y="2133297"/>
          <a:chExt cx="1916544" cy="1676702"/>
        </a:xfrm>
      </xdr:grpSpPr>
      <xdr:graphicFrame macro="">
        <xdr:nvGraphicFramePr>
          <xdr:cNvPr id="23" name="Chart 22">
            <a:extLst>
              <a:ext uri="{FF2B5EF4-FFF2-40B4-BE49-F238E27FC236}">
                <a16:creationId xmlns:a16="http://schemas.microsoft.com/office/drawing/2014/main" id="{AD8795F9-315F-4B85-B69F-5FCF939D9AC9}"/>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4" name="TextBox 23">
            <a:extLst>
              <a:ext uri="{FF2B5EF4-FFF2-40B4-BE49-F238E27FC236}">
                <a16:creationId xmlns:a16="http://schemas.microsoft.com/office/drawing/2014/main" id="{B65A7E8B-88B4-7ACF-D993-F5CE94FFAB24}"/>
              </a:ext>
            </a:extLst>
          </xdr:cNvPr>
          <xdr:cNvSpPr txBox="1"/>
        </xdr:nvSpPr>
        <xdr:spPr>
          <a:xfrm>
            <a:off x="690319" y="2133297"/>
            <a:ext cx="128403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Altman</a:t>
            </a:r>
            <a:r>
              <a:rPr lang="en-IN" sz="1050" b="1" baseline="0">
                <a:solidFill>
                  <a:srgbClr val="2596BE"/>
                </a:solidFill>
                <a:latin typeface="+mn-lt"/>
              </a:rPr>
              <a:t>'s Z Score</a:t>
            </a:r>
            <a:endParaRPr lang="en-IN" sz="1050" b="1">
              <a:solidFill>
                <a:srgbClr val="2596BE"/>
              </a:solidFill>
              <a:latin typeface="+mn-lt"/>
            </a:endParaRPr>
          </a:p>
        </xdr:txBody>
      </xdr:sp>
      <xdr:cxnSp macro="">
        <xdr:nvCxnSpPr>
          <xdr:cNvPr id="25" name="Straight Connector 24">
            <a:extLst>
              <a:ext uri="{FF2B5EF4-FFF2-40B4-BE49-F238E27FC236}">
                <a16:creationId xmlns:a16="http://schemas.microsoft.com/office/drawing/2014/main" id="{B27024C3-5B0C-B997-2561-2A2AD953F18B}"/>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1</xdr:col>
      <xdr:colOff>6369</xdr:colOff>
      <xdr:row>36</xdr:row>
      <xdr:rowOff>33706</xdr:rowOff>
    </xdr:from>
    <xdr:ext cx="8521874" cy="1505688"/>
    <xdr:sp macro="" textlink="">
      <xdr:nvSpPr>
        <xdr:cNvPr id="26" name="TextBox 25">
          <a:extLst>
            <a:ext uri="{FF2B5EF4-FFF2-40B4-BE49-F238E27FC236}">
              <a16:creationId xmlns:a16="http://schemas.microsoft.com/office/drawing/2014/main" id="{BD36177A-FB84-435C-BE3B-3BCF544FA8DC}"/>
            </a:ext>
          </a:extLst>
        </xdr:cNvPr>
        <xdr:cNvSpPr txBox="1"/>
      </xdr:nvSpPr>
      <xdr:spPr>
        <a:xfrm>
          <a:off x="166389" y="6716446"/>
          <a:ext cx="8521874" cy="1505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mn-lt"/>
              <a:ea typeface="+mn-ea"/>
              <a:cs typeface="+mn-cs"/>
            </a:rPr>
            <a:t>Infosys reported a consolidated net profit of ₹6,654.00 crores for Q3 FY26 (October-December 2025), marking a decline of 9.64% quarter-on-quarter but a modest fall of 2.23% year-on-year.</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mn-lt"/>
              <a:ea typeface="+mn-ea"/>
              <a:cs typeface="+mn-cs"/>
            </a:rPr>
            <a:t>The company's operating margin (excluding other income) contracted to 23.38% from 23.68% in the previous quarter, reflecting the ongoing challenges of balancing growth investments with profitability in a competitive talent market. </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tx1"/>
              </a:solidFill>
              <a:effectLst/>
              <a:latin typeface="+mn-lt"/>
              <a:ea typeface="+mn-ea"/>
              <a:cs typeface="+mn-cs"/>
            </a:rPr>
            <a:t>The PAT margin also witnessed compression, declining to 14.66% from 16.58% in the previous quarter. This 192 basis point contraction was partly offset by a decline in the tax rate to 27.77% from 27.90%.</a:t>
          </a:r>
          <a:endParaRPr lang="en-IN">
            <a:effectLst/>
          </a:endParaRPr>
        </a:p>
        <a:p>
          <a:pPr marL="171450" indent="-171450" algn="l">
            <a:buFont typeface="Arial" panose="020B0604020202020204" pitchFamily="34" charset="0"/>
            <a:buChar char="•"/>
          </a:pPr>
          <a:r>
            <a:rPr lang="en-IN" sz="1100" b="0" i="0">
              <a:solidFill>
                <a:schemeClr val="tx1"/>
              </a:solidFill>
              <a:effectLst/>
              <a:latin typeface="+mn-lt"/>
              <a:ea typeface="+mn-ea"/>
              <a:cs typeface="+mn-cs"/>
            </a:rPr>
            <a:t>It continues to demonstrate exceptional capital efficiency, with a return on equity (ROE) of 27.22% for the latest period, significantly above the peer group average of approximately 25%.</a:t>
          </a:r>
          <a:endParaRPr lang="en-IN">
            <a:effectLst/>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b="0" i="0">
            <a:solidFill>
              <a:schemeClr val="tx1"/>
            </a:solidFill>
            <a:effectLst/>
            <a:latin typeface="+mn-lt"/>
            <a:ea typeface="+mn-ea"/>
            <a:cs typeface="+mn-cs"/>
          </a:endParaRPr>
        </a:p>
        <a:p>
          <a:endParaRPr lang="en-IN" sz="1100"/>
        </a:p>
      </xdr:txBody>
    </xdr:sp>
    <xdr:clientData/>
  </xdr:oneCellAnchor>
  <xdr:twoCellAnchor editAs="oneCell">
    <xdr:from>
      <xdr:col>7</xdr:col>
      <xdr:colOff>500299</xdr:colOff>
      <xdr:row>3</xdr:row>
      <xdr:rowOff>69272</xdr:rowOff>
    </xdr:from>
    <xdr:to>
      <xdr:col>8</xdr:col>
      <xdr:colOff>906260</xdr:colOff>
      <xdr:row>6</xdr:row>
      <xdr:rowOff>83989</xdr:rowOff>
    </xdr:to>
    <xdr:pic>
      <xdr:nvPicPr>
        <xdr:cNvPr id="28" name="Picture 27">
          <a:extLst>
            <a:ext uri="{FF2B5EF4-FFF2-40B4-BE49-F238E27FC236}">
              <a16:creationId xmlns:a16="http://schemas.microsoft.com/office/drawing/2014/main" id="{3E13C2A8-CB0B-48F6-A6EC-E05930D4388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335439" y="412172"/>
          <a:ext cx="1320362" cy="670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83127</xdr:colOff>
      <xdr:row>23</xdr:row>
      <xdr:rowOff>160089</xdr:rowOff>
    </xdr:from>
    <xdr:to>
      <xdr:col>5</xdr:col>
      <xdr:colOff>765848</xdr:colOff>
      <xdr:row>33</xdr:row>
      <xdr:rowOff>53533</xdr:rowOff>
    </xdr:to>
    <xdr:grpSp>
      <xdr:nvGrpSpPr>
        <xdr:cNvPr id="27" name="Group 26">
          <a:extLst>
            <a:ext uri="{FF2B5EF4-FFF2-40B4-BE49-F238E27FC236}">
              <a16:creationId xmlns:a16="http://schemas.microsoft.com/office/drawing/2014/main" id="{2818E503-61B7-4869-9613-A11F2E6BC35B}"/>
            </a:ext>
          </a:extLst>
        </xdr:cNvPr>
        <xdr:cNvGrpSpPr/>
      </xdr:nvGrpSpPr>
      <xdr:grpSpPr>
        <a:xfrm>
          <a:off x="3408218" y="4555059"/>
          <a:ext cx="2514600" cy="1740716"/>
          <a:chOff x="161639" y="2117518"/>
          <a:chExt cx="1916544" cy="1692481"/>
        </a:xfrm>
      </xdr:grpSpPr>
      <xdr:graphicFrame macro="">
        <xdr:nvGraphicFramePr>
          <xdr:cNvPr id="29" name="Chart 28">
            <a:extLst>
              <a:ext uri="{FF2B5EF4-FFF2-40B4-BE49-F238E27FC236}">
                <a16:creationId xmlns:a16="http://schemas.microsoft.com/office/drawing/2014/main" id="{B289110F-69E6-2977-F9E8-3251E84BB97E}"/>
              </a:ext>
            </a:extLst>
          </xdr:cNvPr>
          <xdr:cNvGraphicFramePr/>
        </xdr:nvGraphicFramePr>
        <xdr:xfrm>
          <a:off x="161639" y="2255212"/>
          <a:ext cx="1916544" cy="155478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0" name="TextBox 29">
            <a:extLst>
              <a:ext uri="{FF2B5EF4-FFF2-40B4-BE49-F238E27FC236}">
                <a16:creationId xmlns:a16="http://schemas.microsoft.com/office/drawing/2014/main" id="{91E87F7B-70E7-3E73-1C50-E7592CD9C4B2}"/>
              </a:ext>
            </a:extLst>
          </xdr:cNvPr>
          <xdr:cNvSpPr txBox="1"/>
        </xdr:nvSpPr>
        <xdr:spPr>
          <a:xfrm>
            <a:off x="570367" y="2117518"/>
            <a:ext cx="1276095" cy="249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rgbClr val="2596BE"/>
                </a:solidFill>
                <a:latin typeface="+mn-lt"/>
              </a:rPr>
              <a:t>Sale</a:t>
            </a:r>
            <a:r>
              <a:rPr lang="en-IN" sz="1050" b="1" baseline="0">
                <a:solidFill>
                  <a:srgbClr val="2596BE"/>
                </a:solidFill>
                <a:latin typeface="+mn-lt"/>
              </a:rPr>
              <a:t> / Total Assets (%)</a:t>
            </a:r>
            <a:endParaRPr lang="en-IN" sz="1050" b="1">
              <a:solidFill>
                <a:srgbClr val="2596BE"/>
              </a:solidFill>
              <a:latin typeface="+mn-lt"/>
            </a:endParaRPr>
          </a:p>
        </xdr:txBody>
      </xdr:sp>
      <xdr:cxnSp macro="">
        <xdr:nvCxnSpPr>
          <xdr:cNvPr id="31" name="Straight Connector 30">
            <a:extLst>
              <a:ext uri="{FF2B5EF4-FFF2-40B4-BE49-F238E27FC236}">
                <a16:creationId xmlns:a16="http://schemas.microsoft.com/office/drawing/2014/main" id="{F1D04617-7715-9522-EADF-6F4A99B11A36}"/>
              </a:ext>
            </a:extLst>
          </xdr:cNvPr>
          <xdr:cNvCxnSpPr/>
        </xdr:nvCxnSpPr>
        <xdr:spPr>
          <a:xfrm>
            <a:off x="215515" y="2155152"/>
            <a:ext cx="166254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123152</xdr:colOff>
      <xdr:row>88</xdr:row>
      <xdr:rowOff>46180</xdr:rowOff>
    </xdr:from>
    <xdr:ext cx="8528241" cy="1054485"/>
    <xdr:sp macro="" textlink="">
      <xdr:nvSpPr>
        <xdr:cNvPr id="32" name="TextBox 31">
          <a:extLst>
            <a:ext uri="{FF2B5EF4-FFF2-40B4-BE49-F238E27FC236}">
              <a16:creationId xmlns:a16="http://schemas.microsoft.com/office/drawing/2014/main" id="{943D575A-FF27-477C-B82A-C356B898CB9E}"/>
            </a:ext>
          </a:extLst>
        </xdr:cNvPr>
        <xdr:cNvSpPr txBox="1"/>
      </xdr:nvSpPr>
      <xdr:spPr>
        <a:xfrm>
          <a:off x="123152" y="16363756"/>
          <a:ext cx="8528241" cy="1054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71450" indent="-171450">
            <a:buFont typeface="Arial" panose="020B0604020202020204" pitchFamily="34" charset="0"/>
            <a:buChar char="•"/>
          </a:pPr>
          <a:r>
            <a:rPr lang="en-IN" sz="1100" baseline="0"/>
            <a:t>Liquidity compressed from 43.52% to 32.97% but remains stable.</a:t>
          </a:r>
        </a:p>
        <a:p>
          <a:pPr marL="171450" indent="-171450">
            <a:buFont typeface="Arial" panose="020B0604020202020204" pitchFamily="34" charset="0"/>
            <a:buChar char="•"/>
          </a:pPr>
          <a:r>
            <a:rPr lang="en-IN" sz="1100" baseline="0"/>
            <a:t>Retained earning modest at 6-10% reflecting consistant dividend payouts.</a:t>
          </a:r>
        </a:p>
        <a:p>
          <a:pPr marL="171450" indent="-171450">
            <a:buFont typeface="Arial" panose="020B0604020202020204" pitchFamily="34" charset="0"/>
            <a:buChar char="•"/>
          </a:pPr>
          <a:r>
            <a:rPr lang="en-IN" sz="1100" baseline="0"/>
            <a:t>Profitablity strengthened from 21.6 to 23.29% EBIT/total Assets - opeartinally resilient.</a:t>
          </a:r>
        </a:p>
        <a:p>
          <a:pPr marL="171450" indent="-171450">
            <a:buFont typeface="Arial" panose="020B0604020202020204" pitchFamily="34" charset="0"/>
            <a:buChar char="•"/>
          </a:pPr>
          <a:r>
            <a:rPr lang="en-IN" sz="1100" baseline="0"/>
            <a:t>Market valuation peaked at 684.96% in Mar-22, normalizing to 440.35% - low leverage.</a:t>
          </a:r>
        </a:p>
        <a:p>
          <a:pPr marL="171450" indent="-171450">
            <a:buFont typeface="Arial" panose="020B0604020202020204" pitchFamily="34" charset="0"/>
            <a:buChar char="•"/>
          </a:pPr>
          <a:r>
            <a:rPr lang="en-IN" sz="1100" baseline="0"/>
            <a:t>Z-score ranged 4.08-6.41, closing at 4.99 - firmly in the Safe zone throughout.</a:t>
          </a: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3</xdr:col>
      <xdr:colOff>1508760</xdr:colOff>
      <xdr:row>33</xdr:row>
      <xdr:rowOff>110490</xdr:rowOff>
    </xdr:from>
    <xdr:to>
      <xdr:col>6</xdr:col>
      <xdr:colOff>647700</xdr:colOff>
      <xdr:row>47</xdr:row>
      <xdr:rowOff>110490</xdr:rowOff>
    </xdr:to>
    <xdr:graphicFrame macro="">
      <xdr:nvGraphicFramePr>
        <xdr:cNvPr id="3" name="Chart 2">
          <a:extLst>
            <a:ext uri="{FF2B5EF4-FFF2-40B4-BE49-F238E27FC236}">
              <a16:creationId xmlns:a16="http://schemas.microsoft.com/office/drawing/2014/main" id="{631A4069-281F-909B-2A49-EC9DECBB7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133350</xdr:colOff>
      <xdr:row>1163</xdr:row>
      <xdr:rowOff>34290</xdr:rowOff>
    </xdr:from>
    <xdr:to>
      <xdr:col>17</xdr:col>
      <xdr:colOff>476250</xdr:colOff>
      <xdr:row>1178</xdr:row>
      <xdr:rowOff>34290</xdr:rowOff>
    </xdr:to>
    <xdr:graphicFrame macro="">
      <xdr:nvGraphicFramePr>
        <xdr:cNvPr id="2" name="Chart 1">
          <a:extLst>
            <a:ext uri="{FF2B5EF4-FFF2-40B4-BE49-F238E27FC236}">
              <a16:creationId xmlns:a16="http://schemas.microsoft.com/office/drawing/2014/main" id="{62CC17E1-4B59-17C1-E603-30D099D44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389890</xdr:colOff>
      <xdr:row>1189</xdr:row>
      <xdr:rowOff>87630</xdr:rowOff>
    </xdr:from>
    <xdr:to>
      <xdr:col>13</xdr:col>
      <xdr:colOff>8890</xdr:colOff>
      <xdr:row>1204</xdr:row>
      <xdr:rowOff>87630</xdr:rowOff>
    </xdr:to>
    <xdr:graphicFrame macro="">
      <xdr:nvGraphicFramePr>
        <xdr:cNvPr id="8" name="Chart 7">
          <a:extLst>
            <a:ext uri="{FF2B5EF4-FFF2-40B4-BE49-F238E27FC236}">
              <a16:creationId xmlns:a16="http://schemas.microsoft.com/office/drawing/2014/main" id="{66706BE3-524A-3759-CC05-507105A4E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xdr:row>
      <xdr:rowOff>0</xdr:rowOff>
    </xdr:from>
    <xdr:to>
      <xdr:col>16</xdr:col>
      <xdr:colOff>304800</xdr:colOff>
      <xdr:row>18</xdr:row>
      <xdr:rowOff>0</xdr:rowOff>
    </xdr:to>
    <xdr:graphicFrame macro="">
      <xdr:nvGraphicFramePr>
        <xdr:cNvPr id="9" name="Chart 8">
          <a:extLst>
            <a:ext uri="{FF2B5EF4-FFF2-40B4-BE49-F238E27FC236}">
              <a16:creationId xmlns:a16="http://schemas.microsoft.com/office/drawing/2014/main" id="{3D433247-1AA1-48A5-839D-A8513B31D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ksh\Downloads\Infosys.xlsx" TargetMode="External"/><Relationship Id="rId1" Type="http://schemas.openxmlformats.org/officeDocument/2006/relationships/externalLinkPath" Target="file:///C:\Users\daksh\Downloads\Infosy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s>
    <sheetDataSet>
      <sheetData sheetId="0">
        <row r="12">
          <cell r="L12"/>
          <cell r="M12"/>
          <cell r="N12"/>
        </row>
      </sheetData>
      <sheetData sheetId="1">
        <row r="4">
          <cell r="H4"/>
          <cell r="I4"/>
          <cell r="J4"/>
          <cell r="K4"/>
        </row>
        <row r="5">
          <cell r="H5"/>
          <cell r="I5"/>
          <cell r="J5"/>
          <cell r="K5"/>
        </row>
        <row r="6">
          <cell r="H6"/>
          <cell r="I6"/>
          <cell r="J6"/>
          <cell r="K6"/>
        </row>
        <row r="7">
          <cell r="H7"/>
          <cell r="I7"/>
          <cell r="J7"/>
          <cell r="K7"/>
        </row>
        <row r="8">
          <cell r="H8"/>
          <cell r="I8"/>
          <cell r="J8"/>
          <cell r="K8"/>
        </row>
        <row r="9">
          <cell r="H9"/>
          <cell r="I9"/>
          <cell r="J9"/>
          <cell r="K9"/>
        </row>
        <row r="10">
          <cell r="H10"/>
          <cell r="I10"/>
          <cell r="J10"/>
          <cell r="K10"/>
        </row>
        <row r="11">
          <cell r="H11"/>
          <cell r="I11"/>
          <cell r="J11"/>
          <cell r="K11"/>
        </row>
        <row r="12">
          <cell r="H12"/>
          <cell r="I12"/>
          <cell r="J12"/>
          <cell r="K12"/>
        </row>
      </sheetData>
      <sheetData sheetId="2"/>
      <sheetData sheetId="3"/>
      <sheetData sheetId="4"/>
      <sheetData sheetId="5">
        <row r="1">
          <cell r="B1" t="str">
            <v>INFOSYS LTD</v>
          </cell>
        </row>
        <row r="6">
          <cell r="B6"/>
        </row>
        <row r="8">
          <cell r="B8">
            <v>1300.8</v>
          </cell>
        </row>
        <row r="16">
          <cell r="B16">
            <v>42460</v>
          </cell>
          <cell r="C16">
            <v>42825</v>
          </cell>
          <cell r="D16">
            <v>43190</v>
          </cell>
          <cell r="E16">
            <v>43555</v>
          </cell>
          <cell r="F16">
            <v>43921</v>
          </cell>
          <cell r="G16">
            <v>44286</v>
          </cell>
          <cell r="H16">
            <v>44651</v>
          </cell>
          <cell r="I16">
            <v>45016</v>
          </cell>
          <cell r="J16">
            <v>45382</v>
          </cell>
          <cell r="K16">
            <v>45747</v>
          </cell>
        </row>
        <row r="17">
          <cell r="B17">
            <v>62441</v>
          </cell>
          <cell r="C17">
            <v>68484</v>
          </cell>
          <cell r="D17">
            <v>70522</v>
          </cell>
          <cell r="E17">
            <v>82675</v>
          </cell>
          <cell r="F17">
            <v>90791</v>
          </cell>
          <cell r="G17">
            <v>100472</v>
          </cell>
          <cell r="H17">
            <v>121641</v>
          </cell>
          <cell r="I17">
            <v>146767</v>
          </cell>
          <cell r="J17">
            <v>153670</v>
          </cell>
          <cell r="K17">
            <v>162990</v>
          </cell>
        </row>
        <row r="20">
          <cell r="B20">
            <v>217</v>
          </cell>
          <cell r="C20">
            <v>228</v>
          </cell>
          <cell r="D20">
            <v>207</v>
          </cell>
          <cell r="E20">
            <v>221</v>
          </cell>
          <cell r="F20">
            <v>229</v>
          </cell>
          <cell r="G20">
            <v>143</v>
          </cell>
          <cell r="H20">
            <v>132</v>
          </cell>
          <cell r="I20">
            <v>176</v>
          </cell>
          <cell r="J20">
            <v>199</v>
          </cell>
          <cell r="K20">
            <v>222</v>
          </cell>
        </row>
        <row r="21">
          <cell r="B21">
            <v>5860</v>
          </cell>
          <cell r="C21">
            <v>6712</v>
          </cell>
          <cell r="D21">
            <v>7286</v>
          </cell>
          <cell r="E21">
            <v>9902</v>
          </cell>
          <cell r="F21">
            <v>11086</v>
          </cell>
          <cell r="G21">
            <v>12800</v>
          </cell>
          <cell r="H21">
            <v>20690</v>
          </cell>
          <cell r="I21">
            <v>26330</v>
          </cell>
          <cell r="J21">
            <v>27195</v>
          </cell>
          <cell r="K21">
            <v>30395</v>
          </cell>
        </row>
        <row r="22">
          <cell r="B22">
            <v>34415</v>
          </cell>
          <cell r="C22">
            <v>37669</v>
          </cell>
          <cell r="D22">
            <v>38902</v>
          </cell>
          <cell r="E22">
            <v>45323</v>
          </cell>
          <cell r="F22">
            <v>50895</v>
          </cell>
          <cell r="G22">
            <v>55547</v>
          </cell>
          <cell r="H22">
            <v>63997</v>
          </cell>
          <cell r="I22">
            <v>78374</v>
          </cell>
          <cell r="J22">
            <v>82636</v>
          </cell>
          <cell r="K22">
            <v>85968</v>
          </cell>
        </row>
        <row r="23">
          <cell r="B23">
            <v>4441</v>
          </cell>
          <cell r="C23">
            <v>4584</v>
          </cell>
          <cell r="D23">
            <v>4585</v>
          </cell>
          <cell r="E23">
            <v>5553</v>
          </cell>
          <cell r="F23">
            <v>5375</v>
          </cell>
          <cell r="G23">
            <v>3194</v>
          </cell>
          <cell r="H23">
            <v>4305</v>
          </cell>
          <cell r="I23">
            <v>5300</v>
          </cell>
          <cell r="J23">
            <v>5705</v>
          </cell>
          <cell r="K23">
            <v>6039</v>
          </cell>
        </row>
        <row r="24">
          <cell r="B24">
            <v>429</v>
          </cell>
          <cell r="C24">
            <v>687</v>
          </cell>
          <cell r="D24">
            <v>720</v>
          </cell>
          <cell r="E24">
            <v>1506</v>
          </cell>
          <cell r="F24">
            <v>939</v>
          </cell>
          <cell r="G24">
            <v>899</v>
          </cell>
          <cell r="H24">
            <v>1026</v>
          </cell>
          <cell r="I24">
            <v>1457</v>
          </cell>
          <cell r="J24">
            <v>1510</v>
          </cell>
          <cell r="K24">
            <v>1130</v>
          </cell>
        </row>
        <row r="25">
          <cell r="B25">
            <v>3120</v>
          </cell>
          <cell r="C25">
            <v>3050</v>
          </cell>
          <cell r="D25">
            <v>3311</v>
          </cell>
          <cell r="E25">
            <v>2882</v>
          </cell>
          <cell r="F25">
            <v>2803</v>
          </cell>
          <cell r="G25">
            <v>2201</v>
          </cell>
          <cell r="H25">
            <v>2295</v>
          </cell>
          <cell r="I25">
            <v>2701</v>
          </cell>
          <cell r="J25">
            <v>4711</v>
          </cell>
          <cell r="K25">
            <v>3600</v>
          </cell>
        </row>
        <row r="26">
          <cell r="B26">
            <v>1459</v>
          </cell>
          <cell r="C26">
            <v>1703</v>
          </cell>
          <cell r="D26">
            <v>1863</v>
          </cell>
          <cell r="E26">
            <v>2011</v>
          </cell>
          <cell r="F26">
            <v>2893</v>
          </cell>
          <cell r="G26">
            <v>3267</v>
          </cell>
          <cell r="H26">
            <v>3476</v>
          </cell>
          <cell r="I26">
            <v>4225</v>
          </cell>
          <cell r="J26">
            <v>4678</v>
          </cell>
          <cell r="K26">
            <v>4812</v>
          </cell>
        </row>
        <row r="27">
          <cell r="F27">
            <v>170</v>
          </cell>
          <cell r="G27">
            <v>195</v>
          </cell>
          <cell r="H27">
            <v>200</v>
          </cell>
          <cell r="I27">
            <v>284</v>
          </cell>
          <cell r="J27">
            <v>470</v>
          </cell>
          <cell r="K27">
            <v>416</v>
          </cell>
        </row>
        <row r="28">
          <cell r="B28">
            <v>18740</v>
          </cell>
          <cell r="C28">
            <v>19951</v>
          </cell>
          <cell r="D28">
            <v>20270</v>
          </cell>
          <cell r="E28">
            <v>21041</v>
          </cell>
          <cell r="F28">
            <v>22007</v>
          </cell>
          <cell r="G28">
            <v>26628</v>
          </cell>
          <cell r="H28">
            <v>30110</v>
          </cell>
          <cell r="I28">
            <v>33322</v>
          </cell>
          <cell r="J28">
            <v>35988</v>
          </cell>
          <cell r="K28">
            <v>37608</v>
          </cell>
        </row>
        <row r="29">
          <cell r="B29">
            <v>5251</v>
          </cell>
          <cell r="C29">
            <v>5598</v>
          </cell>
          <cell r="D29">
            <v>4241</v>
          </cell>
          <cell r="E29">
            <v>5631</v>
          </cell>
          <cell r="F29">
            <v>5368</v>
          </cell>
          <cell r="G29">
            <v>7205</v>
          </cell>
          <cell r="H29">
            <v>7964</v>
          </cell>
          <cell r="I29">
            <v>9214</v>
          </cell>
          <cell r="J29">
            <v>9740</v>
          </cell>
          <cell r="K29">
            <v>10858</v>
          </cell>
        </row>
        <row r="30">
          <cell r="B30">
            <v>13489</v>
          </cell>
          <cell r="C30">
            <v>14353</v>
          </cell>
          <cell r="D30">
            <v>16029</v>
          </cell>
          <cell r="E30">
            <v>15404</v>
          </cell>
          <cell r="F30">
            <v>16594</v>
          </cell>
          <cell r="G30">
            <v>19351</v>
          </cell>
          <cell r="H30">
            <v>22110</v>
          </cell>
          <cell r="I30">
            <v>24095</v>
          </cell>
          <cell r="J30">
            <v>26233</v>
          </cell>
          <cell r="K30">
            <v>26713</v>
          </cell>
        </row>
        <row r="31">
          <cell r="B31">
            <v>5548.4</v>
          </cell>
          <cell r="C31">
            <v>5891.6</v>
          </cell>
          <cell r="D31">
            <v>9465.6</v>
          </cell>
          <cell r="E31">
            <v>9222.5</v>
          </cell>
          <cell r="F31">
            <v>7427</v>
          </cell>
          <cell r="G31">
            <v>11469.6</v>
          </cell>
          <cell r="H31">
            <v>13007.6</v>
          </cell>
          <cell r="I31">
            <v>14069.2</v>
          </cell>
          <cell r="J31">
            <v>19053.2</v>
          </cell>
          <cell r="K31">
            <v>17827.8</v>
          </cell>
        </row>
        <row r="90">
          <cell r="B90">
            <v>609.15</v>
          </cell>
          <cell r="C90">
            <v>511.13</v>
          </cell>
          <cell r="D90">
            <v>565.9</v>
          </cell>
          <cell r="E90">
            <v>743.85</v>
          </cell>
          <cell r="F90">
            <v>641.5</v>
          </cell>
          <cell r="G90">
            <v>1368.05</v>
          </cell>
          <cell r="H90">
            <v>1906.85</v>
          </cell>
          <cell r="I90">
            <v>1427.95</v>
          </cell>
          <cell r="J90">
            <v>1498.05</v>
          </cell>
          <cell r="K90">
            <v>1570.65</v>
          </cell>
        </row>
        <row r="93">
          <cell r="B93">
            <v>459.39</v>
          </cell>
          <cell r="C93">
            <v>459.39</v>
          </cell>
          <cell r="D93">
            <v>436.82</v>
          </cell>
          <cell r="E93">
            <v>436.89</v>
          </cell>
          <cell r="F93">
            <v>425.9</v>
          </cell>
          <cell r="G93">
            <v>426.07</v>
          </cell>
          <cell r="H93">
            <v>420.67</v>
          </cell>
          <cell r="I93">
            <v>414.86</v>
          </cell>
          <cell r="J93">
            <v>415.09</v>
          </cell>
          <cell r="K93">
            <v>415.33</v>
          </cell>
        </row>
      </sheetData>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4596E9-5458-4ABA-8904-1EAD9E309ECD}" name="Annual" displayName="Annual" ref="A3:N19" headerRowCount="0" totalsRowShown="0" headerRowDxfId="18">
  <tableColumns count="14">
    <tableColumn id="1" xr3:uid="{65393B83-017B-426A-A6E0-463B155DE5BB}" name="Column1" headerRowDxfId="17" dataDxfId="16"/>
    <tableColumn id="2" xr3:uid="{D6AE7849-393E-437F-AB32-1BD0F510E8E6}" name="Column2" headerRowDxfId="15"/>
    <tableColumn id="3" xr3:uid="{8B78753A-2C94-4F8F-BA06-EA9BAA3176E5}" name="Column3" headerRowDxfId="14"/>
    <tableColumn id="4" xr3:uid="{CF535C57-1565-4BB6-B9AB-613BF8C59F3D}" name="Column4" headerRowDxfId="13"/>
    <tableColumn id="5" xr3:uid="{238B2034-59E4-4DE3-9A28-25D7AA081E14}" name="Column5" headerRowDxfId="12"/>
    <tableColumn id="6" xr3:uid="{9DE737F8-0725-438B-BEE2-EBAFA8CB3C57}" name="Column6" headerRowDxfId="11"/>
    <tableColumn id="7" xr3:uid="{F6DF1B42-BEBC-4631-A358-6E97E5494EC7}" name="Column7" headerRowDxfId="10"/>
    <tableColumn id="8" xr3:uid="{BFD4DF78-63B4-495A-8D45-F52DA38ABBBD}" name="Column8" headerRowDxfId="9"/>
    <tableColumn id="9" xr3:uid="{CAAE6AA8-E5F4-4392-86D8-0164FD4AACDD}" name="Column9" headerRowDxfId="8"/>
    <tableColumn id="10" xr3:uid="{01EC5314-963C-4E0F-95CD-5A0860ADD96E}" name="Column10" headerRowDxfId="7"/>
    <tableColumn id="11" xr3:uid="{150F5D3D-1CD5-4589-8265-00608FDBB843}" name="Column11" headerRowDxfId="6"/>
    <tableColumn id="12" xr3:uid="{31AE95D9-F4B0-4A45-AB67-29C750FACFEE}" name="Column12" headerRowDxfId="5"/>
    <tableColumn id="13" xr3:uid="{74C37107-8223-4C50-9E6B-F25F18EC7384}" name="Column13" headerRowDxfId="4" dataDxfId="3"/>
    <tableColumn id="14" xr3:uid="{32947916-514D-4814-9704-DA518D1DC476}" name="Column14" headerRowDxfId="2" dataDxfId="1"/>
  </tableColumns>
  <tableStyleInfo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0AA92B-E731-4D4C-B6A2-74BF6E9F1C7F}">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screener.in/excel/"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0.bin"/><Relationship Id="rId1" Type="http://schemas.openxmlformats.org/officeDocument/2006/relationships/hyperlink" Target="http://www.screener.in/"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9B02-F979-482A-870A-0A53CB673E30}">
  <dimension ref="B2:J41"/>
  <sheetViews>
    <sheetView showGridLines="0" zoomScale="96" zoomScaleNormal="96" workbookViewId="0">
      <selection activeCell="R8" sqref="R8"/>
    </sheetView>
  </sheetViews>
  <sheetFormatPr defaultRowHeight="14.4" x14ac:dyDescent="0.3"/>
  <cols>
    <col min="1" max="1" width="2.33203125" customWidth="1"/>
    <col min="2" max="2" width="17.109375" bestFit="1" customWidth="1"/>
  </cols>
  <sheetData>
    <row r="2" spans="2:10" ht="9" customHeight="1" x14ac:dyDescent="0.3">
      <c r="B2" s="121"/>
      <c r="C2" s="121"/>
      <c r="D2" s="121"/>
      <c r="E2" s="121"/>
      <c r="F2" s="121"/>
      <c r="G2" s="121"/>
      <c r="H2" s="121"/>
      <c r="I2" s="121"/>
      <c r="J2" s="121"/>
    </row>
    <row r="17" spans="2:10" ht="14.4" customHeight="1" x14ac:dyDescent="0.7">
      <c r="D17" s="220"/>
    </row>
    <row r="18" spans="2:10" ht="44.4" x14ac:dyDescent="0.7">
      <c r="B18" s="284" t="s">
        <v>369</v>
      </c>
      <c r="C18" s="284"/>
      <c r="D18" s="284"/>
      <c r="E18" s="284"/>
      <c r="F18" s="284"/>
      <c r="G18" s="284"/>
      <c r="H18" s="284"/>
      <c r="I18" s="284"/>
      <c r="J18" s="284"/>
    </row>
    <row r="19" spans="2:10" ht="44.4" x14ac:dyDescent="0.7">
      <c r="B19" s="284" t="s">
        <v>370</v>
      </c>
      <c r="C19" s="284"/>
      <c r="D19" s="284"/>
      <c r="E19" s="284"/>
      <c r="F19" s="284"/>
      <c r="G19" s="284"/>
      <c r="H19" s="284"/>
      <c r="I19" s="284"/>
      <c r="J19" s="284"/>
    </row>
    <row r="20" spans="2:10" ht="44.4" x14ac:dyDescent="0.7">
      <c r="B20" s="284">
        <v>2026</v>
      </c>
      <c r="C20" s="284"/>
      <c r="D20" s="284"/>
      <c r="E20" s="284"/>
      <c r="F20" s="284"/>
      <c r="G20" s="284"/>
      <c r="H20" s="284"/>
      <c r="I20" s="284"/>
      <c r="J20" s="284"/>
    </row>
    <row r="25" spans="2:10" ht="32.4" x14ac:dyDescent="0.55000000000000004">
      <c r="B25" s="285" t="s">
        <v>371</v>
      </c>
      <c r="C25" s="285"/>
      <c r="D25" s="285"/>
      <c r="E25" s="285"/>
      <c r="F25" s="285"/>
      <c r="G25" s="285"/>
      <c r="H25" s="285"/>
      <c r="I25" s="285"/>
      <c r="J25" s="285"/>
    </row>
    <row r="26" spans="2:10" ht="3.6" customHeight="1" x14ac:dyDescent="0.55000000000000004">
      <c r="B26" s="221"/>
      <c r="C26" s="221"/>
      <c r="D26" s="221"/>
      <c r="E26" s="221"/>
      <c r="F26" s="221"/>
      <c r="G26" s="221"/>
      <c r="H26" s="221"/>
      <c r="I26" s="221"/>
      <c r="J26" s="221"/>
    </row>
    <row r="27" spans="2:10" ht="18" x14ac:dyDescent="0.35">
      <c r="G27" s="224"/>
    </row>
    <row r="32" spans="2:10" ht="18" x14ac:dyDescent="0.35">
      <c r="B32" s="222"/>
      <c r="C32" s="223"/>
      <c r="D32" s="223"/>
      <c r="E32" s="223"/>
      <c r="F32" s="223"/>
      <c r="G32" s="223"/>
      <c r="H32" s="223"/>
      <c r="I32" s="223"/>
      <c r="J32" s="223"/>
    </row>
    <row r="33" spans="2:10" ht="18" x14ac:dyDescent="0.35">
      <c r="B33" s="223"/>
      <c r="C33" s="223"/>
      <c r="D33" s="223"/>
      <c r="E33" s="223"/>
      <c r="F33" s="223"/>
      <c r="G33" s="223"/>
      <c r="H33" s="223"/>
      <c r="I33" s="223"/>
      <c r="J33" s="223"/>
    </row>
    <row r="37" spans="2:10" x14ac:dyDescent="0.3">
      <c r="B37" s="283" t="s">
        <v>372</v>
      </c>
      <c r="C37" s="283"/>
      <c r="D37" s="283"/>
      <c r="E37" s="283"/>
      <c r="F37" s="283"/>
      <c r="G37" s="283"/>
      <c r="H37" s="283"/>
      <c r="I37" s="283"/>
      <c r="J37" s="283"/>
    </row>
    <row r="38" spans="2:10" x14ac:dyDescent="0.3">
      <c r="B38" s="283"/>
      <c r="C38" s="283"/>
      <c r="D38" s="283"/>
      <c r="E38" s="283"/>
      <c r="F38" s="283"/>
      <c r="G38" s="283"/>
      <c r="H38" s="283"/>
      <c r="I38" s="283"/>
      <c r="J38" s="283"/>
    </row>
    <row r="39" spans="2:10" x14ac:dyDescent="0.3">
      <c r="B39" s="283"/>
      <c r="C39" s="283"/>
      <c r="D39" s="283"/>
      <c r="E39" s="283"/>
      <c r="F39" s="283"/>
      <c r="G39" s="283"/>
      <c r="H39" s="283"/>
      <c r="I39" s="283"/>
      <c r="J39" s="283"/>
    </row>
    <row r="41" spans="2:10" ht="9" customHeight="1" x14ac:dyDescent="0.3">
      <c r="B41" s="121"/>
      <c r="C41" s="121"/>
      <c r="D41" s="121"/>
      <c r="E41" s="121"/>
      <c r="F41" s="121"/>
      <c r="G41" s="121"/>
      <c r="H41" s="121"/>
      <c r="I41" s="121"/>
      <c r="J41" s="121"/>
    </row>
  </sheetData>
  <mergeCells count="5">
    <mergeCell ref="B37:J39"/>
    <mergeCell ref="B18:J18"/>
    <mergeCell ref="B19:J19"/>
    <mergeCell ref="B20:J20"/>
    <mergeCell ref="B25:J25"/>
  </mergeCells>
  <pageMargins left="0.5" right="0.5" top="0.4" bottom="0.5" header="0.3" footer="0.3"/>
  <pageSetup scale="10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CBEEE-68FC-4B7C-8FE1-ABF913A23863}">
  <dimension ref="A2:I22"/>
  <sheetViews>
    <sheetView showGridLines="0" topLeftCell="A3" zoomScaleNormal="100" workbookViewId="0">
      <selection activeCell="I10" sqref="I10"/>
    </sheetView>
  </sheetViews>
  <sheetFormatPr defaultRowHeight="14.4" x14ac:dyDescent="0.3"/>
  <cols>
    <col min="1" max="1" width="2.33203125" customWidth="1"/>
    <col min="2" max="2" width="8.88671875" customWidth="1"/>
    <col min="3" max="3" width="48.44140625" customWidth="1"/>
    <col min="9" max="16" width="8.88671875" customWidth="1"/>
  </cols>
  <sheetData>
    <row r="2" spans="1:9" ht="3.6" customHeight="1" thickBot="1" x14ac:dyDescent="0.35"/>
    <row r="3" spans="1:9" ht="12.6" customHeight="1" x14ac:dyDescent="0.3">
      <c r="B3" s="286" t="s">
        <v>345</v>
      </c>
      <c r="C3" s="287"/>
      <c r="D3" s="287"/>
      <c r="E3" s="287"/>
      <c r="F3" s="288"/>
    </row>
    <row r="4" spans="1:9" ht="12.6" customHeight="1" thickBot="1" x14ac:dyDescent="0.35">
      <c r="B4" s="289"/>
      <c r="C4" s="290"/>
      <c r="D4" s="290"/>
      <c r="E4" s="290"/>
      <c r="F4" s="291"/>
    </row>
    <row r="5" spans="1:9" ht="3.6" customHeight="1" x14ac:dyDescent="0.3">
      <c r="A5" s="195"/>
      <c r="B5" s="195"/>
    </row>
    <row r="6" spans="1:9" ht="14.4" customHeight="1" x14ac:dyDescent="0.3">
      <c r="B6" s="217"/>
      <c r="C6" s="217"/>
      <c r="D6" s="217"/>
      <c r="E6" s="217"/>
      <c r="F6" s="217"/>
    </row>
    <row r="7" spans="1:9" ht="28.8" customHeight="1" x14ac:dyDescent="0.3">
      <c r="B7" s="280">
        <v>1</v>
      </c>
      <c r="C7" s="237" t="s">
        <v>392</v>
      </c>
      <c r="D7" s="238"/>
      <c r="E7" s="238"/>
      <c r="F7" s="238"/>
    </row>
    <row r="8" spans="1:9" ht="28.8" customHeight="1" x14ac:dyDescent="0.3">
      <c r="B8" s="280">
        <v>2</v>
      </c>
      <c r="C8" s="218" t="s">
        <v>346</v>
      </c>
      <c r="D8" s="219"/>
      <c r="E8" s="219"/>
      <c r="F8" s="219"/>
    </row>
    <row r="9" spans="1:9" ht="28.8" customHeight="1" x14ac:dyDescent="0.3">
      <c r="B9" s="280">
        <v>3</v>
      </c>
      <c r="C9" s="218" t="s">
        <v>347</v>
      </c>
      <c r="D9" s="219"/>
      <c r="E9" s="219"/>
      <c r="F9" s="219"/>
    </row>
    <row r="10" spans="1:9" ht="28.8" customHeight="1" x14ac:dyDescent="0.3">
      <c r="B10" s="280">
        <v>4</v>
      </c>
      <c r="C10" s="218" t="s">
        <v>348</v>
      </c>
      <c r="D10" s="219"/>
      <c r="E10" s="219"/>
      <c r="F10" s="219"/>
    </row>
    <row r="11" spans="1:9" ht="28.8" customHeight="1" x14ac:dyDescent="0.3">
      <c r="B11" s="280">
        <v>5</v>
      </c>
      <c r="C11" s="218" t="s">
        <v>349</v>
      </c>
      <c r="D11" s="219"/>
      <c r="E11" s="219"/>
      <c r="F11" s="219"/>
    </row>
    <row r="12" spans="1:9" ht="28.8" customHeight="1" x14ac:dyDescent="0.3">
      <c r="B12" s="280">
        <v>6</v>
      </c>
      <c r="C12" s="218" t="s">
        <v>350</v>
      </c>
      <c r="D12" s="219"/>
      <c r="E12" s="219"/>
      <c r="F12" s="219"/>
    </row>
    <row r="13" spans="1:9" ht="28.8" customHeight="1" x14ac:dyDescent="0.3">
      <c r="B13" s="280">
        <v>7</v>
      </c>
      <c r="C13" s="218" t="s">
        <v>351</v>
      </c>
      <c r="D13" s="219"/>
      <c r="E13" s="219"/>
      <c r="F13" s="219"/>
    </row>
    <row r="14" spans="1:9" ht="28.8" customHeight="1" x14ac:dyDescent="0.3">
      <c r="B14" s="280">
        <v>8</v>
      </c>
      <c r="C14" s="218" t="s">
        <v>246</v>
      </c>
      <c r="D14" s="219"/>
      <c r="E14" s="219"/>
      <c r="F14" s="219"/>
      <c r="I14" s="13"/>
    </row>
    <row r="15" spans="1:9" ht="28.8" customHeight="1" x14ac:dyDescent="0.3">
      <c r="B15" s="280">
        <v>9</v>
      </c>
      <c r="C15" s="218" t="s">
        <v>352</v>
      </c>
      <c r="D15" s="219"/>
      <c r="E15" s="219"/>
      <c r="F15" s="219"/>
    </row>
    <row r="16" spans="1:9" ht="28.8" customHeight="1" x14ac:dyDescent="0.3">
      <c r="B16" s="280">
        <v>10</v>
      </c>
      <c r="C16" s="218" t="s">
        <v>353</v>
      </c>
      <c r="D16" s="219"/>
      <c r="E16" s="219"/>
      <c r="F16" s="219"/>
    </row>
    <row r="17" spans="2:6" ht="28.8" customHeight="1" x14ac:dyDescent="0.3">
      <c r="B17" s="280">
        <v>11</v>
      </c>
      <c r="C17" s="218" t="s">
        <v>354</v>
      </c>
      <c r="D17" s="219"/>
      <c r="E17" s="219"/>
      <c r="F17" s="219"/>
    </row>
    <row r="18" spans="2:6" ht="28.8" customHeight="1" x14ac:dyDescent="0.3">
      <c r="B18" s="280">
        <v>12</v>
      </c>
      <c r="C18" s="218" t="s">
        <v>355</v>
      </c>
      <c r="D18" s="219"/>
      <c r="E18" s="219"/>
      <c r="F18" s="219"/>
    </row>
    <row r="19" spans="2:6" ht="28.8" customHeight="1" x14ac:dyDescent="0.3">
      <c r="B19" s="280">
        <v>13</v>
      </c>
      <c r="C19" s="218" t="s">
        <v>356</v>
      </c>
      <c r="D19" s="219"/>
      <c r="E19" s="219"/>
      <c r="F19" s="219"/>
    </row>
    <row r="20" spans="2:6" ht="28.8" customHeight="1" x14ac:dyDescent="0.3">
      <c r="B20" s="280">
        <v>14</v>
      </c>
      <c r="C20" s="218" t="s">
        <v>357</v>
      </c>
      <c r="D20" s="219"/>
      <c r="E20" s="219"/>
      <c r="F20" s="219"/>
    </row>
    <row r="21" spans="2:6" x14ac:dyDescent="0.3">
      <c r="B21" s="217"/>
      <c r="C21" s="217"/>
      <c r="D21" s="217"/>
      <c r="E21" s="217"/>
      <c r="F21" s="217"/>
    </row>
    <row r="22" spans="2:6" ht="9" customHeight="1" x14ac:dyDescent="0.3">
      <c r="B22" s="121"/>
      <c r="C22" s="121"/>
      <c r="D22" s="121"/>
      <c r="E22" s="121"/>
      <c r="F22" s="121"/>
    </row>
  </sheetData>
  <mergeCells count="1">
    <mergeCell ref="B3:F4"/>
  </mergeCells>
  <pageMargins left="0.5" right="0.3" top="0.5" bottom="0.1" header="0.3" footer="0.3"/>
  <pageSetup scale="1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29CC-974C-4E3E-A2B8-EA415E46FD89}">
  <dimension ref="B2:Y62"/>
  <sheetViews>
    <sheetView showGridLines="0" zoomScaleNormal="100" workbookViewId="0">
      <selection activeCell="Q46" sqref="Q46"/>
    </sheetView>
  </sheetViews>
  <sheetFormatPr defaultRowHeight="14.4" x14ac:dyDescent="0.3"/>
  <cols>
    <col min="1" max="1" width="2.33203125" customWidth="1"/>
    <col min="2" max="2" width="46.44140625" customWidth="1"/>
    <col min="4" max="8" width="15.44140625" customWidth="1"/>
    <col min="9" max="9" width="2.21875" customWidth="1"/>
    <col min="10" max="15" width="8.44140625" customWidth="1"/>
    <col min="16" max="25" width="8.88671875" style="13"/>
  </cols>
  <sheetData>
    <row r="2" spans="2:16" x14ac:dyDescent="0.3">
      <c r="B2" s="281" t="str">
        <f>'Data Sheet'!B1&amp; " - "&amp;"One Page Profile"</f>
        <v>INFOSYS LTD - One Page Profile</v>
      </c>
      <c r="C2" s="281"/>
      <c r="D2" s="281"/>
      <c r="E2" s="281"/>
      <c r="F2" s="281"/>
      <c r="G2" s="281"/>
      <c r="H2" s="281"/>
      <c r="I2" s="281"/>
      <c r="J2" s="281"/>
      <c r="K2" s="281"/>
      <c r="L2" s="281"/>
      <c r="M2" s="281"/>
      <c r="N2" s="281"/>
      <c r="O2" s="281"/>
      <c r="P2" s="241"/>
    </row>
    <row r="3" spans="2:16" ht="3.6" customHeight="1" x14ac:dyDescent="0.3"/>
    <row r="4" spans="2:16" ht="53.4" customHeight="1" x14ac:dyDescent="0.3">
      <c r="C4" s="293" t="s">
        <v>373</v>
      </c>
      <c r="D4" s="293"/>
      <c r="E4" s="293"/>
      <c r="F4" s="293"/>
      <c r="G4" s="293"/>
      <c r="H4" s="293"/>
      <c r="I4" s="293"/>
      <c r="J4" s="293"/>
      <c r="K4" s="293"/>
      <c r="L4" s="293"/>
      <c r="M4" s="293"/>
      <c r="N4" s="293"/>
      <c r="O4" s="293"/>
    </row>
    <row r="5" spans="2:16" ht="6" customHeight="1" thickBot="1" x14ac:dyDescent="0.35">
      <c r="B5" s="189"/>
      <c r="C5" s="189"/>
      <c r="D5" s="189"/>
      <c r="E5" s="189"/>
      <c r="F5" s="189"/>
      <c r="G5" s="189"/>
      <c r="H5" s="189"/>
      <c r="I5" s="189"/>
      <c r="J5" s="189"/>
      <c r="K5" s="189"/>
      <c r="L5" s="189"/>
      <c r="M5" s="189"/>
      <c r="N5" s="189"/>
      <c r="O5" s="189"/>
    </row>
    <row r="6" spans="2:16" ht="14.4" customHeight="1" x14ac:dyDescent="0.3">
      <c r="B6" s="68" t="s">
        <v>395</v>
      </c>
    </row>
    <row r="7" spans="2:16" x14ac:dyDescent="0.3">
      <c r="B7" s="56" t="s">
        <v>409</v>
      </c>
      <c r="C7" s="184"/>
      <c r="D7" s="230">
        <f>'Historical FS'!$H$11</f>
        <v>44286</v>
      </c>
      <c r="E7" s="230">
        <f>'Historical FS'!$I$11</f>
        <v>44651</v>
      </c>
      <c r="F7" s="230">
        <f>'Historical FS'!$J$11</f>
        <v>45016</v>
      </c>
      <c r="G7" s="230">
        <f>'Historical FS'!$K$11</f>
        <v>45382</v>
      </c>
      <c r="H7" s="230">
        <f>'Historical FS'!$L$11</f>
        <v>45747</v>
      </c>
      <c r="J7" s="281" t="s">
        <v>411</v>
      </c>
      <c r="K7" s="281"/>
      <c r="L7" s="281"/>
      <c r="M7" s="281"/>
      <c r="N7" s="281"/>
      <c r="O7" s="281"/>
    </row>
    <row r="8" spans="2:16" ht="3.6" customHeight="1" x14ac:dyDescent="0.3"/>
    <row r="9" spans="2:16" x14ac:dyDescent="0.3">
      <c r="B9" s="235" t="s">
        <v>397</v>
      </c>
      <c r="C9" s="235"/>
      <c r="D9" s="236">
        <f>'Historical FS'!$H$14</f>
        <v>100472</v>
      </c>
      <c r="E9" s="236">
        <f>'Historical FS'!$H$14</f>
        <v>100472</v>
      </c>
      <c r="F9" s="236">
        <f>'Historical FS'!$H$14</f>
        <v>100472</v>
      </c>
      <c r="G9" s="236">
        <f>'Historical FS'!$H$14</f>
        <v>100472</v>
      </c>
      <c r="H9" s="236">
        <f>'Historical FS'!$H$14</f>
        <v>100472</v>
      </c>
    </row>
    <row r="10" spans="2:16" x14ac:dyDescent="0.3">
      <c r="B10" s="231" t="s">
        <v>396</v>
      </c>
      <c r="C10" s="231"/>
      <c r="D10" s="232">
        <f>'Ratio Analysis'!H13</f>
        <v>0.10662951173574475</v>
      </c>
      <c r="E10" s="232">
        <f>'Ratio Analysis'!I13</f>
        <v>0.21069551715900947</v>
      </c>
      <c r="F10" s="232">
        <f>'Ratio Analysis'!J13</f>
        <v>0.20655864387829759</v>
      </c>
      <c r="G10" s="232">
        <f>'Ratio Analysis'!K13</f>
        <v>4.7033733741236095E-2</v>
      </c>
      <c r="H10" s="232">
        <f>'Ratio Analysis'!L13</f>
        <v>6.0649443612936782E-2</v>
      </c>
    </row>
    <row r="11" spans="2:16" x14ac:dyDescent="0.3">
      <c r="B11" s="200" t="s">
        <v>398</v>
      </c>
      <c r="C11" s="200"/>
      <c r="D11" s="233">
        <f>'Ratio Analysis'!H19</f>
        <v>0.31831754120550998</v>
      </c>
      <c r="E11" s="233">
        <f>'Ratio Analysis'!I19</f>
        <v>0.30271043480405457</v>
      </c>
      <c r="F11" s="233">
        <f>'Ratio Analysis'!J19</f>
        <v>0.28539794367943749</v>
      </c>
      <c r="G11" s="233">
        <f>'Ratio Analysis'!K19</f>
        <v>0.28398516301164833</v>
      </c>
      <c r="H11" s="233">
        <f>'Ratio Analysis'!L19</f>
        <v>0.2847107184489846</v>
      </c>
    </row>
    <row r="12" spans="2:16" x14ac:dyDescent="0.3">
      <c r="B12" s="200" t="s">
        <v>399</v>
      </c>
      <c r="C12" s="200"/>
      <c r="D12" s="233">
        <f>'Ratio Analysis'!H20</f>
        <v>0.27757982323433394</v>
      </c>
      <c r="E12" s="233">
        <f>'Ratio Analysis'!I20</f>
        <v>0.25888475102966929</v>
      </c>
      <c r="F12" s="233">
        <f>'Ratio Analysis'!J20</f>
        <v>0.23935898396778568</v>
      </c>
      <c r="G12" s="233">
        <f>'Ratio Analysis'!K20</f>
        <v>0.23703390381987374</v>
      </c>
      <c r="H12" s="233">
        <f>'Ratio Analysis'!L20</f>
        <v>0.24072642493404503</v>
      </c>
    </row>
    <row r="13" spans="2:16" x14ac:dyDescent="0.3">
      <c r="B13" s="200" t="s">
        <v>400</v>
      </c>
      <c r="C13" s="200"/>
      <c r="D13" s="233">
        <f>'Ratio Analysis'!H21</f>
        <v>0.24506330121824987</v>
      </c>
      <c r="E13" s="233">
        <f>'Ratio Analysis'!I21</f>
        <v>0.23030885967724699</v>
      </c>
      <c r="F13" s="233">
        <f>'Ratio Analysis'!J21</f>
        <v>0.21057185879659596</v>
      </c>
      <c r="G13" s="233">
        <f>'Ratio Analysis'!K21</f>
        <v>0.20659204789483959</v>
      </c>
      <c r="H13" s="233">
        <f>'Ratio Analysis'!L21</f>
        <v>0.21120314129701209</v>
      </c>
    </row>
    <row r="14" spans="2:16" x14ac:dyDescent="0.3">
      <c r="B14" s="200" t="s">
        <v>401</v>
      </c>
      <c r="C14" s="200"/>
      <c r="D14" s="233">
        <f>'Ratio Analysis'!H23</f>
        <v>0.19331754120550998</v>
      </c>
      <c r="E14" s="233">
        <f>'Ratio Analysis'!I23</f>
        <v>0.1820603250548746</v>
      </c>
      <c r="F14" s="233">
        <f>'Ratio Analysis'!J23</f>
        <v>0.16426035825492105</v>
      </c>
      <c r="G14" s="233">
        <f>'Ratio Analysis'!K23</f>
        <v>0.17080757467300059</v>
      </c>
      <c r="H14" s="233">
        <f>'Ratio Analysis'!L23</f>
        <v>0.16412049819007302</v>
      </c>
    </row>
    <row r="15" spans="2:16" x14ac:dyDescent="0.3">
      <c r="B15" s="200" t="s">
        <v>402</v>
      </c>
      <c r="C15" s="200"/>
      <c r="D15" s="234">
        <f>'Historical FS'!$H$52</f>
        <v>45.586405989626115</v>
      </c>
      <c r="E15" s="234">
        <f>'Historical FS'!$H$52</f>
        <v>45.586405989626115</v>
      </c>
      <c r="F15" s="234">
        <f>'Historical FS'!$H$52</f>
        <v>45.586405989626115</v>
      </c>
      <c r="G15" s="234">
        <f>'Historical FS'!$H$52</f>
        <v>45.586405989626115</v>
      </c>
      <c r="H15" s="234">
        <f>'Historical FS'!$H$52</f>
        <v>45.586405989626115</v>
      </c>
    </row>
    <row r="16" spans="2:16" x14ac:dyDescent="0.3">
      <c r="B16" s="231" t="s">
        <v>403</v>
      </c>
      <c r="C16" s="200"/>
      <c r="D16" s="232">
        <f>'Historical FS'!$H$53</f>
        <v>1.1668519929672314</v>
      </c>
      <c r="E16" s="232">
        <f>'Historical FS'!$H$53</f>
        <v>1.1668519929672314</v>
      </c>
      <c r="F16" s="232">
        <f>'Historical FS'!$H$53</f>
        <v>1.1668519929672314</v>
      </c>
      <c r="G16" s="232">
        <f>'Historical FS'!$H$53</f>
        <v>1.1668519929672314</v>
      </c>
      <c r="H16" s="232">
        <f>'Historical FS'!$H$53</f>
        <v>1.1668519929672314</v>
      </c>
    </row>
    <row r="17" spans="2:15" x14ac:dyDescent="0.3">
      <c r="B17" s="200" t="s">
        <v>404</v>
      </c>
      <c r="C17" s="200"/>
      <c r="D17" s="234">
        <f>'Historical FS'!$H$55</f>
        <v>26.919520266622857</v>
      </c>
      <c r="E17" s="234">
        <f>'Historical FS'!$H$55</f>
        <v>26.919520266622857</v>
      </c>
      <c r="F17" s="234">
        <f>'Historical FS'!$H$55</f>
        <v>26.919520266622857</v>
      </c>
      <c r="G17" s="234">
        <f>'Historical FS'!$H$55</f>
        <v>26.919520266622857</v>
      </c>
      <c r="H17" s="234">
        <f>'Historical FS'!$H$55</f>
        <v>26.919520266622857</v>
      </c>
    </row>
    <row r="18" spans="2:15" x14ac:dyDescent="0.3">
      <c r="B18" s="231" t="s">
        <v>405</v>
      </c>
      <c r="C18" s="200"/>
      <c r="D18" s="232">
        <f>'Ratio Analysis'!H17</f>
        <v>0.54369512340846549</v>
      </c>
      <c r="E18" s="232">
        <f>'Ratio Analysis'!I17</f>
        <v>0.14865158399694378</v>
      </c>
      <c r="F18" s="232">
        <f>'Ratio Analysis'!J17</f>
        <v>9.6761529392781709E-2</v>
      </c>
      <c r="G18" s="232">
        <f>'Ratio Analysis'!K17</f>
        <v>0.35349861290755547</v>
      </c>
      <c r="H18" s="232">
        <f>'Ratio Analysis'!L17</f>
        <v>-6.4855345095345629E-2</v>
      </c>
    </row>
    <row r="20" spans="2:15" x14ac:dyDescent="0.3">
      <c r="B20" s="56" t="s">
        <v>1145</v>
      </c>
      <c r="C20" s="184"/>
      <c r="D20" s="230">
        <f>'Historical FS'!$H$11</f>
        <v>44286</v>
      </c>
      <c r="E20" s="230">
        <f>'Historical FS'!$I$11</f>
        <v>44651</v>
      </c>
      <c r="F20" s="230">
        <f>'Historical FS'!$J$11</f>
        <v>45016</v>
      </c>
      <c r="G20" s="230">
        <f>'Historical FS'!$K$11</f>
        <v>45382</v>
      </c>
      <c r="H20" s="230">
        <f>'Historical FS'!$L$11</f>
        <v>45747</v>
      </c>
      <c r="J20" s="281" t="s">
        <v>1164</v>
      </c>
      <c r="K20" s="281"/>
      <c r="L20" s="281"/>
      <c r="M20" s="281"/>
      <c r="N20" s="281"/>
      <c r="O20" s="281"/>
    </row>
    <row r="21" spans="2:15" ht="3.6" customHeight="1" x14ac:dyDescent="0.3"/>
    <row r="22" spans="2:15" x14ac:dyDescent="0.3">
      <c r="B22" s="235" t="s">
        <v>1129</v>
      </c>
      <c r="C22" s="235"/>
      <c r="D22" s="249">
        <f>'P&amp;L'!G14</f>
        <v>30.121702418479664</v>
      </c>
      <c r="E22" s="249">
        <f>'P&amp;L'!H14</f>
        <v>36.280171393034827</v>
      </c>
      <c r="F22" s="249">
        <f>'P&amp;L'!I14</f>
        <v>24.585986179705333</v>
      </c>
      <c r="G22" s="249">
        <f>'P&amp;L'!J14</f>
        <v>23.703944440208897</v>
      </c>
      <c r="H22" s="249">
        <f>'P&amp;L'!K14</f>
        <v>24.420247239171935</v>
      </c>
    </row>
    <row r="23" spans="2:15" x14ac:dyDescent="0.3">
      <c r="B23" s="200" t="s">
        <v>1131</v>
      </c>
      <c r="C23" s="200"/>
      <c r="D23" s="250">
        <f>'Data Sheet'!G101</f>
        <v>20.204957635626947</v>
      </c>
      <c r="E23" s="250">
        <f>'Data Sheet'!H101</f>
        <v>25.091505176082055</v>
      </c>
      <c r="F23" s="250">
        <f>'Data Sheet'!I101</f>
        <v>16.752784998576718</v>
      </c>
      <c r="G23" s="250">
        <f>'Data Sheet'!J101</f>
        <v>16.894950569663692</v>
      </c>
      <c r="H23" s="250">
        <f>'Data Sheet'!K101</f>
        <v>16.21240861708635</v>
      </c>
    </row>
    <row r="24" spans="2:15" x14ac:dyDescent="0.3">
      <c r="B24" s="200" t="s">
        <v>1130</v>
      </c>
      <c r="C24" s="200"/>
      <c r="D24" s="250">
        <f>'Data Sheet'!G102</f>
        <v>5.6084885689545336</v>
      </c>
      <c r="E24" s="250">
        <f>'Data Sheet'!H102</f>
        <v>6.4958080704696606</v>
      </c>
      <c r="F24" s="250">
        <f>'Data Sheet'!I102</f>
        <v>4.0099295958900845</v>
      </c>
      <c r="G24" s="250">
        <f>'Data Sheet'!J102</f>
        <v>4.0046760883711849</v>
      </c>
      <c r="H24" s="250">
        <f>'Data Sheet'!K102</f>
        <v>3.9027551659611017</v>
      </c>
    </row>
    <row r="25" spans="2:15" x14ac:dyDescent="0.3">
      <c r="B25" s="200" t="s">
        <v>1132</v>
      </c>
      <c r="C25" s="200"/>
      <c r="D25" s="250">
        <f>'Data Sheet'!G105</f>
        <v>7.6342819805896447</v>
      </c>
      <c r="E25" s="250">
        <f>'Data Sheet'!H105</f>
        <v>10.645714525547445</v>
      </c>
      <c r="F25" s="250">
        <f>'Data Sheet'!I105</f>
        <v>7.8560257933613595</v>
      </c>
      <c r="G25" s="250">
        <f>'Data Sheet'!J105</f>
        <v>7.056897436333923</v>
      </c>
      <c r="H25" s="250">
        <f>'Data Sheet'!K105</f>
        <v>6.8080951856644889</v>
      </c>
    </row>
    <row r="26" spans="2:15" x14ac:dyDescent="0.3">
      <c r="B26" s="200" t="s">
        <v>1133</v>
      </c>
      <c r="C26" s="200"/>
      <c r="D26" s="233">
        <f>'Ratio Analysis'!H31</f>
        <v>0.2543909051616875</v>
      </c>
      <c r="E26" s="233">
        <f>'Ratio Analysis'!I31</f>
        <v>0.29390842733908429</v>
      </c>
      <c r="F26" s="233">
        <f>'Ratio Analysis'!J31</f>
        <v>0.31970506716883046</v>
      </c>
      <c r="G26" s="233">
        <f>'Ratio Analysis'!K31</f>
        <v>0.29788006718416632</v>
      </c>
      <c r="H26" s="233">
        <f>'Ratio Analysis'!L31</f>
        <v>0.27917510279905655</v>
      </c>
    </row>
    <row r="27" spans="2:15" x14ac:dyDescent="0.3">
      <c r="B27" s="200" t="s">
        <v>1134</v>
      </c>
      <c r="C27" s="200"/>
      <c r="D27" s="233">
        <f>'Ratio Analysis'!H29</f>
        <v>0.34145893530535287</v>
      </c>
      <c r="E27" s="233">
        <f>'Ratio Analysis'!I29</f>
        <v>0.38962436899930714</v>
      </c>
      <c r="F27" s="233">
        <f>'Ratio Analysis'!J29</f>
        <v>0.41968317683320194</v>
      </c>
      <c r="G27" s="233">
        <f>'Ratio Analysis'!K29</f>
        <v>0.37755895309665716</v>
      </c>
      <c r="H27" s="233">
        <f>'Ratio Analysis'!L29</f>
        <v>0.37710605987793744</v>
      </c>
    </row>
    <row r="29" spans="2:15" x14ac:dyDescent="0.3">
      <c r="B29" s="56" t="s">
        <v>1135</v>
      </c>
      <c r="C29" s="121"/>
      <c r="D29" s="121"/>
      <c r="E29" s="121"/>
      <c r="F29" s="57" t="s">
        <v>1136</v>
      </c>
      <c r="G29" s="57" t="s">
        <v>1137</v>
      </c>
      <c r="H29" s="57" t="s">
        <v>1138</v>
      </c>
      <c r="J29" s="292" t="s">
        <v>1180</v>
      </c>
      <c r="K29" s="292"/>
      <c r="L29" s="292"/>
      <c r="M29" s="292"/>
      <c r="N29" s="292"/>
      <c r="O29" s="292"/>
    </row>
    <row r="30" spans="2:15" ht="3.6" customHeight="1" x14ac:dyDescent="0.3"/>
    <row r="31" spans="2:15" x14ac:dyDescent="0.3">
      <c r="B31" s="254" t="str">
        <f>'Raw CF'!D31</f>
        <v>LIFE INSURANCE CORPORATION OF INDIA - ULIF00220091</v>
      </c>
      <c r="C31" s="235"/>
      <c r="D31" s="235"/>
      <c r="E31" s="235"/>
      <c r="F31" s="255">
        <f>'Raw CF'!E31</f>
        <v>41.9308616</v>
      </c>
      <c r="G31" s="256">
        <f>'Raw CF'!F31</f>
        <v>0.1128</v>
      </c>
      <c r="H31" s="255">
        <f>'Raw CF'!G31</f>
        <v>54405.292926000002</v>
      </c>
    </row>
    <row r="32" spans="2:15" x14ac:dyDescent="0.3">
      <c r="B32" s="257" t="str">
        <f>'Raw CF'!D32</f>
        <v>SBI MUTUAL FUND</v>
      </c>
      <c r="C32" s="200"/>
      <c r="D32" s="200"/>
      <c r="E32" s="200"/>
      <c r="F32" s="258">
        <f>'Raw CF'!E32</f>
        <v>17.3292717</v>
      </c>
      <c r="G32" s="259">
        <f>'Raw CF'!F32</f>
        <v>4.6600000000000003E-2</v>
      </c>
      <c r="H32" s="258">
        <f>'Raw CF'!G32</f>
        <v>22484.730030750001</v>
      </c>
    </row>
    <row r="33" spans="2:15" x14ac:dyDescent="0.3">
      <c r="B33" s="257" t="str">
        <f>'Raw CF'!D33</f>
        <v>ICICI PRUDENTIAL MUTUAL FUND</v>
      </c>
      <c r="C33" s="200"/>
      <c r="D33" s="200"/>
      <c r="E33" s="200"/>
      <c r="F33" s="258">
        <f>'Raw CF'!E33</f>
        <v>15.288944300000001</v>
      </c>
      <c r="G33" s="259">
        <f>'Raw CF'!F33</f>
        <v>4.1100000000000005E-2</v>
      </c>
      <c r="H33" s="258">
        <f>'Raw CF'!G33</f>
        <v>19837.405229250002</v>
      </c>
    </row>
    <row r="34" spans="2:15" x14ac:dyDescent="0.3">
      <c r="B34" s="257" t="str">
        <f>'Raw CF'!D34</f>
        <v>National Pension System Trust</v>
      </c>
      <c r="C34" s="200"/>
      <c r="D34" s="200"/>
      <c r="E34" s="200"/>
      <c r="F34" s="258">
        <f>'Raw CF'!E34</f>
        <v>10.006454700000001</v>
      </c>
      <c r="G34" s="259">
        <f>'Raw CF'!F34</f>
        <v>2.69E-2</v>
      </c>
      <c r="H34" s="258">
        <f>'Raw CF'!G34</f>
        <v>12983.374973250002</v>
      </c>
    </row>
    <row r="35" spans="2:15" x14ac:dyDescent="0.3">
      <c r="B35" s="257" t="str">
        <f>'Raw CF'!D35</f>
        <v>SUDHA GOPALAKRISHNAN</v>
      </c>
      <c r="C35" s="200"/>
      <c r="D35" s="200"/>
      <c r="E35" s="200"/>
      <c r="F35" s="258">
        <f>'Raw CF'!E35</f>
        <v>9.5357000000000003</v>
      </c>
      <c r="G35" s="259">
        <f>'Raw CF'!F35</f>
        <v>2.5699999999999997E-2</v>
      </c>
      <c r="H35" s="258">
        <f>'Raw CF'!G35</f>
        <v>12372.570750000001</v>
      </c>
    </row>
    <row r="36" spans="2:15" x14ac:dyDescent="0.3">
      <c r="B36" s="257" t="str">
        <f>'Raw CF'!D36</f>
        <v>HDFC MUTUAL FUND</v>
      </c>
      <c r="C36" s="200"/>
      <c r="D36" s="200"/>
      <c r="E36" s="200"/>
      <c r="F36" s="258">
        <f>'Raw CF'!E36</f>
        <v>6.8989086999999998</v>
      </c>
      <c r="G36" s="259">
        <f>'Raw CF'!F36</f>
        <v>1.8600000000000002E-2</v>
      </c>
      <c r="H36" s="258">
        <f>'Raw CF'!G36</f>
        <v>8951.3340382499991</v>
      </c>
    </row>
    <row r="37" spans="2:15" x14ac:dyDescent="0.3">
      <c r="B37" s="257" t="str">
        <f>'Raw CF'!D37</f>
        <v>UTI MUTUAL FUND</v>
      </c>
      <c r="C37" s="200"/>
      <c r="D37" s="200"/>
      <c r="E37" s="200"/>
      <c r="F37" s="258">
        <f>'Raw CF'!E37</f>
        <v>6.7112908999999998</v>
      </c>
      <c r="G37" s="259">
        <f>'Raw CF'!F37</f>
        <v>1.8100000000000002E-2</v>
      </c>
      <c r="H37" s="258">
        <f>'Raw CF'!G37</f>
        <v>8707.8999427500003</v>
      </c>
    </row>
    <row r="38" spans="2:15" x14ac:dyDescent="0.3">
      <c r="B38" s="257" t="str">
        <f>'Raw CF'!D38</f>
        <v>NIPPON LIFE INDIA TRUSTEE</v>
      </c>
      <c r="C38" s="200"/>
      <c r="D38" s="200"/>
      <c r="E38" s="200"/>
      <c r="F38" s="258">
        <f>'Raw CF'!E38</f>
        <v>6.5708729000000003</v>
      </c>
      <c r="G38" s="259">
        <f>'Raw CF'!F38</f>
        <v>1.77E-2</v>
      </c>
      <c r="H38" s="258">
        <f>'Raw CF'!G38</f>
        <v>8525.707587750001</v>
      </c>
    </row>
    <row r="39" spans="2:15" x14ac:dyDescent="0.3">
      <c r="B39" s="257" t="str">
        <f>'Raw CF'!D39</f>
        <v>ROHAN MURTY</v>
      </c>
      <c r="C39" s="200"/>
      <c r="D39" s="200"/>
      <c r="E39" s="200"/>
      <c r="F39" s="258">
        <f>'Raw CF'!E39</f>
        <v>6.0812891999999996</v>
      </c>
      <c r="G39" s="259">
        <f>'Raw CF'!F39</f>
        <v>1.6399999999999998E-2</v>
      </c>
      <c r="H39" s="258">
        <f>'Raw CF'!G39</f>
        <v>7890.4727369999991</v>
      </c>
    </row>
    <row r="40" spans="2:15" x14ac:dyDescent="0.3">
      <c r="B40" s="257" t="str">
        <f>'Raw CF'!D40</f>
        <v>VANGUARD TOTAL INTERNATIONAL STOCK INDEX FUND</v>
      </c>
      <c r="C40" s="200"/>
      <c r="D40" s="200"/>
      <c r="E40" s="200"/>
      <c r="F40" s="258">
        <f>'Raw CF'!E40</f>
        <v>5.1392389999999999</v>
      </c>
      <c r="G40" s="259">
        <f>'Raw CF'!F40</f>
        <v>1.38E-2</v>
      </c>
      <c r="H40" s="258">
        <f>'Raw CF'!G40</f>
        <v>6668.1626024999996</v>
      </c>
    </row>
    <row r="42" spans="2:15" x14ac:dyDescent="0.3">
      <c r="B42" s="56" t="s">
        <v>1185</v>
      </c>
      <c r="C42" s="121"/>
      <c r="D42" s="121"/>
      <c r="E42" s="121"/>
      <c r="F42" s="57" t="s">
        <v>1199</v>
      </c>
      <c r="G42" s="57" t="s">
        <v>1192</v>
      </c>
      <c r="H42" s="57" t="s">
        <v>1198</v>
      </c>
      <c r="J42" s="292" t="s">
        <v>176</v>
      </c>
      <c r="K42" s="292"/>
      <c r="L42" s="292"/>
      <c r="M42" s="292"/>
      <c r="N42" s="292"/>
      <c r="O42" s="292"/>
    </row>
    <row r="43" spans="2:15" ht="3.6" customHeight="1" x14ac:dyDescent="0.3"/>
    <row r="44" spans="2:15" x14ac:dyDescent="0.3">
      <c r="B44" s="235" t="s">
        <v>1186</v>
      </c>
      <c r="C44" s="235"/>
      <c r="D44" s="235"/>
      <c r="E44" s="235"/>
      <c r="F44" s="261" t="s">
        <v>1187</v>
      </c>
      <c r="G44" s="235">
        <v>2018</v>
      </c>
      <c r="H44" s="262">
        <v>80.62</v>
      </c>
      <c r="J44" s="294" t="s">
        <v>1195</v>
      </c>
      <c r="K44" s="294"/>
      <c r="L44" s="294"/>
      <c r="O44" s="66">
        <v>1300.8</v>
      </c>
    </row>
    <row r="45" spans="2:15" ht="15" thickBot="1" x14ac:dyDescent="0.35">
      <c r="B45" s="263" t="s">
        <v>1188</v>
      </c>
      <c r="C45" s="200"/>
      <c r="D45" s="200"/>
      <c r="E45" s="298" t="s">
        <v>1204</v>
      </c>
      <c r="F45" s="298"/>
      <c r="G45" s="200">
        <v>2003</v>
      </c>
      <c r="H45" s="264">
        <v>21.64</v>
      </c>
      <c r="J45" s="295" t="s">
        <v>1196</v>
      </c>
      <c r="K45" s="295"/>
      <c r="L45" s="267"/>
      <c r="M45" s="267"/>
      <c r="N45" s="267"/>
      <c r="O45" s="268">
        <f>'Data Sheet'!B6</f>
        <v>405.53910883521854</v>
      </c>
    </row>
    <row r="46" spans="2:15" x14ac:dyDescent="0.3">
      <c r="B46" s="200" t="s">
        <v>1189</v>
      </c>
      <c r="C46" s="200"/>
      <c r="D46" s="200"/>
      <c r="E46" s="200"/>
      <c r="F46" s="196" t="s">
        <v>1193</v>
      </c>
      <c r="G46" s="200">
        <v>2017</v>
      </c>
      <c r="H46" s="265">
        <v>20.09</v>
      </c>
      <c r="J46" s="296" t="s">
        <v>1197</v>
      </c>
      <c r="K46" s="296"/>
      <c r="L46" s="296"/>
      <c r="M46" s="39"/>
      <c r="N46" s="39"/>
      <c r="O46" s="214">
        <f>O44*O45</f>
        <v>527525.27277285221</v>
      </c>
    </row>
    <row r="47" spans="2:15" x14ac:dyDescent="0.3">
      <c r="B47" s="200" t="s">
        <v>1190</v>
      </c>
      <c r="C47" s="200"/>
      <c r="D47" s="200"/>
      <c r="E47" s="200"/>
      <c r="F47" s="196" t="s">
        <v>1194</v>
      </c>
      <c r="G47" s="200">
        <v>2020</v>
      </c>
      <c r="H47" s="265">
        <v>16.079999999999998</v>
      </c>
      <c r="J47" s="297" t="s">
        <v>1200</v>
      </c>
      <c r="K47" s="297"/>
      <c r="L47" s="297"/>
      <c r="M47" s="200"/>
      <c r="N47" s="200"/>
      <c r="O47" s="266">
        <f>-'Data Sheet'!K69</f>
        <v>-24455</v>
      </c>
    </row>
    <row r="48" spans="2:15" x14ac:dyDescent="0.3">
      <c r="B48" s="200" t="s">
        <v>1191</v>
      </c>
      <c r="C48" s="200"/>
      <c r="D48" s="200"/>
      <c r="E48" s="299" t="s">
        <v>1205</v>
      </c>
      <c r="F48" s="299"/>
      <c r="G48" s="200">
        <v>2011</v>
      </c>
      <c r="H48" s="265">
        <v>14.88</v>
      </c>
      <c r="J48" s="297" t="s">
        <v>1201</v>
      </c>
      <c r="K48" s="297"/>
      <c r="L48" s="297"/>
      <c r="M48" s="200"/>
      <c r="N48" s="200"/>
      <c r="O48" s="265">
        <f>'Data Sheet'!K59</f>
        <v>8227</v>
      </c>
    </row>
    <row r="49" spans="2:16" ht="15" thickBot="1" x14ac:dyDescent="0.35">
      <c r="J49" s="301" t="s">
        <v>1202</v>
      </c>
      <c r="K49" s="301"/>
      <c r="L49" s="301"/>
      <c r="M49" s="267"/>
      <c r="N49" s="267"/>
      <c r="O49" s="268">
        <v>385</v>
      </c>
    </row>
    <row r="50" spans="2:16" ht="15" thickBot="1" x14ac:dyDescent="0.35">
      <c r="J50" s="302" t="s">
        <v>268</v>
      </c>
      <c r="K50" s="302"/>
      <c r="L50" s="302"/>
      <c r="M50" s="101"/>
      <c r="N50" s="101"/>
      <c r="O50" s="260">
        <f>SUM(O46:O49)</f>
        <v>511682.27277285221</v>
      </c>
    </row>
    <row r="51" spans="2:16" ht="15" thickTop="1" x14ac:dyDescent="0.3">
      <c r="O51" s="66"/>
    </row>
    <row r="52" spans="2:16" x14ac:dyDescent="0.3">
      <c r="B52" s="292" t="s">
        <v>1203</v>
      </c>
      <c r="C52" s="292"/>
      <c r="D52" s="292"/>
      <c r="E52" s="292"/>
      <c r="F52" s="292"/>
      <c r="G52" s="292"/>
      <c r="H52" s="292"/>
      <c r="I52" s="292"/>
      <c r="J52" s="292"/>
      <c r="K52" s="292"/>
      <c r="L52" s="292"/>
      <c r="M52" s="292"/>
      <c r="N52" s="292"/>
      <c r="O52" s="292"/>
    </row>
    <row r="53" spans="2:16" ht="3.6" customHeight="1" x14ac:dyDescent="0.3">
      <c r="O53" s="66"/>
    </row>
    <row r="54" spans="2:16" x14ac:dyDescent="0.3">
      <c r="B54" s="294" t="s">
        <v>1206</v>
      </c>
      <c r="C54" s="294"/>
      <c r="D54" s="294"/>
      <c r="E54" s="294"/>
      <c r="F54" s="294"/>
      <c r="G54" s="294"/>
      <c r="H54" s="294"/>
      <c r="I54" s="294"/>
      <c r="J54" s="294"/>
      <c r="K54" s="294"/>
      <c r="L54" s="294"/>
      <c r="M54" s="294"/>
      <c r="N54" s="294"/>
      <c r="O54" s="294"/>
    </row>
    <row r="55" spans="2:16" x14ac:dyDescent="0.3">
      <c r="B55" s="300" t="s">
        <v>1207</v>
      </c>
      <c r="C55" s="300"/>
      <c r="D55" s="300"/>
      <c r="E55" s="300"/>
      <c r="F55" s="300"/>
      <c r="G55" s="300"/>
      <c r="H55" s="300"/>
      <c r="I55" s="300"/>
      <c r="J55" s="300"/>
      <c r="K55" s="300"/>
      <c r="L55" s="300"/>
      <c r="M55" s="300"/>
      <c r="N55" s="300"/>
      <c r="O55" s="300"/>
    </row>
    <row r="56" spans="2:16" x14ac:dyDescent="0.3">
      <c r="B56" s="294" t="s">
        <v>1208</v>
      </c>
      <c r="C56" s="294"/>
      <c r="D56" s="294"/>
      <c r="E56" s="294"/>
      <c r="F56" s="294"/>
      <c r="G56" s="294"/>
      <c r="H56" s="294"/>
      <c r="I56" s="294"/>
      <c r="J56" s="294"/>
      <c r="K56" s="294"/>
      <c r="L56" s="294"/>
      <c r="M56" s="294"/>
      <c r="N56" s="294"/>
      <c r="O56" s="294"/>
    </row>
    <row r="57" spans="2:16" x14ac:dyDescent="0.3">
      <c r="B57" s="294" t="s">
        <v>1209</v>
      </c>
      <c r="C57" s="294"/>
      <c r="D57" s="294"/>
      <c r="E57" s="294"/>
      <c r="F57" s="294"/>
      <c r="G57" s="294"/>
      <c r="H57" s="294"/>
      <c r="I57" s="294"/>
      <c r="J57" s="294"/>
      <c r="K57" s="294"/>
      <c r="L57" s="294"/>
      <c r="M57" s="294"/>
      <c r="N57" s="294"/>
      <c r="O57" s="294"/>
    </row>
    <row r="59" spans="2:16" ht="9" customHeight="1" x14ac:dyDescent="0.3">
      <c r="B59" s="292"/>
      <c r="C59" s="292"/>
      <c r="D59" s="292"/>
      <c r="E59" s="292"/>
      <c r="F59" s="292"/>
      <c r="G59" s="292"/>
      <c r="H59" s="292"/>
      <c r="I59" s="292"/>
      <c r="J59" s="292"/>
      <c r="K59" s="292"/>
      <c r="L59" s="292"/>
      <c r="M59" s="292"/>
      <c r="N59" s="292"/>
      <c r="O59" s="292"/>
    </row>
    <row r="60" spans="2:16" x14ac:dyDescent="0.3">
      <c r="B60" s="282" t="s">
        <v>1210</v>
      </c>
      <c r="C60" s="282"/>
      <c r="D60" s="282"/>
      <c r="E60" s="282"/>
      <c r="F60" s="282"/>
      <c r="G60" s="282"/>
      <c r="H60" s="282"/>
      <c r="I60" s="282"/>
      <c r="J60" s="282"/>
      <c r="K60" s="282"/>
      <c r="L60" s="282"/>
      <c r="M60" s="282"/>
      <c r="N60" s="282"/>
      <c r="O60" s="282"/>
      <c r="P60" s="77"/>
    </row>
    <row r="61" spans="2:16" x14ac:dyDescent="0.3">
      <c r="B61" s="77"/>
      <c r="C61" s="77"/>
      <c r="D61" s="77"/>
      <c r="E61" s="77"/>
      <c r="F61" s="77"/>
      <c r="G61" s="77"/>
      <c r="H61" s="77"/>
      <c r="I61" s="77"/>
      <c r="J61" s="77"/>
      <c r="K61" s="77"/>
      <c r="L61" s="77"/>
      <c r="M61" s="77"/>
      <c r="N61" s="77"/>
      <c r="O61" s="77"/>
    </row>
    <row r="62" spans="2:16" x14ac:dyDescent="0.3">
      <c r="B62" s="77"/>
      <c r="C62" s="77"/>
      <c r="D62" s="77"/>
      <c r="E62" s="77"/>
      <c r="F62" s="77"/>
      <c r="G62" s="77"/>
      <c r="H62" s="77"/>
      <c r="I62" s="77"/>
      <c r="J62" s="77"/>
      <c r="K62" s="77"/>
      <c r="L62" s="77"/>
      <c r="M62" s="77"/>
      <c r="N62" s="77"/>
      <c r="O62" s="77"/>
    </row>
  </sheetData>
  <mergeCells count="22">
    <mergeCell ref="E45:F45"/>
    <mergeCell ref="E48:F48"/>
    <mergeCell ref="B60:O60"/>
    <mergeCell ref="B54:O54"/>
    <mergeCell ref="B55:O55"/>
    <mergeCell ref="B56:O56"/>
    <mergeCell ref="B57:O57"/>
    <mergeCell ref="J48:L48"/>
    <mergeCell ref="J49:L49"/>
    <mergeCell ref="J50:L50"/>
    <mergeCell ref="B52:O52"/>
    <mergeCell ref="B59:O59"/>
    <mergeCell ref="J42:O42"/>
    <mergeCell ref="J44:L44"/>
    <mergeCell ref="J45:K45"/>
    <mergeCell ref="J46:L46"/>
    <mergeCell ref="J47:L47"/>
    <mergeCell ref="J29:O29"/>
    <mergeCell ref="C4:O4"/>
    <mergeCell ref="B2:O2"/>
    <mergeCell ref="J7:O7"/>
    <mergeCell ref="J20:O20"/>
  </mergeCells>
  <pageMargins left="0.5" right="0.3" top="0.4" bottom="0.1" header="0.3" footer="0.3"/>
  <pageSetup scale="6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2E6CC-E12C-40FD-B329-AC5A8CB76183}">
  <sheetPr>
    <tabColor rgb="FF0070C0"/>
  </sheetPr>
  <dimension ref="A1"/>
  <sheetViews>
    <sheetView showGridLines="0" workbookViewId="0">
      <selection activeCell="G31" sqref="G31"/>
    </sheetView>
  </sheetViews>
  <sheetFormatPr defaultRowHeight="14.4" x14ac:dyDescent="0.3"/>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A11E-23D2-4A17-9608-D077CDE97101}">
  <dimension ref="A2:O133"/>
  <sheetViews>
    <sheetView showGridLines="0" topLeftCell="B1" zoomScaleNormal="100" workbookViewId="0">
      <selection activeCell="R44" sqref="R44"/>
    </sheetView>
  </sheetViews>
  <sheetFormatPr defaultRowHeight="14.4" outlineLevelRow="1" x14ac:dyDescent="0.3"/>
  <cols>
    <col min="1" max="1" width="2.33203125" customWidth="1"/>
    <col min="2" max="2" width="28" style="8" customWidth="1"/>
    <col min="3" max="12" width="12.44140625" style="24" customWidth="1"/>
    <col min="13" max="13" width="12.44140625" customWidth="1"/>
    <col min="14" max="14" width="9.88671875" bestFit="1" customWidth="1"/>
  </cols>
  <sheetData>
    <row r="2" spans="1:15" ht="9" customHeight="1" x14ac:dyDescent="0.3">
      <c r="B2" s="121"/>
      <c r="C2" s="121"/>
      <c r="D2" s="121"/>
      <c r="E2" s="121"/>
      <c r="F2" s="121"/>
      <c r="G2" s="121"/>
      <c r="H2" s="121"/>
      <c r="I2" s="121"/>
      <c r="J2" s="121"/>
      <c r="K2" s="121"/>
      <c r="L2" s="121"/>
      <c r="M2" s="184"/>
    </row>
    <row r="3" spans="1:15" ht="3.6" customHeight="1" x14ac:dyDescent="0.3">
      <c r="B3"/>
      <c r="C3"/>
      <c r="D3"/>
      <c r="E3"/>
      <c r="F3"/>
      <c r="G3"/>
      <c r="H3"/>
      <c r="I3"/>
      <c r="J3"/>
      <c r="K3"/>
      <c r="L3"/>
      <c r="M3" s="2"/>
    </row>
    <row r="4" spans="1:15" ht="23.4" x14ac:dyDescent="0.45">
      <c r="B4" s="181" t="str">
        <f>'Data Sheet'!$B$1</f>
        <v>INFOSYS LTD</v>
      </c>
      <c r="C4"/>
      <c r="D4"/>
      <c r="E4"/>
      <c r="F4"/>
      <c r="G4"/>
      <c r="H4"/>
      <c r="I4"/>
      <c r="J4"/>
      <c r="K4"/>
      <c r="L4"/>
      <c r="M4" s="2"/>
    </row>
    <row r="5" spans="1:15" x14ac:dyDescent="0.3">
      <c r="B5" t="s">
        <v>393</v>
      </c>
      <c r="C5"/>
      <c r="D5"/>
      <c r="E5"/>
      <c r="F5"/>
      <c r="G5"/>
      <c r="H5"/>
      <c r="I5"/>
      <c r="J5"/>
      <c r="K5"/>
      <c r="L5"/>
      <c r="M5" s="2"/>
    </row>
    <row r="6" spans="1:15" ht="15.6" x14ac:dyDescent="0.3">
      <c r="B6" s="228">
        <v>1250</v>
      </c>
      <c r="C6"/>
      <c r="D6"/>
      <c r="E6"/>
      <c r="F6"/>
      <c r="G6"/>
      <c r="H6"/>
      <c r="I6"/>
      <c r="J6"/>
      <c r="K6"/>
      <c r="L6"/>
      <c r="M6" s="2"/>
    </row>
    <row r="7" spans="1:15" x14ac:dyDescent="0.3">
      <c r="B7" t="s">
        <v>394</v>
      </c>
      <c r="C7"/>
      <c r="D7"/>
      <c r="E7"/>
      <c r="F7"/>
      <c r="G7"/>
      <c r="H7"/>
      <c r="I7"/>
      <c r="J7"/>
      <c r="K7"/>
      <c r="L7"/>
      <c r="M7" s="2"/>
    </row>
    <row r="8" spans="1:15" ht="3.6" customHeight="1" thickBot="1" x14ac:dyDescent="0.35">
      <c r="B8" s="189"/>
      <c r="C8" s="189"/>
      <c r="D8" s="189"/>
      <c r="E8" s="189"/>
      <c r="F8" s="189"/>
      <c r="G8" s="189"/>
      <c r="H8" s="189"/>
      <c r="I8" s="189"/>
      <c r="J8" s="189"/>
      <c r="K8" s="189"/>
      <c r="L8" s="189"/>
      <c r="M8" s="190"/>
    </row>
    <row r="10" spans="1:15" x14ac:dyDescent="0.3">
      <c r="B10" s="281" t="str">
        <f>"Historical Financial Statements"</f>
        <v>Historical Financial Statements</v>
      </c>
      <c r="C10" s="281"/>
      <c r="D10" s="281"/>
      <c r="E10" s="281"/>
      <c r="F10" s="281"/>
      <c r="G10" s="281"/>
      <c r="H10" s="281"/>
      <c r="I10" s="281"/>
      <c r="J10" s="281"/>
      <c r="K10" s="281"/>
      <c r="L10" s="281"/>
      <c r="M10" s="281"/>
    </row>
    <row r="11" spans="1:15" x14ac:dyDescent="0.3">
      <c r="B11" s="10" t="s">
        <v>55</v>
      </c>
      <c r="C11" s="11">
        <f>'Data Sheet'!B16</f>
        <v>42460</v>
      </c>
      <c r="D11" s="11">
        <f>'Data Sheet'!C16</f>
        <v>42825</v>
      </c>
      <c r="E11" s="11">
        <f>'Data Sheet'!D16</f>
        <v>43190</v>
      </c>
      <c r="F11" s="11">
        <f>'Data Sheet'!E16</f>
        <v>43555</v>
      </c>
      <c r="G11" s="11">
        <f>'Data Sheet'!F16</f>
        <v>43921</v>
      </c>
      <c r="H11" s="11">
        <f>'Data Sheet'!G16</f>
        <v>44286</v>
      </c>
      <c r="I11" s="11">
        <f>'Data Sheet'!H16</f>
        <v>44651</v>
      </c>
      <c r="J11" s="11">
        <f>'Data Sheet'!I16</f>
        <v>45016</v>
      </c>
      <c r="K11" s="11">
        <f>'Data Sheet'!J16</f>
        <v>45382</v>
      </c>
      <c r="L11" s="11">
        <f>'Data Sheet'!K16</f>
        <v>45747</v>
      </c>
      <c r="M11" s="40" t="s">
        <v>56</v>
      </c>
      <c r="N11" s="12"/>
      <c r="O11" s="12"/>
    </row>
    <row r="12" spans="1:15" s="13" customFormat="1" x14ac:dyDescent="0.3">
      <c r="B12" s="14"/>
      <c r="C12" s="15"/>
      <c r="D12" s="15"/>
      <c r="E12" s="15"/>
      <c r="F12" s="15"/>
      <c r="G12" s="15"/>
      <c r="H12" s="15"/>
      <c r="I12" s="15"/>
      <c r="J12" s="15"/>
      <c r="K12" s="15"/>
      <c r="L12" s="15"/>
      <c r="M12"/>
      <c r="N12" s="16"/>
      <c r="O12" s="16"/>
    </row>
    <row r="13" spans="1:15" x14ac:dyDescent="0.3">
      <c r="A13" s="2" t="s">
        <v>57</v>
      </c>
      <c r="B13" s="17" t="s">
        <v>58</v>
      </c>
      <c r="C13" s="18"/>
      <c r="D13" s="18"/>
      <c r="E13" s="18"/>
      <c r="F13" s="18"/>
      <c r="G13" s="18"/>
      <c r="H13" s="18"/>
      <c r="I13" s="19"/>
      <c r="J13" s="18"/>
      <c r="K13" s="18"/>
      <c r="L13" s="18"/>
      <c r="M13" s="18"/>
    </row>
    <row r="14" spans="1:15" outlineLevel="1" x14ac:dyDescent="0.3">
      <c r="B14" s="20" t="s">
        <v>1</v>
      </c>
      <c r="C14" s="143">
        <f>IFERROR('Data Sheet'!B17,"-")</f>
        <v>62441</v>
      </c>
      <c r="D14" s="143">
        <f>IFERROR('Data Sheet'!C17,"-")</f>
        <v>68484</v>
      </c>
      <c r="E14" s="143">
        <f>IFERROR('Data Sheet'!D17,"-")</f>
        <v>70522</v>
      </c>
      <c r="F14" s="143">
        <f>IFERROR('Data Sheet'!E17,"-")</f>
        <v>82675</v>
      </c>
      <c r="G14" s="143">
        <f>IFERROR('Data Sheet'!F17,"-")</f>
        <v>90791</v>
      </c>
      <c r="H14" s="143">
        <f>IFERROR('Data Sheet'!G17,"-")</f>
        <v>100472</v>
      </c>
      <c r="I14" s="143">
        <f>IFERROR('Data Sheet'!H17,"-")</f>
        <v>121641</v>
      </c>
      <c r="J14" s="143">
        <f>IFERROR('Data Sheet'!I17,"-")</f>
        <v>146767</v>
      </c>
      <c r="K14" s="143">
        <f>IFERROR('Data Sheet'!J17,"-")</f>
        <v>153670</v>
      </c>
      <c r="L14" s="143">
        <f>IFERROR('Data Sheet'!K17,"-")</f>
        <v>162990</v>
      </c>
      <c r="M14" s="143">
        <f>IFERROR(SUM('Data Sheet'!H42:K42),"-")</f>
        <v>173173</v>
      </c>
    </row>
    <row r="15" spans="1:15" outlineLevel="1" x14ac:dyDescent="0.3">
      <c r="B15" s="21" t="s">
        <v>59</v>
      </c>
      <c r="C15" s="22" t="s">
        <v>60</v>
      </c>
      <c r="D15" s="23">
        <f>IFERROR(D14/C14-1,"-")</f>
        <v>9.67793597155715E-2</v>
      </c>
      <c r="E15" s="23">
        <f>IFERROR(E14/D14-1,"-")</f>
        <v>2.9758775772443125E-2</v>
      </c>
      <c r="F15" s="23">
        <f t="shared" ref="F15:M15" si="0">IFERROR(F14/E14-1,"-")</f>
        <v>0.17232920223476356</v>
      </c>
      <c r="G15" s="23">
        <f t="shared" si="0"/>
        <v>9.8167523435137571E-2</v>
      </c>
      <c r="H15" s="23">
        <f t="shared" si="0"/>
        <v>0.10662951173574475</v>
      </c>
      <c r="I15" s="23">
        <f t="shared" si="0"/>
        <v>0.21069551715900947</v>
      </c>
      <c r="J15" s="23">
        <f t="shared" si="0"/>
        <v>0.20655864387829759</v>
      </c>
      <c r="K15" s="23">
        <f t="shared" si="0"/>
        <v>4.7033733741236095E-2</v>
      </c>
      <c r="L15" s="23">
        <f t="shared" si="0"/>
        <v>6.0649443612936782E-2</v>
      </c>
      <c r="M15" s="23">
        <f t="shared" si="0"/>
        <v>6.2476225535308849E-2</v>
      </c>
    </row>
    <row r="16" spans="1:15" outlineLevel="1" x14ac:dyDescent="0.3"/>
    <row r="17" spans="2:14" outlineLevel="1" x14ac:dyDescent="0.3">
      <c r="B17" s="8" t="s">
        <v>61</v>
      </c>
      <c r="C17" s="145">
        <f>IFERROR(SUM('Data Sheet'!B20:B22),"-")</f>
        <v>40492</v>
      </c>
      <c r="D17" s="145">
        <f>IFERROR(SUM('Data Sheet'!C20:C22),"-")</f>
        <v>44609</v>
      </c>
      <c r="E17" s="145">
        <f>IFERROR(SUM('Data Sheet'!D20:D22),"-")</f>
        <v>46395</v>
      </c>
      <c r="F17" s="145">
        <f>IFERROR(SUM('Data Sheet'!E20:E22),"-")</f>
        <v>55446</v>
      </c>
      <c r="G17" s="145">
        <f>IFERROR(SUM('Data Sheet'!F20:F22),"-")</f>
        <v>62210</v>
      </c>
      <c r="H17" s="145">
        <f>IFERROR(SUM('Data Sheet'!G20:G22),"-")</f>
        <v>68490</v>
      </c>
      <c r="I17" s="145">
        <f>IFERROR(SUM('Data Sheet'!H20:H22),"-")</f>
        <v>84819</v>
      </c>
      <c r="J17" s="145">
        <f>IFERROR(SUM('Data Sheet'!I20:I22),"-")</f>
        <v>104880</v>
      </c>
      <c r="K17" s="145">
        <f>IFERROR(SUM('Data Sheet'!J20:J22),"-")</f>
        <v>110030</v>
      </c>
      <c r="L17" s="145">
        <f>IFERROR(SUM('Data Sheet'!K20:K22),"-")</f>
        <v>116585</v>
      </c>
      <c r="M17" s="145">
        <f>IFERROR(SUM('Data Sheet'!H43:K43),"-")</f>
        <v>132187</v>
      </c>
    </row>
    <row r="18" spans="2:14" outlineLevel="1" x14ac:dyDescent="0.3">
      <c r="B18" s="21" t="s">
        <v>62</v>
      </c>
      <c r="C18" s="23">
        <f>IFERROR(C17/C14,"-")</f>
        <v>0.64848416905558848</v>
      </c>
      <c r="D18" s="23">
        <f t="shared" ref="D18:M18" si="1">IFERROR(D17/D14,"-")</f>
        <v>0.65137842415746738</v>
      </c>
      <c r="E18" s="23">
        <f t="shared" si="1"/>
        <v>0.65787981055557132</v>
      </c>
      <c r="F18" s="23">
        <f t="shared" si="1"/>
        <v>0.67065013607499246</v>
      </c>
      <c r="G18" s="23">
        <f t="shared" si="1"/>
        <v>0.68520007489729162</v>
      </c>
      <c r="H18" s="23">
        <f t="shared" si="1"/>
        <v>0.68168245879448996</v>
      </c>
      <c r="I18" s="23">
        <f t="shared" si="1"/>
        <v>0.69728956519594543</v>
      </c>
      <c r="J18" s="23">
        <f t="shared" si="1"/>
        <v>0.71460205632056251</v>
      </c>
      <c r="K18" s="23">
        <f t="shared" si="1"/>
        <v>0.71601483698835167</v>
      </c>
      <c r="L18" s="23">
        <f t="shared" si="1"/>
        <v>0.71528928155101545</v>
      </c>
      <c r="M18" s="23">
        <f t="shared" si="1"/>
        <v>0.76332338182049164</v>
      </c>
    </row>
    <row r="19" spans="2:14" ht="15" outlineLevel="1" thickBot="1" x14ac:dyDescent="0.35"/>
    <row r="20" spans="2:14" outlineLevel="1" x14ac:dyDescent="0.3">
      <c r="B20" s="65" t="s">
        <v>63</v>
      </c>
      <c r="C20" s="144">
        <f>IFERROR(C14-C17,"-")</f>
        <v>21949</v>
      </c>
      <c r="D20" s="144">
        <f t="shared" ref="D20:M20" si="2">IFERROR(D14-D17,"-")</f>
        <v>23875</v>
      </c>
      <c r="E20" s="144">
        <f t="shared" si="2"/>
        <v>24127</v>
      </c>
      <c r="F20" s="144">
        <f t="shared" si="2"/>
        <v>27229</v>
      </c>
      <c r="G20" s="144">
        <f t="shared" si="2"/>
        <v>28581</v>
      </c>
      <c r="H20" s="144">
        <f t="shared" si="2"/>
        <v>31982</v>
      </c>
      <c r="I20" s="144">
        <f t="shared" si="2"/>
        <v>36822</v>
      </c>
      <c r="J20" s="144">
        <f t="shared" si="2"/>
        <v>41887</v>
      </c>
      <c r="K20" s="144">
        <f t="shared" si="2"/>
        <v>43640</v>
      </c>
      <c r="L20" s="144">
        <f t="shared" si="2"/>
        <v>46405</v>
      </c>
      <c r="M20" s="144">
        <f t="shared" si="2"/>
        <v>40986</v>
      </c>
      <c r="N20" s="105"/>
    </row>
    <row r="21" spans="2:14" outlineLevel="1" x14ac:dyDescent="0.3">
      <c r="B21" s="21" t="s">
        <v>120</v>
      </c>
      <c r="C21" s="23">
        <f>IFERROR(C20/C14,"-")</f>
        <v>0.35151583094441152</v>
      </c>
      <c r="D21" s="23">
        <f t="shared" ref="D21:M21" si="3">IFERROR(D20/D14,"-")</f>
        <v>0.34862157584253256</v>
      </c>
      <c r="E21" s="23">
        <f t="shared" si="3"/>
        <v>0.34212018944442868</v>
      </c>
      <c r="F21" s="23">
        <f t="shared" si="3"/>
        <v>0.32934986392500754</v>
      </c>
      <c r="G21" s="23">
        <f t="shared" si="3"/>
        <v>0.31479992510270843</v>
      </c>
      <c r="H21" s="23">
        <f t="shared" si="3"/>
        <v>0.31831754120550998</v>
      </c>
      <c r="I21" s="23">
        <f t="shared" si="3"/>
        <v>0.30271043480405457</v>
      </c>
      <c r="J21" s="23">
        <f t="shared" si="3"/>
        <v>0.28539794367943749</v>
      </c>
      <c r="K21" s="23">
        <f t="shared" si="3"/>
        <v>0.28398516301164833</v>
      </c>
      <c r="L21" s="23">
        <f t="shared" si="3"/>
        <v>0.2847107184489846</v>
      </c>
      <c r="M21" s="23">
        <f t="shared" si="3"/>
        <v>0.23667661817950836</v>
      </c>
    </row>
    <row r="22" spans="2:14" outlineLevel="1" x14ac:dyDescent="0.3"/>
    <row r="23" spans="2:14" outlineLevel="1" x14ac:dyDescent="0.3">
      <c r="B23" s="8" t="s">
        <v>108</v>
      </c>
      <c r="C23" s="145">
        <f>IFERROR(SUM('Data Sheet'!B23:B24),"-")</f>
        <v>4870</v>
      </c>
      <c r="D23" s="145">
        <f>IFERROR(SUM('Data Sheet'!C23:C24),"-")</f>
        <v>5271</v>
      </c>
      <c r="E23" s="145">
        <f>IFERROR(SUM('Data Sheet'!D23:D24),"-")</f>
        <v>5305</v>
      </c>
      <c r="F23" s="145">
        <f>IFERROR(SUM('Data Sheet'!E23:E24),"-")</f>
        <v>7059</v>
      </c>
      <c r="G23" s="145">
        <f>IFERROR(SUM('Data Sheet'!F23:F24),"-")</f>
        <v>6314</v>
      </c>
      <c r="H23" s="145">
        <f>IFERROR(SUM('Data Sheet'!G23:G24),"-")</f>
        <v>4093</v>
      </c>
      <c r="I23" s="145">
        <f>IFERROR(SUM('Data Sheet'!H23:H24),"-")</f>
        <v>5331</v>
      </c>
      <c r="J23" s="145">
        <f>IFERROR(SUM('Data Sheet'!I23:I24),"-")</f>
        <v>6757</v>
      </c>
      <c r="K23" s="145">
        <f>IFERROR(SUM('Data Sheet'!J23:J24),"-")</f>
        <v>7215</v>
      </c>
      <c r="L23" s="145">
        <f>IFERROR(SUM('Data Sheet'!K23:K24),"-")</f>
        <v>7169</v>
      </c>
      <c r="M23" s="146"/>
    </row>
    <row r="24" spans="2:14" outlineLevel="1" x14ac:dyDescent="0.3">
      <c r="B24" s="21" t="s">
        <v>109</v>
      </c>
      <c r="C24" s="23">
        <f>IFERROR(C23/C14,"-")</f>
        <v>7.7993625982927889E-2</v>
      </c>
      <c r="D24" s="23">
        <f t="shared" ref="D24:M24" si="4">IFERROR(D23/D14,"-")</f>
        <v>7.6966882775538814E-2</v>
      </c>
      <c r="E24" s="23">
        <f t="shared" si="4"/>
        <v>7.5224752559484978E-2</v>
      </c>
      <c r="F24" s="23">
        <f t="shared" si="4"/>
        <v>8.5382521923193233E-2</v>
      </c>
      <c r="G24" s="23">
        <f t="shared" si="4"/>
        <v>6.9544338095185648E-2</v>
      </c>
      <c r="H24" s="23">
        <f t="shared" si="4"/>
        <v>4.0737717971176049E-2</v>
      </c>
      <c r="I24" s="23">
        <f t="shared" si="4"/>
        <v>4.3825683774385282E-2</v>
      </c>
      <c r="J24" s="23">
        <f t="shared" si="4"/>
        <v>4.6038959711651804E-2</v>
      </c>
      <c r="K24" s="23">
        <f t="shared" si="4"/>
        <v>4.6951259191774584E-2</v>
      </c>
      <c r="L24" s="23">
        <f t="shared" si="4"/>
        <v>4.3984293514939564E-2</v>
      </c>
      <c r="M24" s="23">
        <f t="shared" si="4"/>
        <v>0</v>
      </c>
    </row>
    <row r="25" spans="2:14" ht="15" outlineLevel="1" thickBot="1" x14ac:dyDescent="0.35"/>
    <row r="26" spans="2:14" outlineLevel="1" x14ac:dyDescent="0.3">
      <c r="B26" s="65" t="s">
        <v>64</v>
      </c>
      <c r="C26" s="144">
        <f>IFERROR(C20-C23,"-")</f>
        <v>17079</v>
      </c>
      <c r="D26" s="144">
        <f t="shared" ref="D26:M26" si="5">IFERROR(D20-D23,"-")</f>
        <v>18604</v>
      </c>
      <c r="E26" s="144">
        <f t="shared" si="5"/>
        <v>18822</v>
      </c>
      <c r="F26" s="144">
        <f t="shared" si="5"/>
        <v>20170</v>
      </c>
      <c r="G26" s="144">
        <f t="shared" si="5"/>
        <v>22267</v>
      </c>
      <c r="H26" s="144">
        <f t="shared" si="5"/>
        <v>27889</v>
      </c>
      <c r="I26" s="144">
        <f t="shared" si="5"/>
        <v>31491</v>
      </c>
      <c r="J26" s="144">
        <f t="shared" si="5"/>
        <v>35130</v>
      </c>
      <c r="K26" s="144">
        <f t="shared" si="5"/>
        <v>36425</v>
      </c>
      <c r="L26" s="144">
        <f t="shared" si="5"/>
        <v>39236</v>
      </c>
      <c r="M26" s="144">
        <f t="shared" si="5"/>
        <v>40986</v>
      </c>
    </row>
    <row r="27" spans="2:14" outlineLevel="1" x14ac:dyDescent="0.3">
      <c r="B27" s="21" t="s">
        <v>65</v>
      </c>
      <c r="C27" s="23">
        <f>IFERROR(C26/C14,"-")</f>
        <v>0.27352220496148366</v>
      </c>
      <c r="D27" s="23">
        <f t="shared" ref="D27:M27" si="6">IFERROR(D26/D14,"-")</f>
        <v>0.27165469306699375</v>
      </c>
      <c r="E27" s="23">
        <f t="shared" si="6"/>
        <v>0.26689543688494372</v>
      </c>
      <c r="F27" s="23">
        <f t="shared" si="6"/>
        <v>0.24396734200181433</v>
      </c>
      <c r="G27" s="23">
        <f t="shared" si="6"/>
        <v>0.24525558700752279</v>
      </c>
      <c r="H27" s="23">
        <f t="shared" si="6"/>
        <v>0.27757982323433394</v>
      </c>
      <c r="I27" s="23">
        <f t="shared" si="6"/>
        <v>0.25888475102966929</v>
      </c>
      <c r="J27" s="23">
        <f t="shared" si="6"/>
        <v>0.23935898396778568</v>
      </c>
      <c r="K27" s="23">
        <f t="shared" si="6"/>
        <v>0.23703390381987374</v>
      </c>
      <c r="L27" s="23">
        <f t="shared" si="6"/>
        <v>0.24072642493404503</v>
      </c>
      <c r="M27" s="23">
        <f t="shared" si="6"/>
        <v>0.23667661817950836</v>
      </c>
    </row>
    <row r="28" spans="2:14" outlineLevel="1" x14ac:dyDescent="0.3"/>
    <row r="29" spans="2:14" outlineLevel="1" x14ac:dyDescent="0.3">
      <c r="B29" s="8" t="s">
        <v>5</v>
      </c>
      <c r="C29" s="145">
        <f>IFERROR('Data Sheet'!B26,"-")</f>
        <v>1459</v>
      </c>
      <c r="D29" s="145">
        <f>IFERROR('Data Sheet'!C26,"-")</f>
        <v>1703</v>
      </c>
      <c r="E29" s="145">
        <f>IFERROR('Data Sheet'!D26,"-")</f>
        <v>1863</v>
      </c>
      <c r="F29" s="145">
        <f>IFERROR('Data Sheet'!E26,"-")</f>
        <v>2011</v>
      </c>
      <c r="G29" s="145">
        <f>IFERROR('Data Sheet'!F26,"-")</f>
        <v>2893</v>
      </c>
      <c r="H29" s="145">
        <f>IFERROR('Data Sheet'!G26,"-")</f>
        <v>3267</v>
      </c>
      <c r="I29" s="145">
        <f>IFERROR('Data Sheet'!H26,"-")</f>
        <v>3476</v>
      </c>
      <c r="J29" s="145">
        <f>IFERROR('Data Sheet'!I26,"-")</f>
        <v>4225</v>
      </c>
      <c r="K29" s="145">
        <f>IFERROR('Data Sheet'!J26,"-")</f>
        <v>4678</v>
      </c>
      <c r="L29" s="145">
        <f>IFERROR('Data Sheet'!K26,"-")</f>
        <v>4812</v>
      </c>
      <c r="M29" s="145">
        <f>IFERROR(SUM('Data Sheet'!H45:K45),"-")</f>
        <v>4776</v>
      </c>
    </row>
    <row r="30" spans="2:14" outlineLevel="1" x14ac:dyDescent="0.3">
      <c r="B30" s="21" t="s">
        <v>66</v>
      </c>
      <c r="C30" s="23">
        <f>IFERROR(C29/C14,"-")</f>
        <v>2.3366057558335068E-2</v>
      </c>
      <c r="D30" s="23">
        <f t="shared" ref="D30:M30" si="7">IFERROR(D29/D14,"-")</f>
        <v>2.4867122247532271E-2</v>
      </c>
      <c r="E30" s="23">
        <f t="shared" si="7"/>
        <v>2.6417288222115084E-2</v>
      </c>
      <c r="F30" s="23">
        <f t="shared" si="7"/>
        <v>2.4324160870879952E-2</v>
      </c>
      <c r="G30" s="23">
        <f t="shared" si="7"/>
        <v>3.1864391845006661E-2</v>
      </c>
      <c r="H30" s="23">
        <f t="shared" si="7"/>
        <v>3.2516522016084085E-2</v>
      </c>
      <c r="I30" s="23">
        <f t="shared" si="7"/>
        <v>2.8575891352422292E-2</v>
      </c>
      <c r="J30" s="23">
        <f t="shared" si="7"/>
        <v>2.8787125171189708E-2</v>
      </c>
      <c r="K30" s="23">
        <f t="shared" si="7"/>
        <v>3.0441855925034164E-2</v>
      </c>
      <c r="L30" s="23">
        <f t="shared" si="7"/>
        <v>2.9523283637032948E-2</v>
      </c>
      <c r="M30" s="23">
        <f t="shared" si="7"/>
        <v>2.7579357059125845E-2</v>
      </c>
    </row>
    <row r="31" spans="2:14" ht="15" outlineLevel="1" thickBot="1" x14ac:dyDescent="0.35">
      <c r="B31"/>
      <c r="C31"/>
      <c r="D31"/>
      <c r="E31"/>
      <c r="F31"/>
      <c r="G31"/>
      <c r="H31"/>
      <c r="I31"/>
      <c r="J31"/>
      <c r="K31"/>
      <c r="L31"/>
    </row>
    <row r="32" spans="2:14" outlineLevel="1" x14ac:dyDescent="0.3">
      <c r="B32" s="65" t="s">
        <v>150</v>
      </c>
      <c r="C32" s="144">
        <f>IFERROR(C26-C29,"-")</f>
        <v>15620</v>
      </c>
      <c r="D32" s="144">
        <f t="shared" ref="D32:M32" si="8">IFERROR(D26-D29,"-")</f>
        <v>16901</v>
      </c>
      <c r="E32" s="144">
        <f t="shared" si="8"/>
        <v>16959</v>
      </c>
      <c r="F32" s="144">
        <f t="shared" si="8"/>
        <v>18159</v>
      </c>
      <c r="G32" s="144">
        <f t="shared" si="8"/>
        <v>19374</v>
      </c>
      <c r="H32" s="144">
        <f t="shared" si="8"/>
        <v>24622</v>
      </c>
      <c r="I32" s="144">
        <f t="shared" si="8"/>
        <v>28015</v>
      </c>
      <c r="J32" s="144">
        <f t="shared" si="8"/>
        <v>30905</v>
      </c>
      <c r="K32" s="144">
        <f t="shared" si="8"/>
        <v>31747</v>
      </c>
      <c r="L32" s="144">
        <f t="shared" si="8"/>
        <v>34424</v>
      </c>
      <c r="M32" s="144">
        <f t="shared" si="8"/>
        <v>36210</v>
      </c>
    </row>
    <row r="33" spans="2:13" outlineLevel="1" x14ac:dyDescent="0.3">
      <c r="B33" s="21" t="s">
        <v>121</v>
      </c>
      <c r="C33" s="23">
        <f>IFERROR(C32/C14,"-")</f>
        <v>0.25015614740314857</v>
      </c>
      <c r="D33" s="23">
        <f t="shared" ref="D33:M33" si="9">IFERROR(D32/D14,"-")</f>
        <v>0.24678757081946148</v>
      </c>
      <c r="E33" s="23">
        <f t="shared" si="9"/>
        <v>0.24047814866282863</v>
      </c>
      <c r="F33" s="23">
        <f t="shared" si="9"/>
        <v>0.2196431811309344</v>
      </c>
      <c r="G33" s="23">
        <f t="shared" si="9"/>
        <v>0.21339119516251612</v>
      </c>
      <c r="H33" s="23">
        <f t="shared" si="9"/>
        <v>0.24506330121824987</v>
      </c>
      <c r="I33" s="23">
        <f t="shared" si="9"/>
        <v>0.23030885967724699</v>
      </c>
      <c r="J33" s="23">
        <f t="shared" si="9"/>
        <v>0.21057185879659596</v>
      </c>
      <c r="K33" s="23">
        <f t="shared" si="9"/>
        <v>0.20659204789483959</v>
      </c>
      <c r="L33" s="23">
        <f t="shared" si="9"/>
        <v>0.21120314129701209</v>
      </c>
      <c r="M33" s="23">
        <f t="shared" si="9"/>
        <v>0.20909726112038252</v>
      </c>
    </row>
    <row r="34" spans="2:13" outlineLevel="1" x14ac:dyDescent="0.3"/>
    <row r="35" spans="2:13" outlineLevel="1" x14ac:dyDescent="0.3">
      <c r="B35" s="8" t="s">
        <v>4</v>
      </c>
      <c r="C35" s="145">
        <f>IFERROR('Data Sheet'!B25,"-")</f>
        <v>3120</v>
      </c>
      <c r="D35" s="145">
        <f>IFERROR('Data Sheet'!C25,"-")</f>
        <v>3050</v>
      </c>
      <c r="E35" s="145">
        <f>IFERROR('Data Sheet'!D25,"-")</f>
        <v>3311</v>
      </c>
      <c r="F35" s="145">
        <f>IFERROR('Data Sheet'!E25,"-")</f>
        <v>2882</v>
      </c>
      <c r="G35" s="145">
        <f>IFERROR('Data Sheet'!F25,"-")</f>
        <v>2803</v>
      </c>
      <c r="H35" s="145">
        <f>IFERROR('Data Sheet'!G25,"-")</f>
        <v>2201</v>
      </c>
      <c r="I35" s="145">
        <f>IFERROR('Data Sheet'!H25,"-")</f>
        <v>2295</v>
      </c>
      <c r="J35" s="145">
        <f>IFERROR('Data Sheet'!I25,"-")</f>
        <v>2701</v>
      </c>
      <c r="K35" s="145">
        <f>IFERROR('Data Sheet'!J25,"-")</f>
        <v>4711</v>
      </c>
      <c r="L35" s="145">
        <f>IFERROR('Data Sheet'!K25,"-")</f>
        <v>3600</v>
      </c>
      <c r="M35" s="145">
        <f>IFERROR(SUM('Data Sheet'!H44:K44),"-")</f>
        <v>3064</v>
      </c>
    </row>
    <row r="36" spans="2:13" outlineLevel="1" x14ac:dyDescent="0.3">
      <c r="B36" s="21" t="s">
        <v>116</v>
      </c>
      <c r="C36" s="23">
        <f t="shared" ref="C36:M36" si="10">IFERROR(C35/C14,"-")</f>
        <v>4.9967169007543118E-2</v>
      </c>
      <c r="D36" s="23">
        <f t="shared" si="10"/>
        <v>4.4535950002920391E-2</v>
      </c>
      <c r="E36" s="23">
        <f t="shared" si="10"/>
        <v>4.6949887978219564E-2</v>
      </c>
      <c r="F36" s="23">
        <f t="shared" si="10"/>
        <v>3.4859389174478381E-2</v>
      </c>
      <c r="G36" s="23">
        <f t="shared" si="10"/>
        <v>3.0873104162306837E-2</v>
      </c>
      <c r="H36" s="23">
        <f t="shared" si="10"/>
        <v>2.1906600844016244E-2</v>
      </c>
      <c r="I36" s="23">
        <f t="shared" si="10"/>
        <v>1.886699385897847E-2</v>
      </c>
      <c r="J36" s="23">
        <f t="shared" si="10"/>
        <v>1.8403319547309682E-2</v>
      </c>
      <c r="K36" s="23">
        <f t="shared" si="10"/>
        <v>3.0656601809071388E-2</v>
      </c>
      <c r="L36" s="23">
        <f t="shared" si="10"/>
        <v>2.2087244616234125E-2</v>
      </c>
      <c r="M36" s="23">
        <f t="shared" si="10"/>
        <v>1.7693289369589946E-2</v>
      </c>
    </row>
    <row r="37" spans="2:13" outlineLevel="1" x14ac:dyDescent="0.3">
      <c r="B37"/>
    </row>
    <row r="38" spans="2:13" outlineLevel="1" x14ac:dyDescent="0.3">
      <c r="B38" s="8" t="s">
        <v>6</v>
      </c>
      <c r="C38" s="145">
        <f>IFERROR('Data Sheet'!B27,"-")</f>
        <v>0</v>
      </c>
      <c r="D38" s="145">
        <f>IFERROR('Data Sheet'!C27,"-")</f>
        <v>0</v>
      </c>
      <c r="E38" s="145">
        <f>IFERROR('Data Sheet'!D27,"-")</f>
        <v>0</v>
      </c>
      <c r="F38" s="145">
        <f>IFERROR('Data Sheet'!E27,"-")</f>
        <v>0</v>
      </c>
      <c r="G38" s="145">
        <f>IFERROR('Data Sheet'!F27,"-")</f>
        <v>170</v>
      </c>
      <c r="H38" s="145">
        <f>IFERROR('Data Sheet'!G27,"-")</f>
        <v>195</v>
      </c>
      <c r="I38" s="145">
        <f>IFERROR('Data Sheet'!H27,"-")</f>
        <v>200</v>
      </c>
      <c r="J38" s="145">
        <f>IFERROR('Data Sheet'!I27,"-")</f>
        <v>284</v>
      </c>
      <c r="K38" s="145">
        <f>IFERROR('Data Sheet'!J27,"-")</f>
        <v>470</v>
      </c>
      <c r="L38" s="145">
        <f>IFERROR('Data Sheet'!K27,"-")</f>
        <v>416</v>
      </c>
      <c r="M38" s="145">
        <f>IFERROR(SUM('Data Sheet'!H46:K46),"-")</f>
        <v>413</v>
      </c>
    </row>
    <row r="39" spans="2:13" outlineLevel="1" x14ac:dyDescent="0.3">
      <c r="B39" s="21" t="s">
        <v>67</v>
      </c>
      <c r="C39" s="23">
        <f t="shared" ref="C39:M39" si="11">IFERROR(C38/C14,"-")</f>
        <v>0</v>
      </c>
      <c r="D39" s="23">
        <f t="shared" si="11"/>
        <v>0</v>
      </c>
      <c r="E39" s="23">
        <f t="shared" si="11"/>
        <v>0</v>
      </c>
      <c r="F39" s="23">
        <f t="shared" si="11"/>
        <v>0</v>
      </c>
      <c r="G39" s="23">
        <f t="shared" si="11"/>
        <v>1.8724322895441179E-3</v>
      </c>
      <c r="H39" s="23">
        <f t="shared" si="11"/>
        <v>1.9408392387928975E-3</v>
      </c>
      <c r="I39" s="23">
        <f t="shared" si="11"/>
        <v>1.6441824713706726E-3</v>
      </c>
      <c r="J39" s="23">
        <f t="shared" si="11"/>
        <v>1.9350398931639945E-3</v>
      </c>
      <c r="K39" s="23">
        <f t="shared" si="11"/>
        <v>3.0585019847725646E-3</v>
      </c>
      <c r="L39" s="23">
        <f t="shared" si="11"/>
        <v>2.5523038223203877E-3</v>
      </c>
      <c r="M39" s="23">
        <f t="shared" si="11"/>
        <v>2.384898338655564E-3</v>
      </c>
    </row>
    <row r="40" spans="2:13" ht="15" outlineLevel="1" thickBot="1" x14ac:dyDescent="0.35">
      <c r="B40"/>
    </row>
    <row r="41" spans="2:13" outlineLevel="1" x14ac:dyDescent="0.3">
      <c r="B41" s="65" t="s">
        <v>68</v>
      </c>
      <c r="C41" s="144">
        <f>IFERROR(C32+C35-C38,"-")</f>
        <v>18740</v>
      </c>
      <c r="D41" s="144">
        <f t="shared" ref="D41:M41" si="12">IFERROR(D32+D35-D38,"-")</f>
        <v>19951</v>
      </c>
      <c r="E41" s="144">
        <f t="shared" si="12"/>
        <v>20270</v>
      </c>
      <c r="F41" s="144">
        <f t="shared" si="12"/>
        <v>21041</v>
      </c>
      <c r="G41" s="144">
        <f t="shared" si="12"/>
        <v>22007</v>
      </c>
      <c r="H41" s="144">
        <f t="shared" si="12"/>
        <v>26628</v>
      </c>
      <c r="I41" s="144">
        <f t="shared" si="12"/>
        <v>30110</v>
      </c>
      <c r="J41" s="144">
        <f t="shared" si="12"/>
        <v>33322</v>
      </c>
      <c r="K41" s="144">
        <f t="shared" si="12"/>
        <v>35988</v>
      </c>
      <c r="L41" s="144">
        <f t="shared" si="12"/>
        <v>37608</v>
      </c>
      <c r="M41" s="144">
        <f t="shared" si="12"/>
        <v>38861</v>
      </c>
    </row>
    <row r="42" spans="2:13" outlineLevel="1" x14ac:dyDescent="0.3">
      <c r="B42" s="21" t="s">
        <v>148</v>
      </c>
      <c r="C42" s="23">
        <f t="shared" ref="C42:M42" si="13">IFERROR(C41/C14,"-")</f>
        <v>0.30012331641069168</v>
      </c>
      <c r="D42" s="23">
        <f t="shared" si="13"/>
        <v>0.29132352082238189</v>
      </c>
      <c r="E42" s="23">
        <f t="shared" si="13"/>
        <v>0.28742803664104816</v>
      </c>
      <c r="F42" s="23">
        <f t="shared" si="13"/>
        <v>0.25450257030541273</v>
      </c>
      <c r="G42" s="23">
        <f t="shared" si="13"/>
        <v>0.24239186703527882</v>
      </c>
      <c r="H42" s="23">
        <f t="shared" si="13"/>
        <v>0.26502906282347322</v>
      </c>
      <c r="I42" s="23">
        <f t="shared" si="13"/>
        <v>0.24753167106485477</v>
      </c>
      <c r="J42" s="23">
        <f t="shared" si="13"/>
        <v>0.22704013845074164</v>
      </c>
      <c r="K42" s="23">
        <f t="shared" si="13"/>
        <v>0.2341901477191384</v>
      </c>
      <c r="L42" s="23">
        <f t="shared" si="13"/>
        <v>0.23073808209092583</v>
      </c>
      <c r="M42" s="23">
        <f t="shared" si="13"/>
        <v>0.22440565215131689</v>
      </c>
    </row>
    <row r="43" spans="2:13" outlineLevel="1" x14ac:dyDescent="0.3"/>
    <row r="44" spans="2:13" outlineLevel="1" x14ac:dyDescent="0.3">
      <c r="B44" s="8" t="s">
        <v>8</v>
      </c>
      <c r="C44" s="145">
        <f>IFERROR('Data Sheet'!B29,"-")</f>
        <v>5251</v>
      </c>
      <c r="D44" s="145">
        <f>IFERROR('Data Sheet'!C29,"-")</f>
        <v>5598</v>
      </c>
      <c r="E44" s="145">
        <f>IFERROR('Data Sheet'!D29,"-")</f>
        <v>4241</v>
      </c>
      <c r="F44" s="145">
        <f>IFERROR('Data Sheet'!E29,"-")</f>
        <v>5631</v>
      </c>
      <c r="G44" s="145">
        <f>IFERROR('Data Sheet'!F29,"-")</f>
        <v>5368</v>
      </c>
      <c r="H44" s="145">
        <f>IFERROR('Data Sheet'!G29,"-")</f>
        <v>7205</v>
      </c>
      <c r="I44" s="145">
        <f>IFERROR('Data Sheet'!H29,"-")</f>
        <v>7964</v>
      </c>
      <c r="J44" s="145">
        <f>IFERROR('Data Sheet'!I29,"-")</f>
        <v>9214</v>
      </c>
      <c r="K44" s="145">
        <f>IFERROR('Data Sheet'!J29,"-")</f>
        <v>9740</v>
      </c>
      <c r="L44" s="145">
        <f>IFERROR('Data Sheet'!K29,"-")</f>
        <v>10858</v>
      </c>
      <c r="M44" s="145">
        <f>IFERROR(SUM('Data Sheet'!H48:K48),"-")</f>
        <v>10858</v>
      </c>
    </row>
    <row r="45" spans="2:13" outlineLevel="1" x14ac:dyDescent="0.3">
      <c r="B45" s="21" t="s">
        <v>69</v>
      </c>
      <c r="C45" s="23">
        <f>IFERROR(C44/C41,"-")</f>
        <v>0.28020277481323375</v>
      </c>
      <c r="D45" s="23">
        <f t="shared" ref="D45:M45" si="14">IFERROR(D44/D41,"-")</f>
        <v>0.28058743922610396</v>
      </c>
      <c r="E45" s="23">
        <f t="shared" si="14"/>
        <v>0.20922545633941786</v>
      </c>
      <c r="F45" s="23">
        <f t="shared" si="14"/>
        <v>0.26762036024903757</v>
      </c>
      <c r="G45" s="23">
        <f t="shared" si="14"/>
        <v>0.24392238833098559</v>
      </c>
      <c r="H45" s="23">
        <f t="shared" si="14"/>
        <v>0.27057984076911523</v>
      </c>
      <c r="I45" s="23">
        <f t="shared" si="14"/>
        <v>0.26449684490202591</v>
      </c>
      <c r="J45" s="23">
        <f t="shared" si="14"/>
        <v>0.27651401476502013</v>
      </c>
      <c r="K45" s="23">
        <f t="shared" si="14"/>
        <v>0.27064577081249308</v>
      </c>
      <c r="L45" s="23">
        <f t="shared" si="14"/>
        <v>0.28871516698574773</v>
      </c>
      <c r="M45" s="23">
        <f t="shared" si="14"/>
        <v>0.27940608836622838</v>
      </c>
    </row>
    <row r="46" spans="2:13" ht="15" outlineLevel="1" thickBot="1" x14ac:dyDescent="0.35"/>
    <row r="47" spans="2:13" ht="15" outlineLevel="1" thickBot="1" x14ac:dyDescent="0.35">
      <c r="B47" s="103" t="s">
        <v>70</v>
      </c>
      <c r="C47" s="147">
        <f>IFERROR(C41-C44,"-")</f>
        <v>13489</v>
      </c>
      <c r="D47" s="147">
        <f t="shared" ref="D47:M47" si="15">IFERROR(D41-D44,"-")</f>
        <v>14353</v>
      </c>
      <c r="E47" s="147">
        <f t="shared" si="15"/>
        <v>16029</v>
      </c>
      <c r="F47" s="147">
        <f>IFERROR(F41-F44,"-")</f>
        <v>15410</v>
      </c>
      <c r="G47" s="147">
        <f t="shared" si="15"/>
        <v>16639</v>
      </c>
      <c r="H47" s="147">
        <f t="shared" si="15"/>
        <v>19423</v>
      </c>
      <c r="I47" s="147">
        <f t="shared" si="15"/>
        <v>22146</v>
      </c>
      <c r="J47" s="147">
        <f t="shared" si="15"/>
        <v>24108</v>
      </c>
      <c r="K47" s="147">
        <f t="shared" si="15"/>
        <v>26248</v>
      </c>
      <c r="L47" s="147">
        <f t="shared" si="15"/>
        <v>26750</v>
      </c>
      <c r="M47" s="147">
        <f t="shared" si="15"/>
        <v>28003</v>
      </c>
    </row>
    <row r="48" spans="2:13" ht="15" outlineLevel="1" thickTop="1" x14ac:dyDescent="0.3">
      <c r="B48" s="25" t="s">
        <v>149</v>
      </c>
      <c r="C48" s="23">
        <f t="shared" ref="C48:K48" si="16">IFERROR(C47/C14,"-")</f>
        <v>0.21602793036626575</v>
      </c>
      <c r="D48" s="23">
        <f t="shared" si="16"/>
        <v>0.20958180012849717</v>
      </c>
      <c r="E48" s="23">
        <f t="shared" si="16"/>
        <v>0.22729077451008195</v>
      </c>
      <c r="F48" s="23">
        <f t="shared" si="16"/>
        <v>0.18639250075597219</v>
      </c>
      <c r="G48" s="23">
        <f t="shared" si="16"/>
        <v>0.18326706391602693</v>
      </c>
      <c r="H48" s="23">
        <f t="shared" si="16"/>
        <v>0.19331754120550998</v>
      </c>
      <c r="I48" s="23">
        <f t="shared" si="16"/>
        <v>0.1820603250548746</v>
      </c>
      <c r="J48" s="23">
        <f t="shared" si="16"/>
        <v>0.16426035825492105</v>
      </c>
      <c r="K48" s="23">
        <f t="shared" si="16"/>
        <v>0.17080757467300059</v>
      </c>
      <c r="L48" s="23">
        <f>IFERROR(L47/L14,"-")</f>
        <v>0.16412049819007302</v>
      </c>
      <c r="M48" s="23">
        <f>IFERROR(M47/M14,"-")</f>
        <v>0.16170534667644496</v>
      </c>
    </row>
    <row r="49" spans="1:14" outlineLevel="1" x14ac:dyDescent="0.3"/>
    <row r="50" spans="1:14" outlineLevel="1" x14ac:dyDescent="0.3">
      <c r="B50" s="200" t="s">
        <v>71</v>
      </c>
      <c r="C50" s="196">
        <f>IFERROR('Data Sheet'!B93,"-")</f>
        <v>459.39</v>
      </c>
      <c r="D50" s="196">
        <f>IFERROR('Data Sheet'!C93,"-")</f>
        <v>459.39</v>
      </c>
      <c r="E50" s="196">
        <f>IFERROR('Data Sheet'!D93,"-")</f>
        <v>436.82</v>
      </c>
      <c r="F50" s="196">
        <f>IFERROR('Data Sheet'!E93,"-")</f>
        <v>436.89</v>
      </c>
      <c r="G50" s="196">
        <f>IFERROR('Data Sheet'!F93,"-")</f>
        <v>425.9</v>
      </c>
      <c r="H50" s="196">
        <f>IFERROR('Data Sheet'!G93,"-")</f>
        <v>426.07</v>
      </c>
      <c r="I50" s="196">
        <f>IFERROR('Data Sheet'!H93,"-")</f>
        <v>420.67</v>
      </c>
      <c r="J50" s="196">
        <f>IFERROR('Data Sheet'!I93,"-")</f>
        <v>414.86</v>
      </c>
      <c r="K50" s="196">
        <f>IFERROR('Data Sheet'!J93,"-")</f>
        <v>415.09</v>
      </c>
      <c r="L50" s="196">
        <f>IFERROR('Data Sheet'!K93,"-")</f>
        <v>415.33</v>
      </c>
    </row>
    <row r="51" spans="1:14" outlineLevel="1" x14ac:dyDescent="0.3">
      <c r="B51" s="200"/>
      <c r="C51" s="196"/>
      <c r="D51" s="196"/>
      <c r="E51" s="196"/>
      <c r="F51" s="196"/>
      <c r="G51" s="196"/>
      <c r="H51" s="196"/>
      <c r="I51" s="196"/>
      <c r="J51" s="196"/>
      <c r="K51" s="196"/>
      <c r="L51" s="196"/>
      <c r="M51" s="146"/>
    </row>
    <row r="52" spans="1:14" outlineLevel="1" x14ac:dyDescent="0.3">
      <c r="B52" s="200" t="s">
        <v>72</v>
      </c>
      <c r="C52" s="197">
        <f>IFERROR(C47/C50,"-")</f>
        <v>29.362850736846688</v>
      </c>
      <c r="D52" s="197">
        <f t="shared" ref="D52:J52" si="17">IFERROR(D47/D50,"-")</f>
        <v>31.243605650971944</v>
      </c>
      <c r="E52" s="197">
        <f t="shared" si="17"/>
        <v>36.694748408955633</v>
      </c>
      <c r="F52" s="197">
        <f t="shared" si="17"/>
        <v>35.272036439378333</v>
      </c>
      <c r="G52" s="197">
        <f t="shared" si="17"/>
        <v>39.067856304296782</v>
      </c>
      <c r="H52" s="197">
        <f t="shared" si="17"/>
        <v>45.586405989626115</v>
      </c>
      <c r="I52" s="197">
        <f t="shared" si="17"/>
        <v>52.644590771863932</v>
      </c>
      <c r="J52" s="197">
        <f t="shared" si="17"/>
        <v>58.11117003326423</v>
      </c>
      <c r="K52" s="197">
        <f>IFERROR(K47/K50,"-")</f>
        <v>63.234479269556005</v>
      </c>
      <c r="L52" s="197">
        <f>IFERROR(L47/L50,"-")</f>
        <v>64.406616425492984</v>
      </c>
      <c r="M52" s="146"/>
    </row>
    <row r="53" spans="1:14" outlineLevel="1" x14ac:dyDescent="0.3">
      <c r="B53" s="201" t="s">
        <v>73</v>
      </c>
      <c r="C53" s="198" t="s">
        <v>60</v>
      </c>
      <c r="D53" s="198">
        <f>IFERROR(D52/C52,"-")</f>
        <v>1.0640521906738825</v>
      </c>
      <c r="E53" s="198">
        <f t="shared" ref="E53:L53" si="18">IFERROR(E52/D52,"-")</f>
        <v>1.17447226862608</v>
      </c>
      <c r="F53" s="198">
        <f t="shared" si="18"/>
        <v>0.96122845825998149</v>
      </c>
      <c r="G53" s="198">
        <f t="shared" si="18"/>
        <v>1.1076155574811306</v>
      </c>
      <c r="H53" s="198">
        <f t="shared" si="18"/>
        <v>1.1668519929672314</v>
      </c>
      <c r="I53" s="198">
        <f t="shared" si="18"/>
        <v>1.1548309112993909</v>
      </c>
      <c r="J53" s="198">
        <f t="shared" si="18"/>
        <v>1.1038393343219211</v>
      </c>
      <c r="K53" s="198">
        <f t="shared" si="18"/>
        <v>1.0881639318802059</v>
      </c>
      <c r="L53" s="198">
        <f t="shared" si="18"/>
        <v>1.0185363613249727</v>
      </c>
    </row>
    <row r="54" spans="1:14" outlineLevel="1" x14ac:dyDescent="0.3">
      <c r="B54" s="200"/>
      <c r="C54" s="196"/>
      <c r="D54" s="196"/>
      <c r="E54" s="196"/>
      <c r="F54" s="196"/>
      <c r="G54" s="196"/>
      <c r="H54" s="196"/>
      <c r="I54" s="196"/>
      <c r="J54" s="196"/>
      <c r="K54" s="196"/>
      <c r="L54" s="196"/>
    </row>
    <row r="55" spans="1:14" outlineLevel="1" x14ac:dyDescent="0.3">
      <c r="B55" s="202" t="s">
        <v>74</v>
      </c>
      <c r="C55" s="197">
        <f>IFERROR('Data Sheet'!B31/C50,"-")</f>
        <v>12.077755284181196</v>
      </c>
      <c r="D55" s="197">
        <f>IFERROR('Data Sheet'!C31/D50,"-")</f>
        <v>12.824832930625396</v>
      </c>
      <c r="E55" s="197">
        <f>IFERROR('Data Sheet'!D31/E50,"-")</f>
        <v>21.669337484547412</v>
      </c>
      <c r="F55" s="197">
        <f>IFERROR('Data Sheet'!E31/F50,"-")</f>
        <v>21.109432580283368</v>
      </c>
      <c r="G55" s="197">
        <f>IFERROR('Data Sheet'!F31/G50,"-")</f>
        <v>17.438365813571263</v>
      </c>
      <c r="H55" s="197">
        <f>IFERROR('Data Sheet'!G31/H50,"-")</f>
        <v>26.919520266622857</v>
      </c>
      <c r="I55" s="197">
        <f>IFERROR('Data Sheet'!H31/I50,"-")</f>
        <v>30.921149594694178</v>
      </c>
      <c r="J55" s="197">
        <f>IFERROR('Data Sheet'!I31/J50,"-")</f>
        <v>33.913127320059779</v>
      </c>
      <c r="K55" s="197">
        <f>IFERROR('Data Sheet'!J31/K50,"-")</f>
        <v>45.901370787058234</v>
      </c>
      <c r="L55" s="197">
        <f>IFERROR('Data Sheet'!K31/L50,"-")</f>
        <v>42.924421544314157</v>
      </c>
    </row>
    <row r="56" spans="1:14" outlineLevel="1" x14ac:dyDescent="0.3">
      <c r="B56" s="201" t="s">
        <v>75</v>
      </c>
      <c r="C56" s="198">
        <f>IFERROR(C55/C52,"-")</f>
        <v>0.41132774853584397</v>
      </c>
      <c r="D56" s="198">
        <f t="shared" ref="D56:L56" si="19">IFERROR(D55/D52,"-")</f>
        <v>0.4104786455793214</v>
      </c>
      <c r="E56" s="198">
        <f t="shared" si="19"/>
        <v>0.59052966498221982</v>
      </c>
      <c r="F56" s="198">
        <f t="shared" si="19"/>
        <v>0.59847501622323174</v>
      </c>
      <c r="G56" s="198">
        <f t="shared" si="19"/>
        <v>0.44636095919225921</v>
      </c>
      <c r="H56" s="198">
        <f t="shared" si="19"/>
        <v>0.59051639808474499</v>
      </c>
      <c r="I56" s="198">
        <f t="shared" si="19"/>
        <v>0.58735663325205456</v>
      </c>
      <c r="J56" s="198">
        <f t="shared" si="19"/>
        <v>0.58359050937448154</v>
      </c>
      <c r="K56" s="198">
        <f t="shared" si="19"/>
        <v>0.72589149649497109</v>
      </c>
      <c r="L56" s="198">
        <f t="shared" si="19"/>
        <v>0.66645981308411206</v>
      </c>
      <c r="N56" s="242"/>
    </row>
    <row r="57" spans="1:14" outlineLevel="1" x14ac:dyDescent="0.3">
      <c r="B57" s="202"/>
      <c r="C57" s="196"/>
      <c r="D57" s="196"/>
      <c r="E57" s="196"/>
      <c r="F57" s="196"/>
      <c r="G57" s="196"/>
      <c r="H57" s="196"/>
      <c r="I57" s="196"/>
      <c r="J57" s="196"/>
      <c r="K57" s="196"/>
      <c r="L57" s="196"/>
    </row>
    <row r="58" spans="1:14" outlineLevel="1" x14ac:dyDescent="0.3">
      <c r="B58" s="203" t="s">
        <v>76</v>
      </c>
      <c r="C58" s="199">
        <f>IFERROR(IF(C52&gt;C55,1-C56,0),"-")</f>
        <v>0.58867225146415603</v>
      </c>
      <c r="D58" s="199">
        <f t="shared" ref="D58:L58" si="20">IFERROR(IF(D52&gt;D55,1-D56,0),"-")</f>
        <v>0.58952135442067854</v>
      </c>
      <c r="E58" s="199">
        <f t="shared" si="20"/>
        <v>0.40947033501778018</v>
      </c>
      <c r="F58" s="199">
        <f>IFERROR(IF(F52&gt;F55,1-F56,0),"-")</f>
        <v>0.40152498377676826</v>
      </c>
      <c r="G58" s="199">
        <f t="shared" si="20"/>
        <v>0.55363904080774073</v>
      </c>
      <c r="H58" s="199">
        <f t="shared" si="20"/>
        <v>0.40948360191525501</v>
      </c>
      <c r="I58" s="199">
        <f t="shared" si="20"/>
        <v>0.41264336674794544</v>
      </c>
      <c r="J58" s="199">
        <f t="shared" si="20"/>
        <v>0.41640949062551846</v>
      </c>
      <c r="K58" s="199">
        <f t="shared" si="20"/>
        <v>0.27410850350502891</v>
      </c>
      <c r="L58" s="199">
        <f t="shared" si="20"/>
        <v>0.33354018691588794</v>
      </c>
    </row>
    <row r="59" spans="1:14" outlineLevel="1" x14ac:dyDescent="0.3">
      <c r="B59" s="20"/>
      <c r="C59" s="37"/>
      <c r="D59" s="37"/>
      <c r="E59" s="37"/>
      <c r="F59" s="37"/>
      <c r="G59" s="37"/>
      <c r="H59" s="37"/>
      <c r="I59" s="37"/>
      <c r="J59" s="37"/>
      <c r="K59" s="37"/>
      <c r="L59" s="37"/>
    </row>
    <row r="60" spans="1:14" ht="7.8" customHeight="1" outlineLevel="1" x14ac:dyDescent="0.3">
      <c r="B60" s="186"/>
      <c r="C60" s="187"/>
      <c r="D60" s="187"/>
      <c r="E60" s="187"/>
      <c r="F60" s="187"/>
      <c r="G60" s="187"/>
      <c r="H60" s="187"/>
      <c r="I60" s="187"/>
      <c r="J60" s="187"/>
      <c r="K60" s="187"/>
      <c r="L60" s="187"/>
      <c r="M60" s="121"/>
    </row>
    <row r="61" spans="1:14" ht="7.8" customHeight="1" outlineLevel="1" x14ac:dyDescent="0.3">
      <c r="B61"/>
      <c r="C61"/>
      <c r="D61"/>
      <c r="E61"/>
      <c r="F61"/>
      <c r="G61"/>
      <c r="H61"/>
      <c r="I61"/>
      <c r="J61"/>
      <c r="K61"/>
      <c r="L61"/>
    </row>
    <row r="62" spans="1:14" x14ac:dyDescent="0.3">
      <c r="C62" s="26"/>
    </row>
    <row r="63" spans="1:14" x14ac:dyDescent="0.3">
      <c r="A63" s="2" t="s">
        <v>57</v>
      </c>
      <c r="B63" s="17" t="s">
        <v>77</v>
      </c>
      <c r="C63" s="18"/>
      <c r="D63" s="18"/>
      <c r="E63" s="18"/>
      <c r="F63" s="18"/>
      <c r="G63" s="18"/>
      <c r="H63" s="18"/>
      <c r="I63" s="19"/>
      <c r="J63" s="18"/>
      <c r="K63" s="18"/>
      <c r="L63" s="18"/>
    </row>
    <row r="64" spans="1:14" outlineLevel="1" x14ac:dyDescent="0.3">
      <c r="B64" t="s">
        <v>10</v>
      </c>
      <c r="C64" s="145">
        <f>IFERROR('Data Sheet'!B57,"-")</f>
        <v>1144</v>
      </c>
      <c r="D64" s="145">
        <f>IFERROR('Data Sheet'!C57,"-")</f>
        <v>1144</v>
      </c>
      <c r="E64" s="145">
        <f>IFERROR('Data Sheet'!D57,"-")</f>
        <v>1088</v>
      </c>
      <c r="F64" s="145">
        <f>IFERROR('Data Sheet'!E57,"-")</f>
        <v>2170</v>
      </c>
      <c r="G64" s="145">
        <f>IFERROR('Data Sheet'!F57,"-")</f>
        <v>2122</v>
      </c>
      <c r="H64" s="145">
        <f>IFERROR('Data Sheet'!G57,"-")</f>
        <v>2124</v>
      </c>
      <c r="I64" s="145">
        <f>IFERROR('Data Sheet'!H57,"-")</f>
        <v>2098</v>
      </c>
      <c r="J64" s="145">
        <f>IFERROR('Data Sheet'!I57,"-")</f>
        <v>2069</v>
      </c>
      <c r="K64" s="145">
        <f>IFERROR('Data Sheet'!J57,"-")</f>
        <v>2071</v>
      </c>
      <c r="L64" s="145">
        <f>IFERROR('Data Sheet'!K57,"-")</f>
        <v>2073</v>
      </c>
    </row>
    <row r="65" spans="2:12" outlineLevel="1" x14ac:dyDescent="0.3">
      <c r="B65" t="s">
        <v>11</v>
      </c>
      <c r="C65" s="145">
        <f>IFERROR('Data Sheet'!B58,"-")</f>
        <v>60600</v>
      </c>
      <c r="D65" s="145">
        <f>IFERROR('Data Sheet'!C58,"-")</f>
        <v>67838</v>
      </c>
      <c r="E65" s="145">
        <f>IFERROR('Data Sheet'!D58,"-")</f>
        <v>63835</v>
      </c>
      <c r="F65" s="145">
        <f>IFERROR('Data Sheet'!E58,"-")</f>
        <v>62778</v>
      </c>
      <c r="G65" s="145">
        <f>IFERROR('Data Sheet'!F58,"-")</f>
        <v>63328</v>
      </c>
      <c r="H65" s="145">
        <f>IFERROR('Data Sheet'!G58,"-")</f>
        <v>74227</v>
      </c>
      <c r="I65" s="145">
        <f>IFERROR('Data Sheet'!H58,"-")</f>
        <v>73252</v>
      </c>
      <c r="J65" s="145">
        <f>IFERROR('Data Sheet'!I58,"-")</f>
        <v>73338</v>
      </c>
      <c r="K65" s="145">
        <f>IFERROR('Data Sheet'!J58,"-")</f>
        <v>86045</v>
      </c>
      <c r="L65" s="145">
        <f>IFERROR('Data Sheet'!K58,"-")</f>
        <v>93745</v>
      </c>
    </row>
    <row r="66" spans="2:12" outlineLevel="1" x14ac:dyDescent="0.3">
      <c r="B66" t="s">
        <v>36</v>
      </c>
      <c r="C66" s="145">
        <f>IFERROR('Data Sheet'!B59,"-")</f>
        <v>0</v>
      </c>
      <c r="D66" s="145">
        <f>IFERROR('Data Sheet'!C59,"-")</f>
        <v>0</v>
      </c>
      <c r="E66" s="145">
        <f>IFERROR('Data Sheet'!D59,"-")</f>
        <v>0</v>
      </c>
      <c r="F66" s="145">
        <f>IFERROR('Data Sheet'!E59,"-")</f>
        <v>0</v>
      </c>
      <c r="G66" s="145">
        <f>IFERROR('Data Sheet'!F59,"-")</f>
        <v>4633</v>
      </c>
      <c r="H66" s="145">
        <f>IFERROR('Data Sheet'!G59,"-")</f>
        <v>5325</v>
      </c>
      <c r="I66" s="145">
        <f>IFERROR('Data Sheet'!H59,"-")</f>
        <v>5474</v>
      </c>
      <c r="J66" s="145">
        <f>IFERROR('Data Sheet'!I59,"-")</f>
        <v>8299</v>
      </c>
      <c r="K66" s="145">
        <f>IFERROR('Data Sheet'!J59,"-")</f>
        <v>8359</v>
      </c>
      <c r="L66" s="145">
        <f>IFERROR('Data Sheet'!K59,"-")</f>
        <v>8227</v>
      </c>
    </row>
    <row r="67" spans="2:12" ht="15" outlineLevel="1" thickBot="1" x14ac:dyDescent="0.35">
      <c r="B67" t="s">
        <v>37</v>
      </c>
      <c r="C67" s="145">
        <f>IFERROR('Data Sheet'!B60,"-")</f>
        <v>13354</v>
      </c>
      <c r="D67" s="145">
        <f>IFERROR('Data Sheet'!C60,"-")</f>
        <v>14166</v>
      </c>
      <c r="E67" s="145">
        <f>IFERROR('Data Sheet'!D60,"-")</f>
        <v>14426</v>
      </c>
      <c r="F67" s="145">
        <f>IFERROR('Data Sheet'!E60,"-")</f>
        <v>19118</v>
      </c>
      <c r="G67" s="145">
        <f>IFERROR('Data Sheet'!F60,"-")</f>
        <v>21717</v>
      </c>
      <c r="H67" s="145">
        <f>IFERROR('Data Sheet'!G60,"-")</f>
        <v>25835</v>
      </c>
      <c r="I67" s="145">
        <f>IFERROR('Data Sheet'!H60,"-")</f>
        <v>35905</v>
      </c>
      <c r="J67" s="145">
        <f>IFERROR('Data Sheet'!I60,"-")</f>
        <v>40890</v>
      </c>
      <c r="K67" s="145">
        <f>IFERROR('Data Sheet'!J60,"-")</f>
        <v>40885</v>
      </c>
      <c r="L67" s="145">
        <f>IFERROR('Data Sheet'!K60,"-")</f>
        <v>43750</v>
      </c>
    </row>
    <row r="68" spans="2:12" ht="15" outlineLevel="1" thickBot="1" x14ac:dyDescent="0.35">
      <c r="B68" s="103" t="s">
        <v>78</v>
      </c>
      <c r="C68" s="147">
        <f>IFERROR('Data Sheet'!B61,"-")</f>
        <v>75098</v>
      </c>
      <c r="D68" s="147">
        <f>IFERROR('Data Sheet'!C61,"-")</f>
        <v>83148</v>
      </c>
      <c r="E68" s="147">
        <f>IFERROR('Data Sheet'!D61,"-")</f>
        <v>79349</v>
      </c>
      <c r="F68" s="147">
        <f>IFERROR('Data Sheet'!E61,"-")</f>
        <v>84066</v>
      </c>
      <c r="G68" s="147">
        <f>IFERROR('Data Sheet'!F61,"-")</f>
        <v>91800</v>
      </c>
      <c r="H68" s="147">
        <f>IFERROR('Data Sheet'!G61,"-")</f>
        <v>107511</v>
      </c>
      <c r="I68" s="147">
        <f>IFERROR('Data Sheet'!H61,"-")</f>
        <v>116729</v>
      </c>
      <c r="J68" s="147">
        <f>IFERROR('Data Sheet'!I61,"-")</f>
        <v>124596</v>
      </c>
      <c r="K68" s="147">
        <f>IFERROR('Data Sheet'!J61,"-")</f>
        <v>137360</v>
      </c>
      <c r="L68" s="147">
        <f>IFERROR('Data Sheet'!K61,"-")</f>
        <v>147795</v>
      </c>
    </row>
    <row r="69" spans="2:12" ht="15" outlineLevel="1" thickTop="1" x14ac:dyDescent="0.3">
      <c r="B69"/>
      <c r="C69"/>
      <c r="D69"/>
      <c r="E69"/>
      <c r="F69"/>
      <c r="G69"/>
      <c r="H69"/>
      <c r="I69"/>
      <c r="J69"/>
      <c r="K69"/>
      <c r="L69"/>
    </row>
    <row r="70" spans="2:12" outlineLevel="1" x14ac:dyDescent="0.3">
      <c r="B70" t="s">
        <v>79</v>
      </c>
      <c r="C70" s="145">
        <f>IFERROR('Data Sheet'!B62,"-")</f>
        <v>13386</v>
      </c>
      <c r="D70" s="145">
        <f>IFERROR('Data Sheet'!C62,"-")</f>
        <v>14179</v>
      </c>
      <c r="E70" s="145">
        <f>IFERROR('Data Sheet'!D62,"-")</f>
        <v>12574</v>
      </c>
      <c r="F70" s="145">
        <f>IFERROR('Data Sheet'!E62,"-")</f>
        <v>15710</v>
      </c>
      <c r="G70" s="145">
        <f>IFERROR('Data Sheet'!F62,"-")</f>
        <v>23789</v>
      </c>
      <c r="H70" s="145">
        <f>IFERROR('Data Sheet'!G62,"-")</f>
        <v>25505</v>
      </c>
      <c r="I70" s="145">
        <f>IFERROR('Data Sheet'!H62,"-")</f>
        <v>25800</v>
      </c>
      <c r="J70" s="145">
        <f>IFERROR('Data Sheet'!I62,"-")</f>
        <v>29225</v>
      </c>
      <c r="K70" s="145">
        <f>IFERROR('Data Sheet'!J62,"-")</f>
        <v>27622</v>
      </c>
      <c r="L70" s="145">
        <f>IFERROR('Data Sheet'!K62,"-")</f>
        <v>30961</v>
      </c>
    </row>
    <row r="71" spans="2:12" outlineLevel="1" x14ac:dyDescent="0.3">
      <c r="B71" t="s">
        <v>14</v>
      </c>
      <c r="C71" s="145">
        <f>IFERROR('Data Sheet'!B63,"-")</f>
        <v>960</v>
      </c>
      <c r="D71" s="145">
        <f>IFERROR('Data Sheet'!C63,"-")</f>
        <v>1365</v>
      </c>
      <c r="E71" s="145">
        <f>IFERROR('Data Sheet'!D63,"-")</f>
        <v>1606</v>
      </c>
      <c r="F71" s="145">
        <f>IFERROR('Data Sheet'!E63,"-")</f>
        <v>1388</v>
      </c>
      <c r="G71" s="145">
        <f>IFERROR('Data Sheet'!F63,"-")</f>
        <v>954</v>
      </c>
      <c r="H71" s="145">
        <f>IFERROR('Data Sheet'!G63,"-")</f>
        <v>922</v>
      </c>
      <c r="I71" s="145">
        <f>IFERROR('Data Sheet'!H63,"-")</f>
        <v>416</v>
      </c>
      <c r="J71" s="145">
        <f>IFERROR('Data Sheet'!I63,"-")</f>
        <v>288</v>
      </c>
      <c r="K71" s="145">
        <f>IFERROR('Data Sheet'!J63,"-")</f>
        <v>293</v>
      </c>
      <c r="L71" s="145">
        <f>IFERROR('Data Sheet'!K63,"-")</f>
        <v>814</v>
      </c>
    </row>
    <row r="72" spans="2:12" ht="15" outlineLevel="1" thickBot="1" x14ac:dyDescent="0.35">
      <c r="B72" t="s">
        <v>15</v>
      </c>
      <c r="C72" s="145">
        <f>IFERROR('Data Sheet'!B64,"-")</f>
        <v>1892</v>
      </c>
      <c r="D72" s="145">
        <f>IFERROR('Data Sheet'!C64,"-")</f>
        <v>16423</v>
      </c>
      <c r="E72" s="145">
        <f>IFERROR('Data Sheet'!D64,"-")</f>
        <v>12163</v>
      </c>
      <c r="F72" s="145">
        <f>IFERROR('Data Sheet'!E64,"-")</f>
        <v>11261</v>
      </c>
      <c r="G72" s="145">
        <f>IFERROR('Data Sheet'!F64,"-")</f>
        <v>8792</v>
      </c>
      <c r="H72" s="145">
        <f>IFERROR('Data Sheet'!G64,"-")</f>
        <v>14205</v>
      </c>
      <c r="I72" s="145">
        <f>IFERROR('Data Sheet'!H64,"-")</f>
        <v>20324</v>
      </c>
      <c r="J72" s="145">
        <f>IFERROR('Data Sheet'!I64,"-")</f>
        <v>19478</v>
      </c>
      <c r="K72" s="145">
        <f>IFERROR('Data Sheet'!J64,"-")</f>
        <v>24623</v>
      </c>
      <c r="L72" s="145">
        <f>IFERROR('Data Sheet'!K64,"-")</f>
        <v>23541</v>
      </c>
    </row>
    <row r="73" spans="2:12" outlineLevel="1" x14ac:dyDescent="0.3">
      <c r="B73" s="39" t="s">
        <v>80</v>
      </c>
      <c r="C73" s="144">
        <f>IFERROR(SUM(C70:C72),"-")</f>
        <v>16238</v>
      </c>
      <c r="D73" s="144">
        <f t="shared" ref="D73:L73" si="21">IFERROR(SUM(D70:D72),"-")</f>
        <v>31967</v>
      </c>
      <c r="E73" s="144">
        <f t="shared" si="21"/>
        <v>26343</v>
      </c>
      <c r="F73" s="144">
        <f t="shared" si="21"/>
        <v>28359</v>
      </c>
      <c r="G73" s="144">
        <f t="shared" si="21"/>
        <v>33535</v>
      </c>
      <c r="H73" s="144">
        <f t="shared" si="21"/>
        <v>40632</v>
      </c>
      <c r="I73" s="144">
        <f t="shared" si="21"/>
        <v>46540</v>
      </c>
      <c r="J73" s="144">
        <f t="shared" si="21"/>
        <v>48991</v>
      </c>
      <c r="K73" s="144">
        <f t="shared" si="21"/>
        <v>52538</v>
      </c>
      <c r="L73" s="144">
        <f t="shared" si="21"/>
        <v>55316</v>
      </c>
    </row>
    <row r="74" spans="2:12" outlineLevel="1" x14ac:dyDescent="0.3">
      <c r="B74" s="2"/>
      <c r="C74" s="148"/>
      <c r="D74" s="148"/>
      <c r="E74" s="148"/>
      <c r="F74" s="148"/>
      <c r="G74" s="148"/>
      <c r="H74" s="148"/>
      <c r="I74" s="148"/>
      <c r="J74" s="148"/>
      <c r="K74" s="148"/>
      <c r="L74" s="148"/>
    </row>
    <row r="75" spans="2:12" outlineLevel="1" x14ac:dyDescent="0.3">
      <c r="B75" t="s">
        <v>43</v>
      </c>
      <c r="C75" s="145">
        <f>IFERROR('Data Sheet'!B67,"-")</f>
        <v>11330</v>
      </c>
      <c r="D75" s="145">
        <f>IFERROR('Data Sheet'!C67,"-")</f>
        <v>12322</v>
      </c>
      <c r="E75" s="145">
        <f>IFERROR('Data Sheet'!D67,"-")</f>
        <v>13142</v>
      </c>
      <c r="F75" s="145">
        <f>IFERROR('Data Sheet'!E67,"-")</f>
        <v>14827</v>
      </c>
      <c r="G75" s="145">
        <f>IFERROR('Data Sheet'!F67,"-")</f>
        <v>18487</v>
      </c>
      <c r="H75" s="145">
        <f>IFERROR('Data Sheet'!G67,"-")</f>
        <v>19294</v>
      </c>
      <c r="I75" s="145">
        <f>IFERROR('Data Sheet'!H67,"-")</f>
        <v>22698</v>
      </c>
      <c r="J75" s="145">
        <f>IFERROR('Data Sheet'!I67,"-")</f>
        <v>25424</v>
      </c>
      <c r="K75" s="145">
        <f>IFERROR('Data Sheet'!J67,"-")</f>
        <v>30193</v>
      </c>
      <c r="L75" s="145">
        <f>IFERROR('Data Sheet'!K67,"-")</f>
        <v>31158</v>
      </c>
    </row>
    <row r="76" spans="2:12" outlineLevel="1" x14ac:dyDescent="0.3">
      <c r="B76" t="s">
        <v>29</v>
      </c>
      <c r="C76" s="145">
        <f>IFERROR('Data Sheet'!B68,"-")</f>
        <v>0</v>
      </c>
      <c r="D76" s="145">
        <f>IFERROR('Data Sheet'!C68,"-")</f>
        <v>0</v>
      </c>
      <c r="E76" s="145">
        <f>IFERROR('Data Sheet'!D68,"-")</f>
        <v>0</v>
      </c>
      <c r="F76" s="145">
        <f>IFERROR('Data Sheet'!E68,"-")</f>
        <v>0</v>
      </c>
      <c r="G76" s="145">
        <f>IFERROR('Data Sheet'!F68,"-")</f>
        <v>0</v>
      </c>
      <c r="H76" s="145">
        <f>IFERROR('Data Sheet'!G68,"-")</f>
        <v>0</v>
      </c>
      <c r="I76" s="145">
        <f>IFERROR('Data Sheet'!H68,"-")</f>
        <v>0</v>
      </c>
      <c r="J76" s="145">
        <f>IFERROR('Data Sheet'!I68,"-")</f>
        <v>0</v>
      </c>
      <c r="K76" s="145">
        <f>IFERROR('Data Sheet'!J68,"-")</f>
        <v>0</v>
      </c>
      <c r="L76" s="145">
        <f>IFERROR('Data Sheet'!K68,"-")</f>
        <v>0</v>
      </c>
    </row>
    <row r="77" spans="2:12" outlineLevel="1" x14ac:dyDescent="0.3">
      <c r="B77" t="s">
        <v>52</v>
      </c>
      <c r="C77" s="145">
        <f>IFERROR('Data Sheet'!B69,"-")</f>
        <v>32697</v>
      </c>
      <c r="D77" s="145">
        <f>IFERROR('Data Sheet'!C69,"-")</f>
        <v>22625</v>
      </c>
      <c r="E77" s="145">
        <f>IFERROR('Data Sheet'!D69,"-")</f>
        <v>19818</v>
      </c>
      <c r="F77" s="145">
        <f>IFERROR('Data Sheet'!E69,"-")</f>
        <v>19568</v>
      </c>
      <c r="G77" s="145">
        <f>IFERROR('Data Sheet'!F69,"-")</f>
        <v>18649</v>
      </c>
      <c r="H77" s="145">
        <f>IFERROR('Data Sheet'!G69,"-")</f>
        <v>24714</v>
      </c>
      <c r="I77" s="145">
        <f>IFERROR('Data Sheet'!H69,"-")</f>
        <v>17472</v>
      </c>
      <c r="J77" s="145">
        <f>IFERROR('Data Sheet'!I69,"-")</f>
        <v>12173</v>
      </c>
      <c r="K77" s="145">
        <f>IFERROR('Data Sheet'!J69,"-")</f>
        <v>14786</v>
      </c>
      <c r="L77" s="145">
        <f>IFERROR('Data Sheet'!K69,"-")</f>
        <v>24455</v>
      </c>
    </row>
    <row r="78" spans="2:12" ht="15" outlineLevel="1" thickBot="1" x14ac:dyDescent="0.35">
      <c r="B78" t="s">
        <v>38</v>
      </c>
      <c r="C78" s="145">
        <f>IFERROR('Data Sheet'!B65-('Data Sheet'!B67+'Data Sheet'!B68+'Data Sheet'!B69),"-")</f>
        <v>14833</v>
      </c>
      <c r="D78" s="145">
        <f>IFERROR('Data Sheet'!C65-('Data Sheet'!C67+'Data Sheet'!C68+'Data Sheet'!C69),"-")</f>
        <v>16234</v>
      </c>
      <c r="E78" s="145">
        <f>IFERROR('Data Sheet'!D65-('Data Sheet'!D67+'Data Sheet'!D68+'Data Sheet'!D69),"-")</f>
        <v>20046</v>
      </c>
      <c r="F78" s="145">
        <f>IFERROR('Data Sheet'!E65-('Data Sheet'!E67+'Data Sheet'!E68+'Data Sheet'!E69),"-")</f>
        <v>21312</v>
      </c>
      <c r="G78" s="145">
        <f>IFERROR('Data Sheet'!F65-('Data Sheet'!F67+'Data Sheet'!F68+'Data Sheet'!F69),"-")</f>
        <v>21129</v>
      </c>
      <c r="H78" s="145">
        <f>IFERROR('Data Sheet'!G65-('Data Sheet'!G67+'Data Sheet'!G68+'Data Sheet'!G69),"-")</f>
        <v>22871</v>
      </c>
      <c r="I78" s="145">
        <f>IFERROR('Data Sheet'!H65-('Data Sheet'!H67+'Data Sheet'!H68+'Data Sheet'!H69),"-")</f>
        <v>30019</v>
      </c>
      <c r="J78" s="145">
        <f>IFERROR('Data Sheet'!I65-('Data Sheet'!I67+'Data Sheet'!I68+'Data Sheet'!I69),"-")</f>
        <v>38008</v>
      </c>
      <c r="K78" s="145">
        <f>IFERROR('Data Sheet'!J65-('Data Sheet'!J67+'Data Sheet'!J68+'Data Sheet'!J69),"-")</f>
        <v>39843</v>
      </c>
      <c r="L78" s="145">
        <f>IFERROR('Data Sheet'!K65-('Data Sheet'!K67+'Data Sheet'!K68+'Data Sheet'!K69),"-")</f>
        <v>36866</v>
      </c>
    </row>
    <row r="79" spans="2:12" outlineLevel="1" x14ac:dyDescent="0.3">
      <c r="B79" s="39" t="s">
        <v>81</v>
      </c>
      <c r="C79" s="144">
        <f>IFERROR(SUM(C75:C78),"-")</f>
        <v>58860</v>
      </c>
      <c r="D79" s="144">
        <f t="shared" ref="D79:K79" si="22">IFERROR(SUM(D75:D78),"-")</f>
        <v>51181</v>
      </c>
      <c r="E79" s="144">
        <f t="shared" si="22"/>
        <v>53006</v>
      </c>
      <c r="F79" s="144">
        <f t="shared" si="22"/>
        <v>55707</v>
      </c>
      <c r="G79" s="144">
        <f t="shared" si="22"/>
        <v>58265</v>
      </c>
      <c r="H79" s="144">
        <f t="shared" si="22"/>
        <v>66879</v>
      </c>
      <c r="I79" s="144">
        <f t="shared" si="22"/>
        <v>70189</v>
      </c>
      <c r="J79" s="144">
        <f t="shared" si="22"/>
        <v>75605</v>
      </c>
      <c r="K79" s="144">
        <f t="shared" si="22"/>
        <v>84822</v>
      </c>
      <c r="L79" s="144">
        <f>IFERROR(SUM(L75:L78),"-")</f>
        <v>92479</v>
      </c>
    </row>
    <row r="80" spans="2:12" ht="15" outlineLevel="1" thickBot="1" x14ac:dyDescent="0.35">
      <c r="B80"/>
      <c r="C80" s="27"/>
      <c r="D80"/>
      <c r="E80"/>
      <c r="F80"/>
      <c r="G80"/>
      <c r="H80"/>
      <c r="I80"/>
      <c r="J80"/>
      <c r="K80"/>
      <c r="L80"/>
    </row>
    <row r="81" spans="1:12" ht="15" outlineLevel="1" thickBot="1" x14ac:dyDescent="0.35">
      <c r="B81" s="103" t="s">
        <v>82</v>
      </c>
      <c r="C81" s="147">
        <f>IFERROR(SUM(C73,C79),"-")</f>
        <v>75098</v>
      </c>
      <c r="D81" s="147">
        <f t="shared" ref="D81:L81" si="23">IFERROR(SUM(D73,D79),"-")</f>
        <v>83148</v>
      </c>
      <c r="E81" s="147">
        <f t="shared" si="23"/>
        <v>79349</v>
      </c>
      <c r="F81" s="147">
        <f t="shared" si="23"/>
        <v>84066</v>
      </c>
      <c r="G81" s="147">
        <f t="shared" si="23"/>
        <v>91800</v>
      </c>
      <c r="H81" s="147">
        <f t="shared" si="23"/>
        <v>107511</v>
      </c>
      <c r="I81" s="147">
        <f t="shared" si="23"/>
        <v>116729</v>
      </c>
      <c r="J81" s="147">
        <f t="shared" si="23"/>
        <v>124596</v>
      </c>
      <c r="K81" s="147">
        <f t="shared" si="23"/>
        <v>137360</v>
      </c>
      <c r="L81" s="147">
        <f t="shared" si="23"/>
        <v>147795</v>
      </c>
    </row>
    <row r="82" spans="1:12" ht="15" outlineLevel="1" thickTop="1" x14ac:dyDescent="0.3">
      <c r="B82"/>
      <c r="C82"/>
      <c r="D82"/>
      <c r="E82"/>
      <c r="F82"/>
      <c r="G82"/>
      <c r="H82"/>
      <c r="I82"/>
      <c r="J82"/>
      <c r="K82"/>
      <c r="L82"/>
    </row>
    <row r="83" spans="1:12" outlineLevel="1" x14ac:dyDescent="0.3">
      <c r="B83" s="64" t="s">
        <v>83</v>
      </c>
      <c r="C83" s="64" t="b">
        <f t="shared" ref="C83:L83" si="24">C81=C68</f>
        <v>1</v>
      </c>
      <c r="D83" s="64" t="b">
        <f t="shared" si="24"/>
        <v>1</v>
      </c>
      <c r="E83" s="64" t="b">
        <f t="shared" si="24"/>
        <v>1</v>
      </c>
      <c r="F83" s="64" t="b">
        <f t="shared" si="24"/>
        <v>1</v>
      </c>
      <c r="G83" s="64" t="b">
        <f t="shared" si="24"/>
        <v>1</v>
      </c>
      <c r="H83" s="64" t="b">
        <f t="shared" si="24"/>
        <v>1</v>
      </c>
      <c r="I83" s="64" t="b">
        <f t="shared" si="24"/>
        <v>1</v>
      </c>
      <c r="J83" s="64" t="b">
        <f t="shared" si="24"/>
        <v>1</v>
      </c>
      <c r="K83" s="64" t="b">
        <f t="shared" si="24"/>
        <v>1</v>
      </c>
      <c r="L83" s="64" t="b">
        <f t="shared" si="24"/>
        <v>1</v>
      </c>
    </row>
    <row r="84" spans="1:12" x14ac:dyDescent="0.3">
      <c r="B84"/>
      <c r="C84"/>
      <c r="D84"/>
      <c r="E84"/>
      <c r="F84"/>
      <c r="G84"/>
      <c r="H84"/>
      <c r="I84"/>
      <c r="J84"/>
      <c r="K84"/>
      <c r="L84"/>
    </row>
    <row r="85" spans="1:12" x14ac:dyDescent="0.3">
      <c r="A85" s="2" t="s">
        <v>57</v>
      </c>
      <c r="B85" s="17" t="s">
        <v>84</v>
      </c>
      <c r="C85" s="18"/>
      <c r="D85" s="18"/>
      <c r="E85" s="18"/>
      <c r="F85" s="18"/>
      <c r="G85" s="18"/>
      <c r="H85" s="18"/>
      <c r="I85" s="19"/>
      <c r="J85" s="18"/>
      <c r="K85" s="18"/>
      <c r="L85" s="18"/>
    </row>
    <row r="86" spans="1:12" outlineLevel="1" x14ac:dyDescent="0.3">
      <c r="B86" s="2" t="s">
        <v>146</v>
      </c>
      <c r="C86"/>
      <c r="D86"/>
      <c r="E86"/>
      <c r="F86"/>
      <c r="G86"/>
      <c r="H86"/>
      <c r="I86"/>
      <c r="J86"/>
      <c r="K86"/>
      <c r="L86"/>
    </row>
    <row r="87" spans="1:12" outlineLevel="1" x14ac:dyDescent="0.3">
      <c r="B87" t="s">
        <v>85</v>
      </c>
      <c r="C87" s="145">
        <f>IFERROR(SUM('Raw CF'!E4),"-")</f>
        <v>17839</v>
      </c>
      <c r="D87" s="145">
        <f>IFERROR(SUM('Raw CF'!F4),"-")</f>
        <v>19340</v>
      </c>
      <c r="E87" s="145">
        <f>IFERROR(SUM('Raw CF'!G4),"-")</f>
        <v>19963</v>
      </c>
      <c r="F87" s="145">
        <f>IFERROR(SUM('Raw CF'!H4),"-")</f>
        <v>22126</v>
      </c>
      <c r="G87" s="145">
        <f>IFERROR(SUM('Raw CF'!I4),"-")</f>
        <v>23920</v>
      </c>
      <c r="H87" s="145">
        <f>IFERROR(SUM('Raw CF'!J4),"-")</f>
        <v>28845</v>
      </c>
      <c r="I87" s="145">
        <f>IFERROR(SUM('Raw CF'!K4),"-")</f>
        <v>32921</v>
      </c>
      <c r="J87" s="145">
        <f>IFERROR(SUM('Raw CF'!L4),"-")</f>
        <v>37605</v>
      </c>
      <c r="K87" s="145">
        <f>IFERROR(SUM('Raw CF'!M4),"-")</f>
        <v>39523</v>
      </c>
      <c r="L87" s="145">
        <f>IFERROR(SUM('Raw CF'!N4),"-")</f>
        <v>41591</v>
      </c>
    </row>
    <row r="88" spans="1:12" outlineLevel="1" x14ac:dyDescent="0.3">
      <c r="B88" t="s">
        <v>43</v>
      </c>
      <c r="C88" s="145">
        <f>IFERROR(SUM('Raw CF'!E5),"-")</f>
        <v>-1654</v>
      </c>
      <c r="D88" s="145">
        <f>IFERROR(SUM('Raw CF'!F5),"-")</f>
        <v>-1743</v>
      </c>
      <c r="E88" s="145">
        <f>IFERROR(SUM('Raw CF'!G5),"-")</f>
        <v>-1523</v>
      </c>
      <c r="F88" s="145">
        <f>IFERROR(SUM('Raw CF'!H5),"-")</f>
        <v>-2881</v>
      </c>
      <c r="G88" s="145">
        <f>IFERROR(SUM('Raw CF'!I5),"-")</f>
        <v>-3861</v>
      </c>
      <c r="H88" s="145">
        <f>IFERROR(SUM('Raw CF'!J5),"-")</f>
        <v>-1835</v>
      </c>
      <c r="I88" s="145">
        <f>IFERROR(SUM('Raw CF'!K5),"-")</f>
        <v>-7937</v>
      </c>
      <c r="J88" s="145">
        <f>IFERROR(SUM('Raw CF'!L5),"-")</f>
        <v>-7076</v>
      </c>
      <c r="K88" s="145">
        <f>IFERROR(SUM('Raw CF'!M5),"-")</f>
        <v>-2667</v>
      </c>
      <c r="L88" s="145">
        <f>IFERROR(SUM('Raw CF'!N5),"-")</f>
        <v>-1769</v>
      </c>
    </row>
    <row r="89" spans="1:12" outlineLevel="1" x14ac:dyDescent="0.3">
      <c r="B89" t="s">
        <v>86</v>
      </c>
      <c r="C89" s="145">
        <f>IFERROR(SUM('Raw CF'!E6),"-")</f>
        <v>242</v>
      </c>
      <c r="D89" s="145">
        <f>IFERROR(SUM('Raw CF'!F6),"-")</f>
        <v>-19</v>
      </c>
      <c r="E89" s="145">
        <f>IFERROR(SUM('Raw CF'!G6),"-")</f>
        <v>328</v>
      </c>
      <c r="F89" s="145">
        <f>IFERROR(SUM('Raw CF'!H6),"-")</f>
        <v>916</v>
      </c>
      <c r="G89" s="145">
        <f>IFERROR(SUM('Raw CF'!I6),"-")</f>
        <v>-373</v>
      </c>
      <c r="H89" s="145">
        <f>IFERROR(SUM('Raw CF'!J6),"-")</f>
        <v>-245</v>
      </c>
      <c r="I89" s="145">
        <f>IFERROR(SUM('Raw CF'!K6),"-")</f>
        <v>1489</v>
      </c>
      <c r="J89" s="145">
        <f>IFERROR(SUM('Raw CF'!L6),"-")</f>
        <v>-279</v>
      </c>
      <c r="K89" s="145">
        <f>IFERROR(SUM('Raw CF'!M6),"-")</f>
        <v>91</v>
      </c>
      <c r="L89" s="145">
        <f>IFERROR(SUM('Raw CF'!N6),"-")</f>
        <v>176</v>
      </c>
    </row>
    <row r="90" spans="1:12" outlineLevel="1" x14ac:dyDescent="0.3">
      <c r="B90" t="s">
        <v>87</v>
      </c>
      <c r="C90" s="145">
        <f>IFERROR(SUM('Raw CF'!E7),"-")</f>
        <v>-1134</v>
      </c>
      <c r="D90" s="145">
        <f>IFERROR(SUM('Raw CF'!F7),"-")</f>
        <v>0</v>
      </c>
      <c r="E90" s="145">
        <f>IFERROR(SUM('Raw CF'!G7),"-")</f>
        <v>0</v>
      </c>
      <c r="F90" s="145">
        <f>IFERROR(SUM('Raw CF'!H7),"-")</f>
        <v>0</v>
      </c>
      <c r="G90" s="145">
        <f>IFERROR(SUM('Raw CF'!I7),"-")</f>
        <v>0</v>
      </c>
      <c r="H90" s="145">
        <f>IFERROR(SUM('Raw CF'!J7),"-")</f>
        <v>-534</v>
      </c>
      <c r="I90" s="145">
        <f>IFERROR(SUM('Raw CF'!K7),"-")</f>
        <v>-1914</v>
      </c>
      <c r="J90" s="145">
        <f>IFERROR(SUM('Raw CF'!L7),"-")</f>
        <v>-3108</v>
      </c>
      <c r="K90" s="145">
        <f>IFERROR(SUM('Raw CF'!M7),"-")</f>
        <v>-1172</v>
      </c>
      <c r="L90" s="145">
        <f>IFERROR(SUM('Raw CF'!N7),"-")</f>
        <v>-1024</v>
      </c>
    </row>
    <row r="91" spans="1:12" outlineLevel="1" x14ac:dyDescent="0.3">
      <c r="B91" t="s">
        <v>88</v>
      </c>
      <c r="C91" s="145">
        <f>IFERROR(SUM('Raw CF'!E8),"-")</f>
        <v>600</v>
      </c>
      <c r="D91" s="145">
        <f>IFERROR(SUM('Raw CF'!F8),"-")</f>
        <v>-394</v>
      </c>
      <c r="E91" s="145">
        <f>IFERROR(SUM('Raw CF'!G8),"-")</f>
        <v>1279</v>
      </c>
      <c r="F91" s="145">
        <f>IFERROR(SUM('Raw CF'!H8),"-")</f>
        <v>1512</v>
      </c>
      <c r="G91" s="145">
        <f>IFERROR(SUM('Raw CF'!I8),"-")</f>
        <v>1867</v>
      </c>
      <c r="H91" s="145">
        <f>IFERROR(SUM('Raw CF'!J8),"-")</f>
        <v>3382</v>
      </c>
      <c r="I91" s="145">
        <f>IFERROR(SUM('Raw CF'!K8),"-")</f>
        <v>6938</v>
      </c>
      <c r="J91" s="145">
        <f>IFERROR(SUM('Raw CF'!L8),"-")</f>
        <v>4119</v>
      </c>
      <c r="K91" s="145">
        <f>IFERROR(SUM('Raw CF'!M8),"-")</f>
        <v>-1334</v>
      </c>
      <c r="L91" s="145">
        <f>IFERROR(SUM('Raw CF'!N8),"-")</f>
        <v>2322</v>
      </c>
    </row>
    <row r="92" spans="1:12" outlineLevel="1" x14ac:dyDescent="0.3">
      <c r="B92" t="s">
        <v>89</v>
      </c>
      <c r="C92" s="145">
        <f>IFERROR(SUM('Raw CF'!E9),"-")</f>
        <v>-1946</v>
      </c>
      <c r="D92" s="145">
        <f>IFERROR(SUM('Raw CF'!F9),"-")</f>
        <v>-2156</v>
      </c>
      <c r="E92" s="145">
        <f>IFERROR(SUM('Raw CF'!G9),"-")</f>
        <v>84</v>
      </c>
      <c r="F92" s="145">
        <f>IFERROR(SUM('Raw CF'!H9),"-")</f>
        <v>-453</v>
      </c>
      <c r="G92" s="145">
        <f>IFERROR(SUM('Raw CF'!I9),"-")</f>
        <v>-2367</v>
      </c>
      <c r="H92" s="145">
        <f>IFERROR(SUM('Raw CF'!J9),"-")</f>
        <v>768</v>
      </c>
      <c r="I92" s="145">
        <f>IFERROR(SUM('Raw CF'!K9),"-")</f>
        <v>-1424</v>
      </c>
      <c r="J92" s="145">
        <f>IFERROR(SUM('Raw CF'!L9),"-")</f>
        <v>-6344</v>
      </c>
      <c r="K92" s="145">
        <f>IFERROR(SUM('Raw CF'!M9),"-")</f>
        <v>-5082</v>
      </c>
      <c r="L92" s="145">
        <f>IFERROR(SUM('Raw CF'!N9),"-")</f>
        <v>-295</v>
      </c>
    </row>
    <row r="93" spans="1:12" ht="15" outlineLevel="1" thickBot="1" x14ac:dyDescent="0.35">
      <c r="B93" t="s">
        <v>90</v>
      </c>
      <c r="C93" s="145">
        <f>IFERROR(SUM('Raw CF'!E10),"-")</f>
        <v>-5865</v>
      </c>
      <c r="D93" s="145">
        <f>IFERROR(SUM('Raw CF'!F10),"-")</f>
        <v>-5653</v>
      </c>
      <c r="E93" s="145">
        <f>IFERROR(SUM('Raw CF'!G10),"-")</f>
        <v>-6829</v>
      </c>
      <c r="F93" s="145">
        <f>IFERROR(SUM('Raw CF'!H10),"-")</f>
        <v>-6832</v>
      </c>
      <c r="G93" s="145">
        <f>IFERROR(SUM('Raw CF'!I10),"-")</f>
        <v>-4550</v>
      </c>
      <c r="H93" s="145">
        <f>IFERROR(SUM('Raw CF'!J10),"-")</f>
        <v>-6389</v>
      </c>
      <c r="I93" s="145">
        <f>IFERROR(SUM('Raw CF'!K10),"-")</f>
        <v>-7612</v>
      </c>
      <c r="J93" s="145">
        <f>IFERROR(SUM('Raw CF'!L10),"-")</f>
        <v>-8794</v>
      </c>
      <c r="K93" s="145">
        <f>IFERROR(SUM('Raw CF'!M10),"-")</f>
        <v>-9231</v>
      </c>
      <c r="L93" s="145">
        <f>IFERROR(SUM('Raw CF'!N10),"-")</f>
        <v>-5602</v>
      </c>
    </row>
    <row r="94" spans="1:12" outlineLevel="1" x14ac:dyDescent="0.3">
      <c r="B94" s="39" t="s">
        <v>112</v>
      </c>
      <c r="C94" s="144">
        <f>IFERROR('Raw CF'!E3,"-")</f>
        <v>10028</v>
      </c>
      <c r="D94" s="144">
        <f>IFERROR('Raw CF'!F3,"-")</f>
        <v>11531</v>
      </c>
      <c r="E94" s="144">
        <f>IFERROR('Raw CF'!G3,"-")</f>
        <v>13218</v>
      </c>
      <c r="F94" s="144">
        <f>IFERROR('Raw CF'!H3,"-")</f>
        <v>14841</v>
      </c>
      <c r="G94" s="144">
        <f>IFERROR('Raw CF'!I3,"-")</f>
        <v>17003</v>
      </c>
      <c r="H94" s="144">
        <f>IFERROR('Raw CF'!J3,"-")</f>
        <v>23224</v>
      </c>
      <c r="I94" s="144">
        <f>IFERROR('Raw CF'!K3,"-")</f>
        <v>23885</v>
      </c>
      <c r="J94" s="144">
        <f>IFERROR('Raw CF'!L3,"-")</f>
        <v>22467</v>
      </c>
      <c r="K94" s="144">
        <f>IFERROR('Raw CF'!M3,"-")</f>
        <v>25210</v>
      </c>
      <c r="L94" s="144">
        <f>IFERROR('Raw CF'!N3,"-")</f>
        <v>35694</v>
      </c>
    </row>
    <row r="95" spans="1:12" outlineLevel="1" x14ac:dyDescent="0.3">
      <c r="B95" s="2"/>
      <c r="C95" s="31"/>
      <c r="D95" s="31"/>
      <c r="E95" s="31"/>
      <c r="F95" s="31"/>
      <c r="G95" s="31"/>
      <c r="H95" s="31"/>
      <c r="I95" s="31"/>
      <c r="J95" s="31"/>
      <c r="K95" s="31"/>
      <c r="L95" s="31"/>
    </row>
    <row r="96" spans="1:12" outlineLevel="1" x14ac:dyDescent="0.3">
      <c r="B96"/>
      <c r="C96"/>
      <c r="D96"/>
      <c r="E96"/>
      <c r="F96"/>
      <c r="G96"/>
      <c r="H96"/>
      <c r="I96"/>
      <c r="J96"/>
      <c r="K96"/>
      <c r="L96"/>
    </row>
    <row r="97" spans="2:12" outlineLevel="1" x14ac:dyDescent="0.3">
      <c r="B97" s="2" t="s">
        <v>145</v>
      </c>
      <c r="C97"/>
      <c r="D97"/>
      <c r="E97"/>
      <c r="F97"/>
      <c r="G97"/>
      <c r="H97"/>
      <c r="I97"/>
      <c r="J97"/>
      <c r="K97"/>
      <c r="L97"/>
    </row>
    <row r="98" spans="2:12" outlineLevel="1" x14ac:dyDescent="0.3">
      <c r="B98" t="s">
        <v>91</v>
      </c>
      <c r="C98" s="145">
        <f>IFERROR('Raw CF'!E12,"-")</f>
        <v>-2723</v>
      </c>
      <c r="D98" s="145">
        <f>IFERROR('Raw CF'!F12,"-")</f>
        <v>-2760</v>
      </c>
      <c r="E98" s="145">
        <f>IFERROR('Raw CF'!G12,"-")</f>
        <v>-1998</v>
      </c>
      <c r="F98" s="145">
        <f>IFERROR('Raw CF'!H12,"-")</f>
        <v>-2445</v>
      </c>
      <c r="G98" s="145">
        <f>IFERROR('Raw CF'!I12,"-")</f>
        <v>-3307</v>
      </c>
      <c r="H98" s="145">
        <f>IFERROR('Raw CF'!J12,"-")</f>
        <v>-2107</v>
      </c>
      <c r="I98" s="145">
        <f>IFERROR('Raw CF'!K12,"-")</f>
        <v>-2161</v>
      </c>
      <c r="J98" s="145">
        <f>IFERROR('Raw CF'!L12,"-")</f>
        <v>-2579</v>
      </c>
      <c r="K98" s="145">
        <f>IFERROR('Raw CF'!M12,"-")</f>
        <v>-2201</v>
      </c>
      <c r="L98" s="145">
        <f>IFERROR('Raw CF'!N12,"-")</f>
        <v>-2237</v>
      </c>
    </row>
    <row r="99" spans="2:12" outlineLevel="1" x14ac:dyDescent="0.3">
      <c r="B99" t="s">
        <v>92</v>
      </c>
      <c r="C99" s="145">
        <f>IFERROR('Raw CF'!E13,"-")</f>
        <v>0</v>
      </c>
      <c r="D99" s="145">
        <f>IFERROR('Raw CF'!F13,"-")</f>
        <v>0</v>
      </c>
      <c r="E99" s="145">
        <f>IFERROR('Raw CF'!G13,"-")</f>
        <v>0</v>
      </c>
      <c r="F99" s="145">
        <f>IFERROR('Raw CF'!H13,"-")</f>
        <v>0</v>
      </c>
      <c r="G99" s="145">
        <f>IFERROR('Raw CF'!I13,"-")</f>
        <v>0</v>
      </c>
      <c r="H99" s="145">
        <f>IFERROR('Raw CF'!J13,"-")</f>
        <v>0</v>
      </c>
      <c r="I99" s="145">
        <f>IFERROR('Raw CF'!K13,"-")</f>
        <v>0</v>
      </c>
      <c r="J99" s="145">
        <f>IFERROR('Raw CF'!L13,"-")</f>
        <v>0</v>
      </c>
      <c r="K99" s="145">
        <f>IFERROR('Raw CF'!M13,"-")</f>
        <v>0</v>
      </c>
      <c r="L99" s="145">
        <f>IFERROR('Raw CF'!N13,"-")</f>
        <v>0</v>
      </c>
    </row>
    <row r="100" spans="2:12" outlineLevel="1" x14ac:dyDescent="0.3">
      <c r="B100" t="s">
        <v>93</v>
      </c>
      <c r="C100" s="145">
        <f>IFERROR('Raw CF'!E14,"-")</f>
        <v>-24577</v>
      </c>
      <c r="D100" s="145">
        <f>IFERROR('Raw CF'!F14,"-")</f>
        <v>-66410</v>
      </c>
      <c r="E100" s="145">
        <f>IFERROR('Raw CF'!G14,"-")</f>
        <v>-69159</v>
      </c>
      <c r="F100" s="145">
        <f>IFERROR('Raw CF'!H14,"-")</f>
        <v>-79410</v>
      </c>
      <c r="G100" s="145">
        <f>IFERROR('Raw CF'!I14,"-")</f>
        <v>-37482</v>
      </c>
      <c r="H100" s="145">
        <f>IFERROR('Raw CF'!J14,"-")</f>
        <v>-46738</v>
      </c>
      <c r="I100" s="145">
        <f>IFERROR('Raw CF'!K14,"-")</f>
        <v>-59951</v>
      </c>
      <c r="J100" s="145">
        <f>IFERROR('Raw CF'!L14,"-")</f>
        <v>-75800</v>
      </c>
      <c r="K100" s="145">
        <f>IFERROR('Raw CF'!M14,"-")</f>
        <v>-78118</v>
      </c>
      <c r="L100" s="145">
        <f>IFERROR('Raw CF'!N14,"-")</f>
        <v>-82753</v>
      </c>
    </row>
    <row r="101" spans="2:12" outlineLevel="1" x14ac:dyDescent="0.3">
      <c r="B101" t="s">
        <v>94</v>
      </c>
      <c r="C101" s="145">
        <f>IFERROR('Raw CF'!E15,"-")</f>
        <v>24980</v>
      </c>
      <c r="D101" s="145">
        <f>IFERROR('Raw CF'!F15,"-")</f>
        <v>52048</v>
      </c>
      <c r="E101" s="145">
        <f>IFERROR('Raw CF'!G15,"-")</f>
        <v>74003</v>
      </c>
      <c r="F101" s="145">
        <f>IFERROR('Raw CF'!H15,"-")</f>
        <v>78098</v>
      </c>
      <c r="G101" s="145">
        <f>IFERROR('Raw CF'!I15,"-")</f>
        <v>38861</v>
      </c>
      <c r="H101" s="145">
        <f>IFERROR('Raw CF'!J15,"-")</f>
        <v>40381</v>
      </c>
      <c r="I101" s="145">
        <f>IFERROR('Raw CF'!K15,"-")</f>
        <v>57356</v>
      </c>
      <c r="J101" s="145">
        <f>IFERROR('Raw CF'!L15,"-")</f>
        <v>76722</v>
      </c>
      <c r="K101" s="145">
        <f>IFERROR('Raw CF'!M15,"-")</f>
        <v>72956</v>
      </c>
      <c r="L101" s="145">
        <f>IFERROR('Raw CF'!N15,"-")</f>
        <v>84888</v>
      </c>
    </row>
    <row r="102" spans="2:12" outlineLevel="1" x14ac:dyDescent="0.3">
      <c r="B102" t="s">
        <v>95</v>
      </c>
      <c r="C102" s="145">
        <f>IFERROR('Raw CF'!E16,"-")</f>
        <v>2383</v>
      </c>
      <c r="D102" s="145">
        <f>IFERROR('Raw CF'!F16,"-")</f>
        <v>0</v>
      </c>
      <c r="E102" s="145">
        <f>IFERROR('Raw CF'!G16,"-")</f>
        <v>0</v>
      </c>
      <c r="F102" s="145">
        <f>IFERROR('Raw CF'!H16,"-")</f>
        <v>0</v>
      </c>
      <c r="G102" s="145">
        <f>IFERROR('Raw CF'!I16,"-")</f>
        <v>0</v>
      </c>
      <c r="H102" s="145">
        <f>IFERROR('Raw CF'!J16,"-")</f>
        <v>0</v>
      </c>
      <c r="I102" s="145">
        <f>IFERROR('Raw CF'!K16,"-")</f>
        <v>0</v>
      </c>
      <c r="J102" s="145">
        <f>IFERROR('Raw CF'!L16,"-")</f>
        <v>0</v>
      </c>
      <c r="K102" s="145">
        <f>IFERROR('Raw CF'!M16,"-")</f>
        <v>0</v>
      </c>
      <c r="L102" s="145">
        <f>IFERROR('Raw CF'!N16,"-")</f>
        <v>0</v>
      </c>
    </row>
    <row r="103" spans="2:12" outlineLevel="1" x14ac:dyDescent="0.3">
      <c r="B103" t="s">
        <v>96</v>
      </c>
      <c r="C103" s="145">
        <f>IFERROR('Raw CF'!E17,"-")</f>
        <v>0</v>
      </c>
      <c r="D103" s="145">
        <f>IFERROR('Raw CF'!F17,"-")</f>
        <v>2753</v>
      </c>
      <c r="E103" s="145">
        <f>IFERROR('Raw CF'!G17,"-")</f>
        <v>1768</v>
      </c>
      <c r="F103" s="145">
        <f>IFERROR('Raw CF'!H17,"-")</f>
        <v>1557</v>
      </c>
      <c r="G103" s="145">
        <f>IFERROR('Raw CF'!I17,"-")</f>
        <v>1929</v>
      </c>
      <c r="H103" s="145">
        <f>IFERROR('Raw CF'!J17,"-")</f>
        <v>1418</v>
      </c>
      <c r="I103" s="145">
        <f>IFERROR('Raw CF'!K17,"-")</f>
        <v>1898</v>
      </c>
      <c r="J103" s="145">
        <f>IFERROR('Raw CF'!L17,"-")</f>
        <v>1525</v>
      </c>
      <c r="K103" s="145">
        <f>IFERROR('Raw CF'!M17,"-")</f>
        <v>1768</v>
      </c>
      <c r="L103" s="145">
        <f>IFERROR('Raw CF'!N17,"-")</f>
        <v>2040</v>
      </c>
    </row>
    <row r="104" spans="2:12" outlineLevel="1" x14ac:dyDescent="0.3">
      <c r="B104" t="s">
        <v>97</v>
      </c>
      <c r="C104" s="145">
        <f>IFERROR('Raw CF'!E18,"-")</f>
        <v>-747</v>
      </c>
      <c r="D104" s="145">
        <f>IFERROR('Raw CF'!F18,"-")</f>
        <v>0</v>
      </c>
      <c r="E104" s="145">
        <f>IFERROR('Raw CF'!G18,"-")</f>
        <v>0</v>
      </c>
      <c r="F104" s="145">
        <f>IFERROR('Raw CF'!H18,"-")</f>
        <v>0</v>
      </c>
      <c r="G104" s="145">
        <f>IFERROR('Raw CF'!I18,"-")</f>
        <v>0</v>
      </c>
      <c r="H104" s="145">
        <f>IFERROR('Raw CF'!J18,"-")</f>
        <v>0</v>
      </c>
      <c r="I104" s="145">
        <f>IFERROR('Raw CF'!K18,"-")</f>
        <v>0</v>
      </c>
      <c r="J104" s="145">
        <f>IFERROR('Raw CF'!L18,"-")</f>
        <v>0</v>
      </c>
      <c r="K104" s="145">
        <f>IFERROR('Raw CF'!M18,"-")</f>
        <v>0</v>
      </c>
      <c r="L104" s="145">
        <f>IFERROR('Raw CF'!N18,"-")</f>
        <v>0</v>
      </c>
    </row>
    <row r="105" spans="2:12" outlineLevel="1" x14ac:dyDescent="0.3">
      <c r="B105" t="s">
        <v>98</v>
      </c>
      <c r="C105" s="145">
        <f>IFERROR('Raw CF'!E19,"-")</f>
        <v>-142</v>
      </c>
      <c r="D105" s="145">
        <f>IFERROR('Raw CF'!F19,"-")</f>
        <v>-164</v>
      </c>
      <c r="E105" s="145">
        <f>IFERROR('Raw CF'!G19,"-")</f>
        <v>-130</v>
      </c>
      <c r="F105" s="145">
        <f>IFERROR('Raw CF'!H19,"-")</f>
        <v>-24</v>
      </c>
      <c r="G105" s="145">
        <f>IFERROR('Raw CF'!I19,"-")</f>
        <v>-108</v>
      </c>
      <c r="H105" s="145">
        <f>IFERROR('Raw CF'!J19,"-")</f>
        <v>0</v>
      </c>
      <c r="I105" s="145">
        <f>IFERROR('Raw CF'!K19,"-")</f>
        <v>0</v>
      </c>
      <c r="J105" s="145">
        <f>IFERROR('Raw CF'!L19,"-")</f>
        <v>0</v>
      </c>
      <c r="K105" s="145">
        <f>IFERROR('Raw CF'!M19,"-")</f>
        <v>0</v>
      </c>
      <c r="L105" s="145">
        <f>IFERROR('Raw CF'!N19,"-")</f>
        <v>0</v>
      </c>
    </row>
    <row r="106" spans="2:12" ht="15" outlineLevel="1" thickBot="1" x14ac:dyDescent="0.35">
      <c r="B106" t="s">
        <v>99</v>
      </c>
      <c r="C106" s="145">
        <f>IFERROR('Raw CF'!E20,"-")</f>
        <v>-59</v>
      </c>
      <c r="D106" s="145">
        <f>IFERROR('Raw CF'!F20,"-")</f>
        <v>-131</v>
      </c>
      <c r="E106" s="145">
        <f>IFERROR('Raw CF'!G20,"-")</f>
        <v>49</v>
      </c>
      <c r="F106" s="145">
        <f>IFERROR('Raw CF'!H20,"-")</f>
        <v>1592</v>
      </c>
      <c r="G106" s="145">
        <f>IFERROR('Raw CF'!I20,"-")</f>
        <v>-224</v>
      </c>
      <c r="H106" s="145">
        <f>IFERROR('Raw CF'!J20,"-")</f>
        <v>-327</v>
      </c>
      <c r="I106" s="145">
        <f>IFERROR('Raw CF'!K20,"-")</f>
        <v>-3627</v>
      </c>
      <c r="J106" s="145">
        <f>IFERROR('Raw CF'!L20,"-")</f>
        <v>-939</v>
      </c>
      <c r="K106" s="145">
        <f>IFERROR('Raw CF'!M20,"-")</f>
        <v>502</v>
      </c>
      <c r="L106" s="145">
        <f>IFERROR('Raw CF'!N20,"-")</f>
        <v>-3802</v>
      </c>
    </row>
    <row r="107" spans="2:12" outlineLevel="1" x14ac:dyDescent="0.3">
      <c r="B107" s="39" t="s">
        <v>110</v>
      </c>
      <c r="C107" s="144">
        <f>IFERROR(SUM(C98:C106),0)</f>
        <v>-885</v>
      </c>
      <c r="D107" s="144">
        <f t="shared" ref="D107:L107" si="25">IFERROR(SUM(D98:D106),0)</f>
        <v>-14664</v>
      </c>
      <c r="E107" s="144">
        <f t="shared" si="25"/>
        <v>4533</v>
      </c>
      <c r="F107" s="144">
        <f t="shared" si="25"/>
        <v>-632</v>
      </c>
      <c r="G107" s="144">
        <f t="shared" si="25"/>
        <v>-331</v>
      </c>
      <c r="H107" s="144">
        <f t="shared" si="25"/>
        <v>-7373</v>
      </c>
      <c r="I107" s="144">
        <f t="shared" si="25"/>
        <v>-6485</v>
      </c>
      <c r="J107" s="144">
        <f t="shared" si="25"/>
        <v>-1071</v>
      </c>
      <c r="K107" s="144">
        <f t="shared" si="25"/>
        <v>-5093</v>
      </c>
      <c r="L107" s="144">
        <f t="shared" si="25"/>
        <v>-1864</v>
      </c>
    </row>
    <row r="108" spans="2:12" outlineLevel="1" x14ac:dyDescent="0.3">
      <c r="B108" s="2"/>
      <c r="C108" s="31"/>
      <c r="D108" s="31"/>
      <c r="E108" s="31"/>
      <c r="F108" s="31"/>
      <c r="G108" s="31"/>
      <c r="H108" s="31"/>
      <c r="I108" s="31"/>
      <c r="J108" s="31"/>
      <c r="K108" s="31"/>
      <c r="L108" s="31"/>
    </row>
    <row r="109" spans="2:12" outlineLevel="1" x14ac:dyDescent="0.3">
      <c r="B109"/>
      <c r="C109"/>
      <c r="D109"/>
      <c r="E109"/>
      <c r="F109"/>
      <c r="G109"/>
      <c r="H109"/>
      <c r="I109"/>
      <c r="J109"/>
      <c r="K109"/>
      <c r="L109"/>
    </row>
    <row r="110" spans="2:12" outlineLevel="1" x14ac:dyDescent="0.3">
      <c r="B110" s="2" t="s">
        <v>147</v>
      </c>
      <c r="C110"/>
      <c r="D110"/>
      <c r="E110"/>
      <c r="F110"/>
      <c r="G110"/>
      <c r="H110"/>
      <c r="I110"/>
      <c r="J110"/>
      <c r="K110"/>
      <c r="L110"/>
    </row>
    <row r="111" spans="2:12" outlineLevel="1" x14ac:dyDescent="0.3">
      <c r="B111" t="s">
        <v>100</v>
      </c>
      <c r="C111" s="145">
        <f>IFERROR('Raw CF'!E22,"-")</f>
        <v>0</v>
      </c>
      <c r="D111" s="145">
        <f>IFERROR('Raw CF'!F22,"-")</f>
        <v>0</v>
      </c>
      <c r="E111" s="145">
        <f>IFERROR('Raw CF'!G22,"-")</f>
        <v>5</v>
      </c>
      <c r="F111" s="145">
        <f>IFERROR('Raw CF'!H22,"-")</f>
        <v>6</v>
      </c>
      <c r="G111" s="145">
        <f>IFERROR('Raw CF'!I22,"-")</f>
        <v>6</v>
      </c>
      <c r="H111" s="145">
        <f>IFERROR('Raw CF'!J22,"-")</f>
        <v>15</v>
      </c>
      <c r="I111" s="145">
        <f>IFERROR('Raw CF'!K22,"-")</f>
        <v>21</v>
      </c>
      <c r="J111" s="145">
        <f>IFERROR('Raw CF'!L22,"-")</f>
        <v>35</v>
      </c>
      <c r="K111" s="145">
        <f>IFERROR('Raw CF'!M22,"-")</f>
        <v>5</v>
      </c>
      <c r="L111" s="145">
        <f>IFERROR('Raw CF'!N22,"-")</f>
        <v>6</v>
      </c>
    </row>
    <row r="112" spans="2:12" outlineLevel="1" x14ac:dyDescent="0.3">
      <c r="B112" t="s">
        <v>101</v>
      </c>
      <c r="C112" s="145">
        <f>IFERROR('Raw CF'!E23,"-")</f>
        <v>0</v>
      </c>
      <c r="D112" s="145">
        <f>IFERROR('Raw CF'!F23,"-")</f>
        <v>0</v>
      </c>
      <c r="E112" s="145">
        <f>IFERROR('Raw CF'!G23,"-")</f>
        <v>0</v>
      </c>
      <c r="F112" s="145">
        <f>IFERROR('Raw CF'!H23,"-")</f>
        <v>0</v>
      </c>
      <c r="G112" s="145">
        <f>IFERROR('Raw CF'!I23,"-")</f>
        <v>0</v>
      </c>
      <c r="H112" s="145">
        <f>IFERROR('Raw CF'!J23,"-")</f>
        <v>0</v>
      </c>
      <c r="I112" s="145">
        <f>IFERROR('Raw CF'!K23,"-")</f>
        <v>0</v>
      </c>
      <c r="J112" s="145">
        <f>IFERROR('Raw CF'!L23,"-")</f>
        <v>0</v>
      </c>
      <c r="K112" s="145">
        <f>IFERROR('Raw CF'!M23,"-")</f>
        <v>0</v>
      </c>
      <c r="L112" s="145">
        <f>IFERROR('Raw CF'!N23,"-")</f>
        <v>-985</v>
      </c>
    </row>
    <row r="113" spans="2:12" outlineLevel="1" x14ac:dyDescent="0.3">
      <c r="B113" t="s">
        <v>102</v>
      </c>
      <c r="C113" s="145">
        <f>IFERROR('Raw CF'!E24,"-")</f>
        <v>-6813</v>
      </c>
      <c r="D113" s="145">
        <f>IFERROR('Raw CF'!F24,"-")</f>
        <v>-6939</v>
      </c>
      <c r="E113" s="145">
        <f>IFERROR('Raw CF'!G24,"-")</f>
        <v>-7464</v>
      </c>
      <c r="F113" s="145">
        <f>IFERROR('Raw CF'!H24,"-")</f>
        <v>-13705</v>
      </c>
      <c r="G113" s="145">
        <f>IFERROR('Raw CF'!I24,"-")</f>
        <v>-9548</v>
      </c>
      <c r="H113" s="145">
        <f>IFERROR('Raw CF'!J24,"-")</f>
        <v>-9137</v>
      </c>
      <c r="I113" s="145">
        <f>IFERROR('Raw CF'!K24,"-")</f>
        <v>-12731</v>
      </c>
      <c r="J113" s="145">
        <f>IFERROR('Raw CF'!L24,"-")</f>
        <v>-13653</v>
      </c>
      <c r="K113" s="145">
        <f>IFERROR('Raw CF'!M24,"-")</f>
        <v>-14731</v>
      </c>
      <c r="L113" s="145">
        <f>IFERROR('Raw CF'!N24,"-")</f>
        <v>-20289</v>
      </c>
    </row>
    <row r="114" spans="2:12" outlineLevel="1" x14ac:dyDescent="0.3">
      <c r="B114" t="s">
        <v>103</v>
      </c>
      <c r="C114" s="145">
        <f>IFERROR('Raw CF'!E25,"-")</f>
        <v>0</v>
      </c>
      <c r="D114" s="145">
        <f>IFERROR('Raw CF'!F25,"-")</f>
        <v>0</v>
      </c>
      <c r="E114" s="145">
        <f>IFERROR('Raw CF'!G25,"-")</f>
        <v>0</v>
      </c>
      <c r="F114" s="145">
        <f>IFERROR('Raw CF'!H25,"-")</f>
        <v>0</v>
      </c>
      <c r="G114" s="145">
        <f>IFERROR('Raw CF'!I25,"-")</f>
        <v>-571</v>
      </c>
      <c r="H114" s="145">
        <f>IFERROR('Raw CF'!J25,"-")</f>
        <v>-698</v>
      </c>
      <c r="I114" s="145">
        <f>IFERROR('Raw CF'!K25,"-")</f>
        <v>-915</v>
      </c>
      <c r="J114" s="145">
        <f>IFERROR('Raw CF'!L25,"-")</f>
        <v>-1231</v>
      </c>
      <c r="K114" s="145">
        <f>IFERROR('Raw CF'!M25,"-")</f>
        <v>-2024</v>
      </c>
      <c r="L114" s="145">
        <f>IFERROR('Raw CF'!N25,"-")</f>
        <v>-2355</v>
      </c>
    </row>
    <row r="115" spans="2:12" ht="15" outlineLevel="1" thickBot="1" x14ac:dyDescent="0.35">
      <c r="B115" t="s">
        <v>104</v>
      </c>
      <c r="C115" s="145">
        <f>IFERROR('Raw CF'!E26,"-")</f>
        <v>0</v>
      </c>
      <c r="D115" s="145">
        <f>IFERROR('Raw CF'!F26,"-")</f>
        <v>0</v>
      </c>
      <c r="E115" s="145">
        <f>IFERROR('Raw CF'!G26,"-")</f>
        <v>-13046</v>
      </c>
      <c r="F115" s="145">
        <f>IFERROR('Raw CF'!H26,"-")</f>
        <v>-813</v>
      </c>
      <c r="G115" s="145">
        <f>IFERROR('Raw CF'!I26,"-")</f>
        <v>-7478</v>
      </c>
      <c r="H115" s="145">
        <f>IFERROR('Raw CF'!J26,"-")</f>
        <v>34</v>
      </c>
      <c r="I115" s="145">
        <f>IFERROR('Raw CF'!K26,"-")</f>
        <v>-11017</v>
      </c>
      <c r="J115" s="145">
        <f>IFERROR('Raw CF'!L26,"-")</f>
        <v>-11846</v>
      </c>
      <c r="K115" s="145">
        <f>IFERROR('Raw CF'!M26,"-")</f>
        <v>-754</v>
      </c>
      <c r="L115" s="145">
        <f>IFERROR('Raw CF'!N26,"-")</f>
        <v>-538</v>
      </c>
    </row>
    <row r="116" spans="2:12" outlineLevel="1" x14ac:dyDescent="0.3">
      <c r="B116" s="39" t="s">
        <v>111</v>
      </c>
      <c r="C116" s="144">
        <f>IFERROR(SUM(C111:C115),0)</f>
        <v>-6813</v>
      </c>
      <c r="D116" s="144">
        <f t="shared" ref="D116:L116" si="26">IFERROR(SUM(D111:D115),0)</f>
        <v>-6939</v>
      </c>
      <c r="E116" s="144">
        <f t="shared" si="26"/>
        <v>-20505</v>
      </c>
      <c r="F116" s="144">
        <f t="shared" si="26"/>
        <v>-14512</v>
      </c>
      <c r="G116" s="144">
        <f t="shared" si="26"/>
        <v>-17591</v>
      </c>
      <c r="H116" s="144">
        <f t="shared" si="26"/>
        <v>-9786</v>
      </c>
      <c r="I116" s="144">
        <f t="shared" si="26"/>
        <v>-24642</v>
      </c>
      <c r="J116" s="144">
        <f t="shared" si="26"/>
        <v>-26695</v>
      </c>
      <c r="K116" s="144">
        <f t="shared" si="26"/>
        <v>-17504</v>
      </c>
      <c r="L116" s="144">
        <f t="shared" si="26"/>
        <v>-24161</v>
      </c>
    </row>
    <row r="117" spans="2:12" outlineLevel="1" x14ac:dyDescent="0.3">
      <c r="B117" s="2"/>
      <c r="C117" s="148"/>
      <c r="D117" s="148"/>
      <c r="E117" s="148"/>
      <c r="F117" s="148"/>
      <c r="G117" s="148"/>
      <c r="H117" s="148"/>
      <c r="I117" s="148"/>
      <c r="J117" s="148"/>
      <c r="K117" s="148"/>
      <c r="L117" s="148"/>
    </row>
    <row r="118" spans="2:12" ht="15" outlineLevel="1" thickBot="1" x14ac:dyDescent="0.35">
      <c r="B118"/>
      <c r="C118" s="146"/>
      <c r="D118" s="146"/>
      <c r="E118" s="146"/>
      <c r="F118" s="146"/>
      <c r="G118" s="146"/>
      <c r="H118" s="146"/>
      <c r="I118" s="146"/>
      <c r="J118" s="146"/>
      <c r="K118" s="146"/>
      <c r="L118" s="146"/>
    </row>
    <row r="119" spans="2:12" ht="15" outlineLevel="1" thickBot="1" x14ac:dyDescent="0.35">
      <c r="B119" s="101" t="s">
        <v>20</v>
      </c>
      <c r="C119" s="147">
        <f>IFERROR(SUM(C94,C107,C116),0)</f>
        <v>2330</v>
      </c>
      <c r="D119" s="147">
        <f>IFERROR(SUM(D94,D107,D116),0)</f>
        <v>-10072</v>
      </c>
      <c r="E119" s="147">
        <f t="shared" ref="E119:L119" si="27">IFERROR(SUM(E94,E107,E116),0)</f>
        <v>-2754</v>
      </c>
      <c r="F119" s="147">
        <f t="shared" si="27"/>
        <v>-303</v>
      </c>
      <c r="G119" s="147">
        <f t="shared" si="27"/>
        <v>-919</v>
      </c>
      <c r="H119" s="147">
        <f t="shared" si="27"/>
        <v>6065</v>
      </c>
      <c r="I119" s="147">
        <f t="shared" si="27"/>
        <v>-7242</v>
      </c>
      <c r="J119" s="147">
        <f t="shared" si="27"/>
        <v>-5299</v>
      </c>
      <c r="K119" s="147">
        <f t="shared" si="27"/>
        <v>2613</v>
      </c>
      <c r="L119" s="147">
        <f t="shared" si="27"/>
        <v>9669</v>
      </c>
    </row>
    <row r="120" spans="2:12" ht="15" thickTop="1" x14ac:dyDescent="0.3">
      <c r="B120"/>
      <c r="C120"/>
      <c r="D120"/>
      <c r="E120"/>
      <c r="F120"/>
      <c r="G120"/>
      <c r="H120"/>
      <c r="I120"/>
      <c r="J120"/>
      <c r="K120"/>
      <c r="L120"/>
    </row>
    <row r="121" spans="2:12" ht="9" customHeight="1" x14ac:dyDescent="0.3">
      <c r="B121" s="121"/>
      <c r="C121" s="121"/>
      <c r="D121" s="121"/>
      <c r="E121" s="121"/>
      <c r="F121" s="121"/>
      <c r="G121" s="121"/>
      <c r="H121" s="121"/>
      <c r="I121" s="121"/>
      <c r="J121" s="121"/>
      <c r="K121" s="121"/>
      <c r="L121" s="121"/>
    </row>
    <row r="122" spans="2:12" x14ac:dyDescent="0.3">
      <c r="B122"/>
      <c r="C122"/>
      <c r="D122"/>
      <c r="E122"/>
      <c r="F122"/>
      <c r="G122"/>
      <c r="H122"/>
      <c r="I122"/>
      <c r="J122"/>
      <c r="K122"/>
      <c r="L122"/>
    </row>
    <row r="123" spans="2:12" x14ac:dyDescent="0.3">
      <c r="B123"/>
      <c r="C123"/>
      <c r="D123"/>
      <c r="E123"/>
      <c r="F123"/>
      <c r="G123"/>
      <c r="H123"/>
      <c r="I123"/>
      <c r="J123"/>
      <c r="K123"/>
      <c r="L123"/>
    </row>
    <row r="124" spans="2:12" x14ac:dyDescent="0.3">
      <c r="B124"/>
      <c r="C124"/>
      <c r="D124"/>
      <c r="E124"/>
      <c r="F124"/>
      <c r="G124"/>
      <c r="H124"/>
      <c r="I124"/>
      <c r="J124"/>
      <c r="K124"/>
      <c r="L124"/>
    </row>
    <row r="125" spans="2:12" x14ac:dyDescent="0.3">
      <c r="B125"/>
      <c r="C125"/>
      <c r="D125"/>
      <c r="E125"/>
      <c r="F125"/>
      <c r="G125"/>
      <c r="H125"/>
      <c r="I125"/>
      <c r="J125"/>
      <c r="K125"/>
      <c r="L125"/>
    </row>
    <row r="126" spans="2:12" x14ac:dyDescent="0.3">
      <c r="B126"/>
      <c r="C126"/>
      <c r="D126"/>
      <c r="E126"/>
      <c r="F126"/>
      <c r="G126"/>
      <c r="H126"/>
      <c r="I126"/>
      <c r="J126"/>
      <c r="K126"/>
      <c r="L126"/>
    </row>
    <row r="127" spans="2:12" x14ac:dyDescent="0.3">
      <c r="B127"/>
      <c r="C127" s="55"/>
      <c r="D127"/>
      <c r="E127"/>
      <c r="F127"/>
      <c r="G127"/>
      <c r="H127"/>
      <c r="I127"/>
      <c r="J127"/>
      <c r="K127"/>
      <c r="L127"/>
    </row>
    <row r="128" spans="2:12" x14ac:dyDescent="0.3">
      <c r="B128"/>
      <c r="C128"/>
      <c r="D128"/>
      <c r="E128"/>
      <c r="F128"/>
      <c r="G128"/>
      <c r="H128"/>
      <c r="I128"/>
      <c r="J128"/>
      <c r="K128"/>
      <c r="L128"/>
    </row>
    <row r="129" spans="2:12" x14ac:dyDescent="0.3">
      <c r="B129"/>
      <c r="C129"/>
      <c r="D129"/>
      <c r="E129"/>
      <c r="F129"/>
      <c r="G129"/>
      <c r="H129"/>
      <c r="I129"/>
      <c r="J129"/>
      <c r="K129"/>
      <c r="L129"/>
    </row>
    <row r="130" spans="2:12" x14ac:dyDescent="0.3">
      <c r="B130"/>
      <c r="C130"/>
      <c r="D130"/>
      <c r="E130"/>
      <c r="F130"/>
      <c r="G130"/>
      <c r="H130"/>
      <c r="I130"/>
      <c r="J130"/>
      <c r="K130"/>
      <c r="L130"/>
    </row>
    <row r="131" spans="2:12" x14ac:dyDescent="0.3">
      <c r="B131"/>
    </row>
    <row r="132" spans="2:12" x14ac:dyDescent="0.3">
      <c r="B132"/>
    </row>
    <row r="133" spans="2:12" x14ac:dyDescent="0.3">
      <c r="B133"/>
      <c r="E133" s="24" t="s">
        <v>200</v>
      </c>
    </row>
  </sheetData>
  <mergeCells count="1">
    <mergeCell ref="B10:M10"/>
  </mergeCells>
  <pageMargins left="0.5" right="0.3" top="0.4" bottom="0.1" header="0.3" footer="0.3"/>
  <pageSetup scale="64" pageOrder="overThenDown" orientation="landscape" r:id="rId1"/>
  <rowBreaks count="1" manualBreakCount="1">
    <brk id="61" max="16383" man="1"/>
  </rowBreaks>
  <ignoredErrors>
    <ignoredError sqref="C17 D17:M17 C23:L23 M44 M38 M35 M29 M14"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DC57-56D1-4897-AD80-23C95CCCBD5E}">
  <dimension ref="B2:O50"/>
  <sheetViews>
    <sheetView showGridLines="0" topLeftCell="A5" zoomScaleNormal="100" workbookViewId="0">
      <selection activeCell="I32" sqref="I32"/>
    </sheetView>
  </sheetViews>
  <sheetFormatPr defaultRowHeight="14.4" x14ac:dyDescent="0.3"/>
  <cols>
    <col min="1" max="1" width="2.33203125" customWidth="1"/>
    <col min="2" max="2" width="28" customWidth="1"/>
    <col min="3" max="12" width="13.21875" customWidth="1"/>
    <col min="13" max="13" width="13.21875" style="2" customWidth="1"/>
    <col min="14" max="15" width="13.21875" style="24" customWidth="1"/>
  </cols>
  <sheetData>
    <row r="2" spans="2:15" ht="9" customHeight="1" x14ac:dyDescent="0.3">
      <c r="B2" s="121"/>
      <c r="C2" s="121"/>
      <c r="D2" s="121"/>
      <c r="E2" s="121"/>
      <c r="F2" s="121"/>
      <c r="G2" s="121"/>
      <c r="H2" s="121"/>
      <c r="I2" s="121"/>
      <c r="J2" s="121"/>
      <c r="K2" s="121"/>
      <c r="L2" s="121"/>
      <c r="M2" s="184"/>
      <c r="N2" s="185"/>
      <c r="O2" s="185"/>
    </row>
    <row r="3" spans="2:15" ht="3.6" customHeight="1" x14ac:dyDescent="0.3"/>
    <row r="4" spans="2:15" ht="23.4" x14ac:dyDescent="0.45">
      <c r="B4" s="181" t="str">
        <f>'Data Sheet'!$B$1</f>
        <v>INFOSYS LTD</v>
      </c>
    </row>
    <row r="5" spans="2:15" x14ac:dyDescent="0.3">
      <c r="B5" t="s">
        <v>393</v>
      </c>
    </row>
    <row r="6" spans="2:15" ht="15.6" x14ac:dyDescent="0.3">
      <c r="B6" s="228">
        <v>1250</v>
      </c>
    </row>
    <row r="7" spans="2:15" x14ac:dyDescent="0.3">
      <c r="B7" t="s">
        <v>394</v>
      </c>
    </row>
    <row r="8" spans="2:15" ht="3.6" customHeight="1" thickBot="1" x14ac:dyDescent="0.35">
      <c r="B8" s="189"/>
      <c r="C8" s="189"/>
      <c r="D8" s="189"/>
      <c r="E8" s="189"/>
      <c r="F8" s="189"/>
      <c r="G8" s="189"/>
      <c r="H8" s="189"/>
      <c r="I8" s="189"/>
      <c r="J8" s="189"/>
      <c r="K8" s="189"/>
      <c r="L8" s="189"/>
      <c r="M8" s="190"/>
      <c r="N8" s="191"/>
      <c r="O8" s="191"/>
    </row>
    <row r="10" spans="2:15" x14ac:dyDescent="0.3">
      <c r="B10" s="281" t="str">
        <f>"Ratio Analysis"</f>
        <v>Ratio Analysis</v>
      </c>
      <c r="C10" s="281"/>
      <c r="D10" s="281"/>
      <c r="E10" s="281"/>
      <c r="F10" s="281"/>
      <c r="G10" s="281"/>
      <c r="H10" s="281"/>
      <c r="I10" s="281"/>
      <c r="J10" s="281"/>
      <c r="K10" s="281"/>
      <c r="L10" s="281"/>
      <c r="M10" s="281"/>
      <c r="N10" s="281"/>
      <c r="O10" s="281"/>
    </row>
    <row r="11" spans="2:15" x14ac:dyDescent="0.3">
      <c r="B11" s="10" t="s">
        <v>55</v>
      </c>
      <c r="C11" s="11">
        <f>'Data Sheet'!B16</f>
        <v>42460</v>
      </c>
      <c r="D11" s="11">
        <f>'Data Sheet'!C16</f>
        <v>42825</v>
      </c>
      <c r="E11" s="11">
        <f>'Data Sheet'!D16</f>
        <v>43190</v>
      </c>
      <c r="F11" s="11">
        <f>'Data Sheet'!E16</f>
        <v>43555</v>
      </c>
      <c r="G11" s="11">
        <f>'Data Sheet'!F16</f>
        <v>43921</v>
      </c>
      <c r="H11" s="11">
        <f>'Data Sheet'!G16</f>
        <v>44286</v>
      </c>
      <c r="I11" s="11">
        <f>'Data Sheet'!H16</f>
        <v>44651</v>
      </c>
      <c r="J11" s="11">
        <f>'Data Sheet'!I16</f>
        <v>45016</v>
      </c>
      <c r="K11" s="11">
        <f>'Data Sheet'!J16</f>
        <v>45382</v>
      </c>
      <c r="L11" s="11">
        <f>'Data Sheet'!K16</f>
        <v>45747</v>
      </c>
      <c r="M11" s="11" t="s">
        <v>113</v>
      </c>
      <c r="N11" s="11" t="s">
        <v>114</v>
      </c>
      <c r="O11" s="11" t="s">
        <v>115</v>
      </c>
    </row>
    <row r="13" spans="2:15" x14ac:dyDescent="0.3">
      <c r="B13" s="43" t="s">
        <v>126</v>
      </c>
      <c r="C13" s="44" t="s">
        <v>60</v>
      </c>
      <c r="D13" s="45">
        <f>'Historical FS'!D15</f>
        <v>9.67793597155715E-2</v>
      </c>
      <c r="E13" s="45">
        <f>'Historical FS'!E15</f>
        <v>2.9758775772443125E-2</v>
      </c>
      <c r="F13" s="45">
        <f>'Historical FS'!F15</f>
        <v>0.17232920223476356</v>
      </c>
      <c r="G13" s="45">
        <f>'Historical FS'!G15</f>
        <v>9.8167523435137571E-2</v>
      </c>
      <c r="H13" s="45">
        <f>'Historical FS'!H15</f>
        <v>0.10662951173574475</v>
      </c>
      <c r="I13" s="45">
        <f>'Historical FS'!I15</f>
        <v>0.21069551715900947</v>
      </c>
      <c r="J13" s="45">
        <f>'Historical FS'!J15</f>
        <v>0.20655864387829759</v>
      </c>
      <c r="K13" s="45">
        <f>'Historical FS'!K15</f>
        <v>4.7033733741236095E-2</v>
      </c>
      <c r="L13" s="45">
        <f>'Historical FS'!L15</f>
        <v>6.0649443612936782E-2</v>
      </c>
      <c r="M13" s="78"/>
      <c r="N13" s="46">
        <f>IFERROR(AVERAGE(D13:L13),"-")</f>
        <v>0.11428907903168227</v>
      </c>
      <c r="O13" s="46">
        <f>IFERROR(MEDIAN(C13:L13),"-")</f>
        <v>9.8167523435137571E-2</v>
      </c>
    </row>
    <row r="14" spans="2:15" x14ac:dyDescent="0.3">
      <c r="B14" t="s">
        <v>117</v>
      </c>
      <c r="C14" s="24" t="s">
        <v>60</v>
      </c>
      <c r="D14" s="41">
        <f>IFERROR('Historical FS'!D26/'Historical FS'!C26-1,"-")</f>
        <v>8.9290942092628445E-2</v>
      </c>
      <c r="E14" s="41">
        <f>IFERROR('Historical FS'!E26/'Historical FS'!D26-1,"-")</f>
        <v>1.1717910126854525E-2</v>
      </c>
      <c r="F14" s="41">
        <f>IFERROR('Historical FS'!F26/'Historical FS'!E26-1,"-")</f>
        <v>7.1618318988417862E-2</v>
      </c>
      <c r="G14" s="41">
        <f>IFERROR('Historical FS'!G26/'Historical FS'!F26-1,"-")</f>
        <v>0.10396628656420437</v>
      </c>
      <c r="H14" s="41">
        <f>IFERROR('Historical FS'!H26/'Historical FS'!G26-1,"-")</f>
        <v>0.25248125028068436</v>
      </c>
      <c r="I14" s="41">
        <f>IFERROR('Historical FS'!I26/'Historical FS'!H26-1,"-")</f>
        <v>0.12915486392484499</v>
      </c>
      <c r="J14" s="41">
        <f>IFERROR('Historical FS'!J26/'Historical FS'!I26-1,"-")</f>
        <v>0.1155568257597408</v>
      </c>
      <c r="K14" s="41">
        <f>IFERROR('Historical FS'!K26/'Historical FS'!J26-1,"-")</f>
        <v>3.6863079988613823E-2</v>
      </c>
      <c r="L14" s="41">
        <f>IFERROR('Historical FS'!L26/'Historical FS'!K26-1,"-")</f>
        <v>7.7172271791352109E-2</v>
      </c>
      <c r="N14" s="42">
        <f t="shared" ref="N14:N17" si="0">IFERROR(AVERAGE(D14:L14),"-")</f>
        <v>9.8646861057482368E-2</v>
      </c>
      <c r="O14" s="42">
        <f t="shared" ref="O14:O48" si="1">IFERROR(MEDIAN(C14:L14),"-")</f>
        <v>8.9290942092628445E-2</v>
      </c>
    </row>
    <row r="15" spans="2:15" x14ac:dyDescent="0.3">
      <c r="B15" t="s">
        <v>118</v>
      </c>
      <c r="C15" s="24" t="s">
        <v>60</v>
      </c>
      <c r="D15" s="41">
        <f>IFERROR('Historical FS'!D32/'Historical FS'!C32-1,"-")</f>
        <v>8.2010243277848893E-2</v>
      </c>
      <c r="E15" s="41">
        <f>IFERROR('Historical FS'!E32/'Historical FS'!D32-1,"-")</f>
        <v>3.4317496006153192E-3</v>
      </c>
      <c r="F15" s="41">
        <f>IFERROR('Historical FS'!F32/'Historical FS'!E32-1,"-")</f>
        <v>7.0758889085441368E-2</v>
      </c>
      <c r="G15" s="41">
        <f>IFERROR('Historical FS'!G32/'Historical FS'!F32-1,"-")</f>
        <v>6.6908970758301711E-2</v>
      </c>
      <c r="H15" s="41">
        <f>IFERROR('Historical FS'!H32/'Historical FS'!G32-1,"-")</f>
        <v>0.27087849695468158</v>
      </c>
      <c r="I15" s="41">
        <f>IFERROR('Historical FS'!I32/'Historical FS'!H32-1,"-")</f>
        <v>0.13780359028511091</v>
      </c>
      <c r="J15" s="41">
        <f>IFERROR('Historical FS'!J32/'Historical FS'!I32-1,"-")</f>
        <v>0.10315902195252535</v>
      </c>
      <c r="K15" s="41">
        <f>IFERROR('Historical FS'!K32/'Historical FS'!J32-1,"-")</f>
        <v>2.7244782397670253E-2</v>
      </c>
      <c r="L15" s="41">
        <f>IFERROR('Historical FS'!L32/'Historical FS'!K32-1,"-")</f>
        <v>8.4322928150691423E-2</v>
      </c>
      <c r="N15" s="42">
        <f t="shared" si="0"/>
        <v>9.4057630273654089E-2</v>
      </c>
      <c r="O15" s="42">
        <f t="shared" si="1"/>
        <v>8.2010243277848893E-2</v>
      </c>
    </row>
    <row r="16" spans="2:15" x14ac:dyDescent="0.3">
      <c r="B16" t="s">
        <v>122</v>
      </c>
      <c r="C16" s="24" t="s">
        <v>60</v>
      </c>
      <c r="D16" s="41">
        <f>IFERROR('Historical FS'!D47/'Historical FS'!C47-1,"-")</f>
        <v>6.4052190673882459E-2</v>
      </c>
      <c r="E16" s="41">
        <f>IFERROR('Historical FS'!E47/'Historical FS'!D47-1,"-")</f>
        <v>0.11677001323765057</v>
      </c>
      <c r="F16" s="41">
        <f>IFERROR('Historical FS'!F47/'Historical FS'!E47-1,"-")</f>
        <v>-3.8617505770790483E-2</v>
      </c>
      <c r="G16" s="41">
        <f>IFERROR('Historical FS'!G47/'Historical FS'!F47-1,"-")</f>
        <v>7.975340687865029E-2</v>
      </c>
      <c r="H16" s="41">
        <f>IFERROR('Historical FS'!H47/'Historical FS'!G47-1,"-")</f>
        <v>0.16731774746078498</v>
      </c>
      <c r="I16" s="41">
        <f>IFERROR('Historical FS'!I47/'Historical FS'!H47-1,"-")</f>
        <v>0.14019461463213712</v>
      </c>
      <c r="J16" s="41">
        <f>IFERROR('Historical FS'!J47/'Historical FS'!I47-1,"-")</f>
        <v>8.8593876998103394E-2</v>
      </c>
      <c r="K16" s="41">
        <f>IFERROR('Historical FS'!K47/'Historical FS'!J47-1,"-")</f>
        <v>8.8767214202754241E-2</v>
      </c>
      <c r="L16" s="41">
        <f>IFERROR('Historical FS'!L47/'Historical FS'!K47-1,"-")</f>
        <v>1.9125266686985665E-2</v>
      </c>
      <c r="N16" s="42">
        <f t="shared" si="0"/>
        <v>8.066186944446202E-2</v>
      </c>
      <c r="O16" s="42">
        <f t="shared" si="1"/>
        <v>8.8593876998103394E-2</v>
      </c>
    </row>
    <row r="17" spans="2:15" x14ac:dyDescent="0.3">
      <c r="B17" s="47" t="s">
        <v>119</v>
      </c>
      <c r="C17" s="48" t="s">
        <v>60</v>
      </c>
      <c r="D17" s="49">
        <f>IFERROR('Historical FS'!D55/'Historical FS'!C55-1,"-")</f>
        <v>6.1855670103093008E-2</v>
      </c>
      <c r="E17" s="49">
        <f>IFERROR('Historical FS'!E55/'Historical FS'!D55-1,"-")</f>
        <v>0.68963896853592144</v>
      </c>
      <c r="F17" s="49">
        <f>IFERROR('Historical FS'!F55/'Historical FS'!E55-1,"-")</f>
        <v>-2.5838579728767352E-2</v>
      </c>
      <c r="G17" s="49">
        <f>IFERROR('Historical FS'!G55/'Historical FS'!F55-1,"-")</f>
        <v>-0.17390646350868544</v>
      </c>
      <c r="H17" s="49">
        <f>IFERROR('Historical FS'!H55/'Historical FS'!G55-1,"-")</f>
        <v>0.54369512340846549</v>
      </c>
      <c r="I17" s="49">
        <f>IFERROR('Historical FS'!I55/'Historical FS'!H55-1,"-")</f>
        <v>0.14865158399694378</v>
      </c>
      <c r="J17" s="49">
        <f>IFERROR('Historical FS'!J55/'Historical FS'!I55-1,"-")</f>
        <v>9.6761529392781709E-2</v>
      </c>
      <c r="K17" s="49">
        <f>IFERROR('Historical FS'!K55/'Historical FS'!J55-1,"-")</f>
        <v>0.35349861290755547</v>
      </c>
      <c r="L17" s="49">
        <f>IFERROR('Historical FS'!L55/'Historical FS'!K55-1,"-")</f>
        <v>-6.4855345095345629E-2</v>
      </c>
      <c r="M17" s="79"/>
      <c r="N17" s="50">
        <f t="shared" si="0"/>
        <v>0.18105567777910694</v>
      </c>
      <c r="O17" s="50">
        <f t="shared" si="1"/>
        <v>9.6761529392781709E-2</v>
      </c>
    </row>
    <row r="19" spans="2:15" x14ac:dyDescent="0.3">
      <c r="B19" s="43" t="s">
        <v>120</v>
      </c>
      <c r="C19" s="45">
        <f>'Historical FS'!C21</f>
        <v>0.35151583094441152</v>
      </c>
      <c r="D19" s="45">
        <f>'Historical FS'!D21</f>
        <v>0.34862157584253256</v>
      </c>
      <c r="E19" s="45">
        <f>'Historical FS'!E21</f>
        <v>0.34212018944442868</v>
      </c>
      <c r="F19" s="45">
        <f>'Historical FS'!F21</f>
        <v>0.32934986392500754</v>
      </c>
      <c r="G19" s="45">
        <f>'Historical FS'!G21</f>
        <v>0.31479992510270843</v>
      </c>
      <c r="H19" s="45">
        <f>'Historical FS'!H21</f>
        <v>0.31831754120550998</v>
      </c>
      <c r="I19" s="45">
        <f>'Historical FS'!I21</f>
        <v>0.30271043480405457</v>
      </c>
      <c r="J19" s="45">
        <f>'Historical FS'!J21</f>
        <v>0.28539794367943749</v>
      </c>
      <c r="K19" s="45">
        <f>'Historical FS'!K21</f>
        <v>0.28398516301164833</v>
      </c>
      <c r="L19" s="45">
        <f>'Historical FS'!L21</f>
        <v>0.2847107184489846</v>
      </c>
      <c r="M19" s="78"/>
      <c r="N19" s="46">
        <f>IFERROR(AVERAGE(C19:L19),"-")</f>
        <v>0.31615291864087242</v>
      </c>
      <c r="O19" s="46">
        <f>IFERROR(MEDIAN(C19:L19),"-")</f>
        <v>0.31655873315410921</v>
      </c>
    </row>
    <row r="20" spans="2:15" x14ac:dyDescent="0.3">
      <c r="B20" t="s">
        <v>65</v>
      </c>
      <c r="C20" s="41">
        <f>'Historical FS'!C27</f>
        <v>0.27352220496148366</v>
      </c>
      <c r="D20" s="41">
        <f>'Historical FS'!D27</f>
        <v>0.27165469306699375</v>
      </c>
      <c r="E20" s="41">
        <f>'Historical FS'!E27</f>
        <v>0.26689543688494372</v>
      </c>
      <c r="F20" s="41">
        <f>'Historical FS'!F27</f>
        <v>0.24396734200181433</v>
      </c>
      <c r="G20" s="41">
        <f>'Historical FS'!G27</f>
        <v>0.24525558700752279</v>
      </c>
      <c r="H20" s="41">
        <f>'Historical FS'!H27</f>
        <v>0.27757982323433394</v>
      </c>
      <c r="I20" s="41">
        <f>'Historical FS'!I27</f>
        <v>0.25888475102966929</v>
      </c>
      <c r="J20" s="41">
        <f>'Historical FS'!J27</f>
        <v>0.23935898396778568</v>
      </c>
      <c r="K20" s="41">
        <f>'Historical FS'!K27</f>
        <v>0.23703390381987374</v>
      </c>
      <c r="L20" s="41">
        <f>'Historical FS'!L27</f>
        <v>0.24072642493404503</v>
      </c>
      <c r="N20" s="42">
        <f>IFERROR(AVERAGE(C20:L20),"-")</f>
        <v>0.25548791509084656</v>
      </c>
      <c r="O20" s="42">
        <f t="shared" si="1"/>
        <v>0.25207016901859602</v>
      </c>
    </row>
    <row r="21" spans="2:15" x14ac:dyDescent="0.3">
      <c r="B21" t="s">
        <v>121</v>
      </c>
      <c r="C21" s="41">
        <f>'Historical FS'!C33</f>
        <v>0.25015614740314857</v>
      </c>
      <c r="D21" s="41">
        <f>'Historical FS'!D33</f>
        <v>0.24678757081946148</v>
      </c>
      <c r="E21" s="41">
        <f>'Historical FS'!E33</f>
        <v>0.24047814866282863</v>
      </c>
      <c r="F21" s="41">
        <f>'Historical FS'!F33</f>
        <v>0.2196431811309344</v>
      </c>
      <c r="G21" s="41">
        <f>'Historical FS'!G33</f>
        <v>0.21339119516251612</v>
      </c>
      <c r="H21" s="41">
        <f>'Historical FS'!H33</f>
        <v>0.24506330121824987</v>
      </c>
      <c r="I21" s="41">
        <f>'Historical FS'!I33</f>
        <v>0.23030885967724699</v>
      </c>
      <c r="J21" s="41">
        <f>'Historical FS'!J33</f>
        <v>0.21057185879659596</v>
      </c>
      <c r="K21" s="41">
        <f>'Historical FS'!K33</f>
        <v>0.20659204789483959</v>
      </c>
      <c r="L21" s="41">
        <f>'Historical FS'!L33</f>
        <v>0.21120314129701209</v>
      </c>
      <c r="N21" s="42">
        <f t="shared" ref="N21:N48" si="2">IFERROR(AVERAGE(C21:L21),"-")</f>
        <v>0.22741954520628335</v>
      </c>
      <c r="O21" s="42">
        <f t="shared" si="1"/>
        <v>0.2249760204040907</v>
      </c>
    </row>
    <row r="22" spans="2:15" x14ac:dyDescent="0.3">
      <c r="B22" t="s">
        <v>124</v>
      </c>
      <c r="C22" s="41">
        <f>'Historical FS'!C42</f>
        <v>0.30012331641069168</v>
      </c>
      <c r="D22" s="41">
        <f>'Historical FS'!D42</f>
        <v>0.29132352082238189</v>
      </c>
      <c r="E22" s="41">
        <f>'Historical FS'!E42</f>
        <v>0.28742803664104816</v>
      </c>
      <c r="F22" s="41">
        <f>'Historical FS'!F42</f>
        <v>0.25450257030541273</v>
      </c>
      <c r="G22" s="41">
        <f>'Historical FS'!G42</f>
        <v>0.24239186703527882</v>
      </c>
      <c r="H22" s="41">
        <f>'Historical FS'!H42</f>
        <v>0.26502906282347322</v>
      </c>
      <c r="I22" s="41">
        <f>'Historical FS'!I42</f>
        <v>0.24753167106485477</v>
      </c>
      <c r="J22" s="41">
        <f>'Historical FS'!J42</f>
        <v>0.22704013845074164</v>
      </c>
      <c r="K22" s="41">
        <f>'Historical FS'!K42</f>
        <v>0.2341901477191384</v>
      </c>
      <c r="L22" s="41">
        <f>'Historical FS'!L42</f>
        <v>0.23073808209092583</v>
      </c>
      <c r="N22" s="42">
        <f t="shared" si="2"/>
        <v>0.25802984133639473</v>
      </c>
      <c r="O22" s="42">
        <f t="shared" si="1"/>
        <v>0.25101712068513377</v>
      </c>
    </row>
    <row r="23" spans="2:15" x14ac:dyDescent="0.3">
      <c r="B23" s="47" t="s">
        <v>123</v>
      </c>
      <c r="C23" s="49">
        <f>'Historical FS'!C48</f>
        <v>0.21602793036626575</v>
      </c>
      <c r="D23" s="49">
        <f>'Historical FS'!D48</f>
        <v>0.20958180012849717</v>
      </c>
      <c r="E23" s="49">
        <f>'Historical FS'!E48</f>
        <v>0.22729077451008195</v>
      </c>
      <c r="F23" s="49">
        <f>'Historical FS'!F48</f>
        <v>0.18639250075597219</v>
      </c>
      <c r="G23" s="49">
        <f>'Historical FS'!G48</f>
        <v>0.18326706391602693</v>
      </c>
      <c r="H23" s="49">
        <f>'Historical FS'!H48</f>
        <v>0.19331754120550998</v>
      </c>
      <c r="I23" s="49">
        <f>'Historical FS'!I48</f>
        <v>0.1820603250548746</v>
      </c>
      <c r="J23" s="49">
        <f>'Historical FS'!J48</f>
        <v>0.16426035825492105</v>
      </c>
      <c r="K23" s="49">
        <f>'Historical FS'!K48</f>
        <v>0.17080757467300059</v>
      </c>
      <c r="L23" s="49">
        <f>'Historical FS'!L48</f>
        <v>0.16412049819007302</v>
      </c>
      <c r="M23" s="79"/>
      <c r="N23" s="50">
        <f t="shared" si="2"/>
        <v>0.18971263670552235</v>
      </c>
      <c r="O23" s="50">
        <f t="shared" si="1"/>
        <v>0.18482978233599956</v>
      </c>
    </row>
    <row r="25" spans="2:15" x14ac:dyDescent="0.3">
      <c r="B25" s="43" t="s">
        <v>125</v>
      </c>
      <c r="C25" s="45">
        <f>'Historical FS'!C24</f>
        <v>7.7993625982927889E-2</v>
      </c>
      <c r="D25" s="45">
        <f>'Historical FS'!D24</f>
        <v>7.6966882775538814E-2</v>
      </c>
      <c r="E25" s="45">
        <f>'Historical FS'!E24</f>
        <v>7.5224752559484978E-2</v>
      </c>
      <c r="F25" s="45">
        <f>'Historical FS'!F24</f>
        <v>8.5382521923193233E-2</v>
      </c>
      <c r="G25" s="45">
        <f>'Historical FS'!G24</f>
        <v>6.9544338095185648E-2</v>
      </c>
      <c r="H25" s="45">
        <f>'Historical FS'!H24</f>
        <v>4.0737717971176049E-2</v>
      </c>
      <c r="I25" s="45">
        <f>'Historical FS'!I24</f>
        <v>4.3825683774385282E-2</v>
      </c>
      <c r="J25" s="45">
        <f>'Historical FS'!J24</f>
        <v>4.6038959711651804E-2</v>
      </c>
      <c r="K25" s="45">
        <f>'Historical FS'!K24</f>
        <v>4.6951259191774584E-2</v>
      </c>
      <c r="L25" s="45">
        <f>'Historical FS'!L24</f>
        <v>4.3984293514939564E-2</v>
      </c>
      <c r="M25" s="78"/>
      <c r="N25" s="46">
        <f t="shared" si="2"/>
        <v>6.0665003550025784E-2</v>
      </c>
      <c r="O25" s="46">
        <f t="shared" si="1"/>
        <v>5.824779864348012E-2</v>
      </c>
    </row>
    <row r="26" spans="2:15" x14ac:dyDescent="0.3">
      <c r="B26" t="s">
        <v>127</v>
      </c>
      <c r="C26" s="41">
        <f>'Historical FS'!C30</f>
        <v>2.3366057558335068E-2</v>
      </c>
      <c r="D26" s="41">
        <f>'Historical FS'!D30</f>
        <v>2.4867122247532271E-2</v>
      </c>
      <c r="E26" s="41">
        <f>'Historical FS'!E30</f>
        <v>2.6417288222115084E-2</v>
      </c>
      <c r="F26" s="41">
        <f>'Historical FS'!F30</f>
        <v>2.4324160870879952E-2</v>
      </c>
      <c r="G26" s="41">
        <f>'Historical FS'!G30</f>
        <v>3.1864391845006661E-2</v>
      </c>
      <c r="H26" s="41">
        <f>'Historical FS'!H30</f>
        <v>3.2516522016084085E-2</v>
      </c>
      <c r="I26" s="41">
        <f>'Historical FS'!I30</f>
        <v>2.8575891352422292E-2</v>
      </c>
      <c r="J26" s="41">
        <f>'Historical FS'!J30</f>
        <v>2.8787125171189708E-2</v>
      </c>
      <c r="K26" s="41">
        <f>'Historical FS'!K30</f>
        <v>3.0441855925034164E-2</v>
      </c>
      <c r="L26" s="41">
        <f>'Historical FS'!L30</f>
        <v>2.9523283637032948E-2</v>
      </c>
      <c r="N26" s="42">
        <f t="shared" si="2"/>
        <v>2.8068369884563221E-2</v>
      </c>
      <c r="O26" s="42">
        <f t="shared" si="1"/>
        <v>2.8681508261806002E-2</v>
      </c>
    </row>
    <row r="27" spans="2:15" x14ac:dyDescent="0.3">
      <c r="B27" s="47" t="s">
        <v>136</v>
      </c>
      <c r="C27" s="49">
        <f>'Historical FS'!C27</f>
        <v>0.27352220496148366</v>
      </c>
      <c r="D27" s="49">
        <f>'Historical FS'!D27</f>
        <v>0.27165469306699375</v>
      </c>
      <c r="E27" s="49">
        <f>'Historical FS'!E27</f>
        <v>0.26689543688494372</v>
      </c>
      <c r="F27" s="49">
        <f>'Historical FS'!F27</f>
        <v>0.24396734200181433</v>
      </c>
      <c r="G27" s="49">
        <f>'Historical FS'!G27</f>
        <v>0.24525558700752279</v>
      </c>
      <c r="H27" s="49">
        <f>'Historical FS'!H27</f>
        <v>0.27757982323433394</v>
      </c>
      <c r="I27" s="49">
        <f>'Historical FS'!I27</f>
        <v>0.25888475102966929</v>
      </c>
      <c r="J27" s="49">
        <f>'Historical FS'!J27</f>
        <v>0.23935898396778568</v>
      </c>
      <c r="K27" s="49">
        <f>'Historical FS'!K27</f>
        <v>0.23703390381987374</v>
      </c>
      <c r="L27" s="49">
        <f>'Historical FS'!L27</f>
        <v>0.24072642493404503</v>
      </c>
      <c r="M27" s="79"/>
      <c r="N27" s="50">
        <f t="shared" si="2"/>
        <v>0.25548791509084656</v>
      </c>
      <c r="O27" s="50">
        <f t="shared" si="1"/>
        <v>0.25207016901859602</v>
      </c>
    </row>
    <row r="29" spans="2:15" x14ac:dyDescent="0.3">
      <c r="B29" s="43" t="s">
        <v>128</v>
      </c>
      <c r="C29" s="45">
        <f>IFERROR('Historical FS'!C26/SUM('Historical FS'!C64:C66),"-")</f>
        <v>0.27660987302409951</v>
      </c>
      <c r="D29" s="45">
        <f>IFERROR('Historical FS'!D26/SUM('Historical FS'!D64:D66),"-")</f>
        <v>0.26969354324316486</v>
      </c>
      <c r="E29" s="45">
        <f>IFERROR('Historical FS'!E26/SUM('Historical FS'!E64:E66),"-")</f>
        <v>0.28991266577330066</v>
      </c>
      <c r="F29" s="45">
        <f>IFERROR('Historical FS'!F26/SUM('Historical FS'!F64:F66),"-")</f>
        <v>0.31055613721746628</v>
      </c>
      <c r="G29" s="45">
        <f>IFERROR('Historical FS'!G26/SUM('Historical FS'!G64:G66),"-")</f>
        <v>0.31772327097869668</v>
      </c>
      <c r="H29" s="45">
        <f>IFERROR('Historical FS'!H26/SUM('Historical FS'!H64:H66),"-")</f>
        <v>0.34145893530535287</v>
      </c>
      <c r="I29" s="45">
        <f>IFERROR('Historical FS'!I26/SUM('Historical FS'!I64:I66),"-")</f>
        <v>0.38962436899930714</v>
      </c>
      <c r="J29" s="45">
        <f>IFERROR('Historical FS'!J26/SUM('Historical FS'!J64:J66),"-")</f>
        <v>0.41968317683320194</v>
      </c>
      <c r="K29" s="45">
        <f>IFERROR('Historical FS'!K26/SUM('Historical FS'!K64:K66),"-")</f>
        <v>0.37755895309665716</v>
      </c>
      <c r="L29" s="45">
        <f>IFERROR('Historical FS'!L26/SUM('Historical FS'!L64:L66),"-")</f>
        <v>0.37710605987793744</v>
      </c>
      <c r="M29" s="78"/>
      <c r="N29" s="46">
        <f t="shared" si="2"/>
        <v>0.33699269843491847</v>
      </c>
      <c r="O29" s="46">
        <f t="shared" si="1"/>
        <v>0.32959110314202478</v>
      </c>
    </row>
    <row r="30" spans="2:15" x14ac:dyDescent="0.3">
      <c r="B30" t="s">
        <v>129</v>
      </c>
      <c r="C30" s="41">
        <f>'Historical FS'!C58</f>
        <v>0.58867225146415603</v>
      </c>
      <c r="D30" s="41">
        <f>'Historical FS'!D58</f>
        <v>0.58952135442067854</v>
      </c>
      <c r="E30" s="41">
        <f>'Historical FS'!E58</f>
        <v>0.40947033501778018</v>
      </c>
      <c r="F30" s="41">
        <f>'Historical FS'!F58</f>
        <v>0.40152498377676826</v>
      </c>
      <c r="G30" s="41">
        <f>'Historical FS'!G58</f>
        <v>0.55363904080774073</v>
      </c>
      <c r="H30" s="41">
        <f>'Historical FS'!H58</f>
        <v>0.40948360191525501</v>
      </c>
      <c r="I30" s="41">
        <f>'Historical FS'!I58</f>
        <v>0.41264336674794544</v>
      </c>
      <c r="J30" s="41">
        <f>'Historical FS'!J58</f>
        <v>0.41640949062551846</v>
      </c>
      <c r="K30" s="41">
        <f>'Historical FS'!K58</f>
        <v>0.27410850350502891</v>
      </c>
      <c r="L30" s="41">
        <f>'Historical FS'!L58</f>
        <v>0.33354018691588794</v>
      </c>
      <c r="N30" s="42">
        <f t="shared" si="2"/>
        <v>0.43890131151967599</v>
      </c>
      <c r="O30" s="42">
        <f t="shared" si="1"/>
        <v>0.41106348433160023</v>
      </c>
    </row>
    <row r="31" spans="2:15" x14ac:dyDescent="0.3">
      <c r="B31" t="s">
        <v>130</v>
      </c>
      <c r="C31" s="41">
        <f>IFERROR('Historical FS'!C47/SUM('Historical FS'!C64:C65),"-")</f>
        <v>0.2184665716506867</v>
      </c>
      <c r="D31" s="41">
        <f>IFERROR('Historical FS'!D47/SUM('Historical FS'!D64:D65),"-")</f>
        <v>0.20806877156359629</v>
      </c>
      <c r="E31" s="41">
        <f>IFERROR('Historical FS'!E47/SUM('Historical FS'!E64:E65),"-")</f>
        <v>0.24689247262141306</v>
      </c>
      <c r="F31" s="41">
        <f>IFERROR('Historical FS'!F47/SUM('Historical FS'!F64:F65),"-")</f>
        <v>0.23726673646609595</v>
      </c>
      <c r="G31" s="41">
        <f>IFERROR('Historical FS'!G47/SUM('Historical FS'!G64:G65),"-")</f>
        <v>0.25422459893048127</v>
      </c>
      <c r="H31" s="41">
        <f>IFERROR('Historical FS'!H47/SUM('Historical FS'!H64:H65),"-")</f>
        <v>0.2543909051616875</v>
      </c>
      <c r="I31" s="41">
        <f>IFERROR('Historical FS'!I47/SUM('Historical FS'!I64:I65),"-")</f>
        <v>0.29390842733908429</v>
      </c>
      <c r="J31" s="41">
        <f>IFERROR('Historical FS'!J47/SUM('Historical FS'!J64:J65),"-")</f>
        <v>0.31970506716883046</v>
      </c>
      <c r="K31" s="41">
        <f>IFERROR('Historical FS'!K47/SUM('Historical FS'!K64:K65),"-")</f>
        <v>0.29788006718416632</v>
      </c>
      <c r="L31" s="41">
        <f>IFERROR('Historical FS'!L47/SUM('Historical FS'!L64:L65),"-")</f>
        <v>0.27917510279905655</v>
      </c>
      <c r="N31" s="42">
        <f t="shared" si="2"/>
        <v>0.26099787208850983</v>
      </c>
      <c r="O31" s="42">
        <f t="shared" si="1"/>
        <v>0.25430775204608436</v>
      </c>
    </row>
    <row r="32" spans="2:15" x14ac:dyDescent="0.3">
      <c r="B32" t="s">
        <v>137</v>
      </c>
      <c r="C32" s="41">
        <f>IFERROR(C31*C30,"-")</f>
        <v>0.1286052086032651</v>
      </c>
      <c r="D32" s="41">
        <f t="shared" ref="D32:L32" si="3">IFERROR(D31*D30,"-")</f>
        <v>0.12266098402481805</v>
      </c>
      <c r="E32" s="41">
        <f t="shared" si="3"/>
        <v>0.10109514347765813</v>
      </c>
      <c r="F32" s="41">
        <f t="shared" si="3"/>
        <v>9.5268522510315923E-2</v>
      </c>
      <c r="G32" s="41">
        <f t="shared" si="3"/>
        <v>0.14074866310160425</v>
      </c>
      <c r="H32" s="41">
        <f t="shared" si="3"/>
        <v>0.10416890414008984</v>
      </c>
      <c r="I32" s="41">
        <f t="shared" si="3"/>
        <v>0.12127936297279363</v>
      </c>
      <c r="J32" s="41">
        <f t="shared" si="3"/>
        <v>0.13312822417016987</v>
      </c>
      <c r="K32" s="41">
        <f t="shared" si="3"/>
        <v>8.1651459439829308E-2</v>
      </c>
      <c r="L32" s="41">
        <f t="shared" si="3"/>
        <v>9.3116115969859553E-2</v>
      </c>
      <c r="N32" s="42">
        <f t="shared" si="2"/>
        <v>0.11217225884104036</v>
      </c>
      <c r="O32" s="42">
        <f t="shared" si="1"/>
        <v>0.11272413355644173</v>
      </c>
    </row>
    <row r="33" spans="2:15" x14ac:dyDescent="0.3">
      <c r="B33" s="47" t="s">
        <v>138</v>
      </c>
      <c r="C33" s="51" t="str">
        <f>IFERROR('Historical FS'!C26/'Historical FS'!C38,"-")</f>
        <v>-</v>
      </c>
      <c r="D33" s="51" t="str">
        <f>IFERROR('Historical FS'!D26/'Historical FS'!D38,"-")</f>
        <v>-</v>
      </c>
      <c r="E33" s="51" t="str">
        <f>IFERROR('Historical FS'!E26/'Historical FS'!E38,"-")</f>
        <v>-</v>
      </c>
      <c r="F33" s="51" t="str">
        <f>IFERROR('Historical FS'!F26/'Historical FS'!F38,"-")</f>
        <v>-</v>
      </c>
      <c r="G33" s="51">
        <f>IFERROR('Historical FS'!G26/'Historical FS'!G38,"-")</f>
        <v>130.98235294117646</v>
      </c>
      <c r="H33" s="51">
        <f>IFERROR('Historical FS'!H26/'Historical FS'!H38,"-")</f>
        <v>143.02051282051283</v>
      </c>
      <c r="I33" s="51">
        <f>IFERROR('Historical FS'!I26/'Historical FS'!I38,"-")</f>
        <v>157.45500000000001</v>
      </c>
      <c r="J33" s="51">
        <f>IFERROR('Historical FS'!J26/'Historical FS'!J38,"-")</f>
        <v>123.69718309859155</v>
      </c>
      <c r="K33" s="51">
        <f>IFERROR('Historical FS'!K26/'Historical FS'!K38,"-")</f>
        <v>77.5</v>
      </c>
      <c r="L33" s="51">
        <f>IFERROR('Historical FS'!L26/'Historical FS'!L38,"-")</f>
        <v>94.317307692307693</v>
      </c>
      <c r="M33" s="79"/>
      <c r="N33" s="51">
        <f t="shared" si="2"/>
        <v>121.16205942543144</v>
      </c>
      <c r="O33" s="51">
        <f t="shared" si="1"/>
        <v>127.339768019884</v>
      </c>
    </row>
    <row r="35" spans="2:15" x14ac:dyDescent="0.3">
      <c r="B35" s="43" t="s">
        <v>131</v>
      </c>
      <c r="C35" s="52">
        <f>IFERROR('Historical FS'!C14/'Historical FS'!C75,"-")</f>
        <v>5.5111209179170348</v>
      </c>
      <c r="D35" s="52">
        <f>IFERROR('Historical FS'!D14/'Historical FS'!D75,"-")</f>
        <v>5.5578639831196233</v>
      </c>
      <c r="E35" s="52">
        <f>IFERROR('Historical FS'!E14/'Historical FS'!E75,"-")</f>
        <v>5.3661543144118093</v>
      </c>
      <c r="F35" s="52">
        <f>IFERROR('Historical FS'!F14/'Historical FS'!F75,"-")</f>
        <v>5.5759762595265396</v>
      </c>
      <c r="G35" s="52">
        <f>IFERROR('Historical FS'!G14/'Historical FS'!G75,"-")</f>
        <v>4.9110726456428839</v>
      </c>
      <c r="H35" s="52">
        <f>IFERROR('Historical FS'!H14/'Historical FS'!H75,"-")</f>
        <v>5.2074219964755883</v>
      </c>
      <c r="I35" s="52">
        <f>IFERROR('Historical FS'!I14/'Historical FS'!I75,"-")</f>
        <v>5.3591065292096216</v>
      </c>
      <c r="J35" s="52">
        <f>IFERROR('Historical FS'!J14/'Historical FS'!J75,"-")</f>
        <v>5.7727737570799249</v>
      </c>
      <c r="K35" s="52">
        <f>IFERROR('Historical FS'!K14/'Historical FS'!K75,"-")</f>
        <v>5.0895903023879709</v>
      </c>
      <c r="L35" s="52">
        <f>IFERROR('Historical FS'!L14/'Historical FS'!L75,"-")</f>
        <v>5.2310803004043906</v>
      </c>
      <c r="M35" s="78"/>
      <c r="N35" s="52">
        <f t="shared" si="2"/>
        <v>5.3582161006175379</v>
      </c>
      <c r="O35" s="52">
        <f t="shared" si="1"/>
        <v>5.3626304218107155</v>
      </c>
    </row>
    <row r="36" spans="2:15" x14ac:dyDescent="0.3">
      <c r="B36" t="s">
        <v>133</v>
      </c>
      <c r="C36" s="53">
        <f>IFERROR('Historical FS'!C14/'Historical FS'!C67,"-")</f>
        <v>4.6758274674254903</v>
      </c>
      <c r="D36" s="53">
        <f>IFERROR('Historical FS'!D14/'Historical FS'!D67,"-")</f>
        <v>4.8343922066920797</v>
      </c>
      <c r="E36" s="53">
        <f>IFERROR('Historical FS'!E14/'Historical FS'!E67,"-")</f>
        <v>4.8885345903230277</v>
      </c>
      <c r="F36" s="53">
        <f>IFERROR('Historical FS'!F14/'Historical FS'!F67,"-")</f>
        <v>4.3244586253792239</v>
      </c>
      <c r="G36" s="53">
        <f>IFERROR('Historical FS'!G14/'Historical FS'!G67,"-")</f>
        <v>4.1806418934475298</v>
      </c>
      <c r="H36" s="53">
        <f>IFERROR('Historical FS'!H14/'Historical FS'!H67,"-")</f>
        <v>3.8889878072382427</v>
      </c>
      <c r="I36" s="53">
        <f>IFERROR('Historical FS'!I14/'Historical FS'!I67,"-")</f>
        <v>3.3878568444506336</v>
      </c>
      <c r="J36" s="53">
        <f>IFERROR('Historical FS'!J14/'Historical FS'!J67,"-")</f>
        <v>3.5893127904133042</v>
      </c>
      <c r="K36" s="53">
        <f>IFERROR('Historical FS'!K14/'Historical FS'!K67,"-")</f>
        <v>3.7585911703558761</v>
      </c>
      <c r="L36" s="53">
        <f>IFERROR('Historical FS'!L14/'Historical FS'!L67,"-")</f>
        <v>3.7254857142857141</v>
      </c>
      <c r="N36" s="53">
        <f t="shared" si="2"/>
        <v>4.1254089110011121</v>
      </c>
      <c r="O36" s="53">
        <f t="shared" si="1"/>
        <v>4.0348148503428867</v>
      </c>
    </row>
    <row r="37" spans="2:15" x14ac:dyDescent="0.3">
      <c r="B37" t="s">
        <v>132</v>
      </c>
      <c r="C37" s="53" t="str">
        <f>IFERROR('Historical FS'!C14/'Historical FS'!C76,"-")</f>
        <v>-</v>
      </c>
      <c r="D37" s="53" t="str">
        <f>IFERROR('Historical FS'!D14/'Historical FS'!D76,"-")</f>
        <v>-</v>
      </c>
      <c r="E37" s="53" t="str">
        <f>IFERROR('Historical FS'!E14/'Historical FS'!E76,"-")</f>
        <v>-</v>
      </c>
      <c r="F37" s="53" t="str">
        <f>IFERROR('Historical FS'!F14/'Historical FS'!F76,"-")</f>
        <v>-</v>
      </c>
      <c r="G37" s="53" t="str">
        <f>IFERROR('Historical FS'!G14/'Historical FS'!G76,"-")</f>
        <v>-</v>
      </c>
      <c r="H37" s="53" t="str">
        <f>IFERROR('Historical FS'!H14/'Historical FS'!H76,"-")</f>
        <v>-</v>
      </c>
      <c r="I37" s="53" t="str">
        <f>IFERROR('Historical FS'!I14/'Historical FS'!I76,"-")</f>
        <v>-</v>
      </c>
      <c r="J37" s="53" t="str">
        <f>IFERROR('Historical FS'!J14/'Historical FS'!J76,"-")</f>
        <v>-</v>
      </c>
      <c r="K37" s="53" t="str">
        <f>IFERROR('Historical FS'!K14/'Historical FS'!K76,"-")</f>
        <v>-</v>
      </c>
      <c r="L37" s="53" t="str">
        <f>IFERROR('Historical FS'!L14/'Historical FS'!L76,"-")</f>
        <v>-</v>
      </c>
      <c r="N37" s="53" t="str">
        <f t="shared" si="2"/>
        <v>-</v>
      </c>
      <c r="O37" s="53" t="str">
        <f t="shared" si="1"/>
        <v>-</v>
      </c>
    </row>
    <row r="38" spans="2:15" x14ac:dyDescent="0.3">
      <c r="B38" t="s">
        <v>135</v>
      </c>
      <c r="C38" s="53">
        <f>IFERROR('Historical FS'!C14/'Historical FS'!C70,"-")</f>
        <v>4.6646496339459134</v>
      </c>
      <c r="D38" s="53">
        <f>IFERROR('Historical FS'!D14/'Historical FS'!D70,"-")</f>
        <v>4.8299597997037873</v>
      </c>
      <c r="E38" s="53">
        <f>IFERROR('Historical FS'!E14/'Historical FS'!E70,"-")</f>
        <v>5.6085573405439799</v>
      </c>
      <c r="F38" s="53">
        <f>IFERROR('Historical FS'!F14/'Historical FS'!F70,"-")</f>
        <v>5.2625716104392106</v>
      </c>
      <c r="G38" s="53">
        <f>IFERROR('Historical FS'!G14/'Historical FS'!G70,"-")</f>
        <v>3.8165118332002188</v>
      </c>
      <c r="H38" s="53">
        <f>IFERROR('Historical FS'!H14/'Historical FS'!H70,"-")</f>
        <v>3.9393060184277591</v>
      </c>
      <c r="I38" s="53">
        <f>IFERROR('Historical FS'!I14/'Historical FS'!I70,"-")</f>
        <v>4.7147674418604648</v>
      </c>
      <c r="J38" s="53">
        <f>IFERROR('Historical FS'!J14/'Historical FS'!J70,"-")</f>
        <v>5.0219674935842598</v>
      </c>
      <c r="K38" s="53">
        <f>IFERROR('Historical FS'!K14/'Historical FS'!K70,"-")</f>
        <v>5.5633190934762142</v>
      </c>
      <c r="L38" s="53">
        <f>IFERROR('Historical FS'!L14/'Historical FS'!L70,"-")</f>
        <v>5.2643648460967025</v>
      </c>
      <c r="N38" s="53">
        <f t="shared" si="2"/>
        <v>4.8685975111278523</v>
      </c>
      <c r="O38" s="53">
        <f t="shared" si="1"/>
        <v>4.9259636466440231</v>
      </c>
    </row>
    <row r="39" spans="2:15" x14ac:dyDescent="0.3">
      <c r="B39" s="47" t="s">
        <v>134</v>
      </c>
      <c r="C39" s="51">
        <f>IFERROR('Historical FS'!C14/SUM('Historical FS'!C64:C65),"-")</f>
        <v>1.0112885462555066</v>
      </c>
      <c r="D39" s="51">
        <f>IFERROR('Historical FS'!D14/SUM('Historical FS'!D64:D65),"-")</f>
        <v>0.99278072540662776</v>
      </c>
      <c r="E39" s="51">
        <f>IFERROR('Historical FS'!E14/SUM('Historical FS'!E64:E65),"-")</f>
        <v>1.0862406235078477</v>
      </c>
      <c r="F39" s="51">
        <f>IFERROR('Historical FS'!F14/SUM('Historical FS'!F64:F65),"-")</f>
        <v>1.2729414300671307</v>
      </c>
      <c r="G39" s="51">
        <f>IFERROR('Historical FS'!G14/SUM('Historical FS'!G64:G65),"-")</f>
        <v>1.3871810542398777</v>
      </c>
      <c r="H39" s="51">
        <f>IFERROR('Historical FS'!H14/SUM('Historical FS'!H64:H65),"-")</f>
        <v>1.3159225157496299</v>
      </c>
      <c r="I39" s="51">
        <f>IFERROR('Historical FS'!I14/SUM('Historical FS'!I64:I65),"-")</f>
        <v>1.6143463835434639</v>
      </c>
      <c r="J39" s="51">
        <f>IFERROR('Historical FS'!J14/SUM('Historical FS'!J64:J65),"-")</f>
        <v>1.9463312424575967</v>
      </c>
      <c r="K39" s="51">
        <f>IFERROR('Historical FS'!K14/SUM('Historical FS'!K64:K65),"-")</f>
        <v>1.7439511552952927</v>
      </c>
      <c r="L39" s="51">
        <f>IFERROR('Historical FS'!L14/SUM('Historical FS'!L64:L65),"-")</f>
        <v>1.701037383372644</v>
      </c>
      <c r="M39" s="79"/>
      <c r="N39" s="51">
        <f t="shared" si="2"/>
        <v>1.4072021059895614</v>
      </c>
      <c r="O39" s="51">
        <f t="shared" si="1"/>
        <v>1.3515517849947538</v>
      </c>
    </row>
    <row r="41" spans="2:15" x14ac:dyDescent="0.3">
      <c r="B41" s="43" t="s">
        <v>30</v>
      </c>
      <c r="C41" s="83">
        <f>IFERROR(365/C35,"-")</f>
        <v>66.229720856488527</v>
      </c>
      <c r="D41" s="83">
        <f t="shared" ref="D41:L41" si="4">IFERROR(365/D35,"-")</f>
        <v>65.672711874306415</v>
      </c>
      <c r="E41" s="83">
        <f t="shared" si="4"/>
        <v>68.018916082924477</v>
      </c>
      <c r="F41" s="83">
        <f t="shared" si="4"/>
        <v>65.459389174478375</v>
      </c>
      <c r="G41" s="83">
        <f t="shared" si="4"/>
        <v>74.321849081957467</v>
      </c>
      <c r="H41" s="83">
        <f t="shared" si="4"/>
        <v>70.092264511505689</v>
      </c>
      <c r="I41" s="83">
        <f t="shared" si="4"/>
        <v>68.108368066688044</v>
      </c>
      <c r="J41" s="83">
        <f t="shared" si="4"/>
        <v>63.227837320378555</v>
      </c>
      <c r="K41" s="83">
        <f t="shared" si="4"/>
        <v>71.715006182078483</v>
      </c>
      <c r="L41" s="83">
        <f t="shared" si="4"/>
        <v>69.775262286029815</v>
      </c>
      <c r="M41" s="78"/>
      <c r="N41" s="80">
        <f>IFERROR(AVERAGE(C41:L41),"-")</f>
        <v>68.262132543683578</v>
      </c>
      <c r="O41" s="80">
        <f t="shared" si="1"/>
        <v>68.063642074806268</v>
      </c>
    </row>
    <row r="42" spans="2:15" x14ac:dyDescent="0.3">
      <c r="B42" t="s">
        <v>142</v>
      </c>
      <c r="C42" s="84">
        <f>IFERROR(365/C36,"-")</f>
        <v>78.061049630851528</v>
      </c>
      <c r="D42" s="84">
        <f t="shared" ref="D42:L42" si="5">IFERROR(365/D36,"-")</f>
        <v>75.50070089363939</v>
      </c>
      <c r="E42" s="84">
        <f t="shared" si="5"/>
        <v>74.664501857576354</v>
      </c>
      <c r="F42" s="84">
        <f t="shared" si="5"/>
        <v>84.403628666465067</v>
      </c>
      <c r="G42" s="84">
        <f t="shared" si="5"/>
        <v>87.307167009945914</v>
      </c>
      <c r="H42" s="84">
        <f t="shared" si="5"/>
        <v>93.854755553786134</v>
      </c>
      <c r="I42" s="84">
        <f t="shared" si="5"/>
        <v>107.73772823307931</v>
      </c>
      <c r="J42" s="84">
        <f t="shared" si="5"/>
        <v>101.69077517425579</v>
      </c>
      <c r="K42" s="84">
        <f t="shared" si="5"/>
        <v>97.110854428320437</v>
      </c>
      <c r="L42" s="84">
        <f t="shared" si="5"/>
        <v>97.973802073746867</v>
      </c>
      <c r="N42" s="81">
        <f>IFERROR(AVERAGE(C42:L42),"-")</f>
        <v>89.830496352166691</v>
      </c>
      <c r="O42" s="81">
        <f>IFERROR(MEDIAN(C42:L42),"-")</f>
        <v>90.580961281866024</v>
      </c>
    </row>
    <row r="43" spans="2:15" x14ac:dyDescent="0.3">
      <c r="B43" t="s">
        <v>143</v>
      </c>
      <c r="C43" s="85" t="str">
        <f>IFERROR(365/C37,"-")</f>
        <v>-</v>
      </c>
      <c r="D43" s="85" t="str">
        <f t="shared" ref="D43:L43" si="6">IFERROR(365/D37,"-")</f>
        <v>-</v>
      </c>
      <c r="E43" s="85" t="str">
        <f t="shared" si="6"/>
        <v>-</v>
      </c>
      <c r="F43" s="85" t="str">
        <f t="shared" si="6"/>
        <v>-</v>
      </c>
      <c r="G43" s="85" t="str">
        <f t="shared" si="6"/>
        <v>-</v>
      </c>
      <c r="H43" s="85" t="str">
        <f t="shared" si="6"/>
        <v>-</v>
      </c>
      <c r="I43" s="85" t="str">
        <f t="shared" si="6"/>
        <v>-</v>
      </c>
      <c r="J43" s="85" t="str">
        <f t="shared" si="6"/>
        <v>-</v>
      </c>
      <c r="K43" s="85" t="str">
        <f t="shared" si="6"/>
        <v>-</v>
      </c>
      <c r="L43" s="85" t="str">
        <f t="shared" si="6"/>
        <v>-</v>
      </c>
      <c r="N43" s="81" t="str">
        <f t="shared" si="2"/>
        <v>-</v>
      </c>
      <c r="O43" s="81" t="str">
        <f t="shared" si="1"/>
        <v>-</v>
      </c>
    </row>
    <row r="44" spans="2:15" x14ac:dyDescent="0.3">
      <c r="B44" s="47" t="s">
        <v>144</v>
      </c>
      <c r="C44" s="86">
        <f>IFERROR(SUM(C41,C43)-C42,"-")</f>
        <v>-11.831328774363001</v>
      </c>
      <c r="D44" s="86">
        <f t="shared" ref="D44:L44" si="7">IFERROR(SUM(D41,D43)-D42,"-")</f>
        <v>-9.8279890193329749</v>
      </c>
      <c r="E44" s="86">
        <f t="shared" si="7"/>
        <v>-6.6455857746518774</v>
      </c>
      <c r="F44" s="86">
        <f t="shared" si="7"/>
        <v>-18.944239491986693</v>
      </c>
      <c r="G44" s="86">
        <f t="shared" si="7"/>
        <v>-12.985317927988447</v>
      </c>
      <c r="H44" s="86">
        <f t="shared" si="7"/>
        <v>-23.762491042280445</v>
      </c>
      <c r="I44" s="86">
        <f t="shared" si="7"/>
        <v>-39.629360166391265</v>
      </c>
      <c r="J44" s="86">
        <f t="shared" si="7"/>
        <v>-38.462937853877236</v>
      </c>
      <c r="K44" s="86">
        <f t="shared" si="7"/>
        <v>-25.395848246241954</v>
      </c>
      <c r="L44" s="86">
        <f t="shared" si="7"/>
        <v>-28.198539787717053</v>
      </c>
      <c r="M44" s="79"/>
      <c r="N44" s="82">
        <f t="shared" si="2"/>
        <v>-21.568363808483092</v>
      </c>
      <c r="O44" s="82">
        <f t="shared" si="1"/>
        <v>-21.353365267133569</v>
      </c>
    </row>
    <row r="46" spans="2:15" x14ac:dyDescent="0.3">
      <c r="B46" s="43" t="s">
        <v>139</v>
      </c>
      <c r="C46" s="45">
        <f>IFERROR('Historical FS'!C94/'Historical FS'!C14,"-")</f>
        <v>0.16059960602809051</v>
      </c>
      <c r="D46" s="45">
        <f>IFERROR('Historical FS'!D94/'Historical FS'!D14,"-")</f>
        <v>0.16837509491268032</v>
      </c>
      <c r="E46" s="45">
        <f>IFERROR('Historical FS'!E94/'Historical FS'!E14,"-")</f>
        <v>0.18743087263548963</v>
      </c>
      <c r="F46" s="45">
        <f>IFERROR('Historical FS'!F94/'Historical FS'!F14,"-")</f>
        <v>0.179510130027215</v>
      </c>
      <c r="G46" s="45">
        <f>IFERROR('Historical FS'!G94/'Historical FS'!G14,"-")</f>
        <v>0.18727627187716844</v>
      </c>
      <c r="H46" s="45">
        <f>IFERROR('Historical FS'!H94/'Historical FS'!H14,"-")</f>
        <v>0.23114897682936539</v>
      </c>
      <c r="I46" s="45">
        <f>IFERROR('Historical FS'!I94/'Historical FS'!I14,"-")</f>
        <v>0.1963564916434426</v>
      </c>
      <c r="J46" s="45">
        <f>IFERROR('Historical FS'!J94/'Historical FS'!J14,"-")</f>
        <v>0.15307937070322347</v>
      </c>
      <c r="K46" s="45">
        <f>IFERROR('Historical FS'!K94/'Historical FS'!K14,"-")</f>
        <v>0.16405284050237523</v>
      </c>
      <c r="L46" s="45">
        <f>IFERROR('Historical FS'!L94/'Historical FS'!L14,"-")</f>
        <v>0.21899503036996135</v>
      </c>
      <c r="M46" s="78"/>
      <c r="N46" s="46">
        <f t="shared" si="2"/>
        <v>0.18468246855290121</v>
      </c>
      <c r="O46" s="46">
        <f t="shared" si="1"/>
        <v>0.18339320095219172</v>
      </c>
    </row>
    <row r="47" spans="2:15" x14ac:dyDescent="0.3">
      <c r="B47" t="s">
        <v>140</v>
      </c>
      <c r="C47" s="41">
        <f>IFERROR('Historical FS'!C94/'Historical FS'!C81,"-")</f>
        <v>0.13353218461210684</v>
      </c>
      <c r="D47" s="41">
        <f>IFERROR('Historical FS'!D94/'Historical FS'!D81,"-")</f>
        <v>0.13868042526579111</v>
      </c>
      <c r="E47" s="41">
        <f>IFERROR('Historical FS'!E94/'Historical FS'!E81,"-")</f>
        <v>0.16658054921927182</v>
      </c>
      <c r="F47" s="41">
        <f>IFERROR('Historical FS'!F94/'Historical FS'!F81,"-")</f>
        <v>0.17653986153736351</v>
      </c>
      <c r="G47" s="41">
        <f>IFERROR('Historical FS'!G94/'Historical FS'!G81,"-")</f>
        <v>0.18521786492374728</v>
      </c>
      <c r="H47" s="41">
        <f>IFERROR('Historical FS'!H94/'Historical FS'!H81,"-")</f>
        <v>0.21601510543107216</v>
      </c>
      <c r="I47" s="41">
        <f>IFERROR('Historical FS'!I94/'Historical FS'!I81,"-")</f>
        <v>0.20461924628841163</v>
      </c>
      <c r="J47" s="41">
        <f>IFERROR('Historical FS'!J94/'Historical FS'!J81,"-")</f>
        <v>0.18031879033034767</v>
      </c>
      <c r="K47" s="41">
        <f>IFERROR('Historical FS'!K94/'Historical FS'!K81,"-")</f>
        <v>0.18353232382061735</v>
      </c>
      <c r="L47" s="41">
        <f>IFERROR('Historical FS'!L94/'Historical FS'!L81,"-")</f>
        <v>0.24151019993910483</v>
      </c>
      <c r="N47" s="42">
        <f t="shared" si="2"/>
        <v>0.18265465513678342</v>
      </c>
      <c r="O47" s="42">
        <f t="shared" si="1"/>
        <v>0.18192555707548252</v>
      </c>
    </row>
    <row r="48" spans="2:15" x14ac:dyDescent="0.3">
      <c r="B48" s="47" t="s">
        <v>141</v>
      </c>
      <c r="C48" s="49">
        <f>IFERROR('Historical FS'!C94/SUM('Historical FS'!C66+'Historical FS'!C67),"-")</f>
        <v>0.75093604912385803</v>
      </c>
      <c r="D48" s="49">
        <f>IFERROR('Historical FS'!D94/SUM('Historical FS'!D66+'Historical FS'!D67),"-")</f>
        <v>0.81399124664690103</v>
      </c>
      <c r="E48" s="49">
        <f>IFERROR('Historical FS'!E94/SUM('Historical FS'!E66+'Historical FS'!E67),"-")</f>
        <v>0.9162623041730209</v>
      </c>
      <c r="F48" s="49">
        <f>IFERROR('Historical FS'!F94/SUM('Historical FS'!F66+'Historical FS'!F67),"-")</f>
        <v>0.77628413013913589</v>
      </c>
      <c r="G48" s="49">
        <f>IFERROR('Historical FS'!G94/SUM('Historical FS'!G66+'Historical FS'!G67),"-")</f>
        <v>0.6452751423149905</v>
      </c>
      <c r="H48" s="49">
        <f>IFERROR('Historical FS'!H94/SUM('Historical FS'!H66+'Historical FS'!H67),"-")</f>
        <v>0.74531450577663672</v>
      </c>
      <c r="I48" s="49">
        <f>IFERROR('Historical FS'!I94/SUM('Historical FS'!I66+'Historical FS'!I67),"-")</f>
        <v>0.57722516252205225</v>
      </c>
      <c r="J48" s="49">
        <f>IFERROR('Historical FS'!J94/SUM('Historical FS'!J66+'Historical FS'!J67),"-")</f>
        <v>0.45674846002154951</v>
      </c>
      <c r="K48" s="49">
        <f>IFERROR('Historical FS'!K94/SUM('Historical FS'!K66+'Historical FS'!K67),"-")</f>
        <v>0.51194054097961172</v>
      </c>
      <c r="L48" s="49">
        <f>IFERROR('Historical FS'!L94/SUM('Historical FS'!L66+'Historical FS'!L67),"-")</f>
        <v>0.68672682147873099</v>
      </c>
      <c r="M48" s="79"/>
      <c r="N48" s="50">
        <f t="shared" si="2"/>
        <v>0.68807043631764875</v>
      </c>
      <c r="O48" s="50">
        <f t="shared" si="1"/>
        <v>0.7160206636276838</v>
      </c>
    </row>
    <row r="50" spans="2:15" ht="9" customHeight="1" x14ac:dyDescent="0.3">
      <c r="B50" s="121"/>
      <c r="C50" s="121"/>
      <c r="D50" s="121"/>
      <c r="E50" s="121"/>
      <c r="F50" s="121"/>
      <c r="G50" s="121"/>
      <c r="H50" s="121"/>
      <c r="I50" s="121"/>
      <c r="J50" s="121"/>
      <c r="K50" s="121"/>
      <c r="L50" s="121"/>
      <c r="M50" s="184"/>
      <c r="N50" s="185"/>
      <c r="O50" s="185"/>
    </row>
  </sheetData>
  <mergeCells count="1">
    <mergeCell ref="B10:O10"/>
  </mergeCells>
  <pageMargins left="0.2" right="0" top="0.5" bottom="0.5" header="0.3" footer="0.3"/>
  <pageSetup scale="67" orientation="landscape" r:id="rId1"/>
  <drawing r:id="rId2"/>
  <extLst>
    <ext xmlns:x14="http://schemas.microsoft.com/office/spreadsheetml/2009/9/main" uri="{05C60535-1F16-4fd2-B633-F4F36F0B64E0}">
      <x14:sparklineGroups xmlns:xm="http://schemas.microsoft.com/office/excel/2006/main">
        <x14:sparklineGroup displayEmptyCellsAs="gap" markers="1" xr2:uid="{EA6C9CEB-B95E-47B1-915D-C43FAEA44561}">
          <x14:colorSeries rgb="FF00B0F0"/>
          <x14:colorNegative rgb="FFFF0000"/>
          <x14:colorAxis rgb="FF000000"/>
          <x14:colorMarkers rgb="FFD00000"/>
          <x14:colorFirst rgb="FFD00000"/>
          <x14:colorLast rgb="FFD00000"/>
          <x14:colorHigh rgb="FFD00000"/>
          <x14:colorLow rgb="FFD00000"/>
          <x14:sparklines>
            <x14:sparkline>
              <xm:f>'Ratio Analysis'!D13:L13</xm:f>
              <xm:sqref>M13</xm:sqref>
            </x14:sparkline>
            <x14:sparkline>
              <xm:f>'Ratio Analysis'!D14:L14</xm:f>
              <xm:sqref>M14</xm:sqref>
            </x14:sparkline>
            <x14:sparkline>
              <xm:f>'Ratio Analysis'!D15:L15</xm:f>
              <xm:sqref>M15</xm:sqref>
            </x14:sparkline>
            <x14:sparkline>
              <xm:f>'Ratio Analysis'!D16:L16</xm:f>
              <xm:sqref>M16</xm:sqref>
            </x14:sparkline>
            <x14:sparkline>
              <xm:f>'Ratio Analysis'!D17:L17</xm:f>
              <xm:sqref>M17</xm:sqref>
            </x14:sparkline>
          </x14:sparklines>
        </x14:sparklineGroup>
        <x14:sparklineGroup displayEmptyCellsAs="gap" markers="1" xr2:uid="{ABC4657D-2030-4C83-BADF-5003A8E26952}">
          <x14:colorSeries rgb="FF00B0F0"/>
          <x14:colorNegative rgb="FFD00000"/>
          <x14:colorAxis rgb="FF000000"/>
          <x14:colorMarkers rgb="FFD00000"/>
          <x14:colorFirst rgb="FFD00000"/>
          <x14:colorLast rgb="FFD00000"/>
          <x14:colorHigh rgb="FFD00000"/>
          <x14:colorLow rgb="FFD00000"/>
          <x14:sparklines>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
              <xm:f>'Ratio Analysis'!C47:L47</xm:f>
              <xm:sqref>M47</xm:sqref>
            </x14:sparkline>
            <x14:sparkline>
              <xm:f>'Ratio Analysis'!C48:L48</xm:f>
              <xm:sqref>M48</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55FB-9BC1-4C4C-AB05-E4983AE20759}">
  <sheetPr>
    <pageSetUpPr fitToPage="1"/>
  </sheetPr>
  <dimension ref="A2:M47"/>
  <sheetViews>
    <sheetView showGridLines="0" zoomScaleNormal="100" workbookViewId="0">
      <selection activeCell="O17" sqref="O17"/>
    </sheetView>
  </sheetViews>
  <sheetFormatPr defaultRowHeight="14.4" outlineLevelRow="1" x14ac:dyDescent="0.3"/>
  <cols>
    <col min="1" max="1" width="2.33203125" customWidth="1"/>
    <col min="2" max="2" width="28" customWidth="1"/>
    <col min="3" max="12" width="12.44140625" customWidth="1"/>
  </cols>
  <sheetData>
    <row r="2" spans="1:13" ht="9" customHeight="1" x14ac:dyDescent="0.3">
      <c r="B2" s="121"/>
      <c r="C2" s="121"/>
      <c r="D2" s="121"/>
      <c r="E2" s="121"/>
      <c r="F2" s="121"/>
      <c r="G2" s="121"/>
      <c r="H2" s="121"/>
      <c r="I2" s="121"/>
      <c r="J2" s="121"/>
      <c r="K2" s="121"/>
      <c r="L2" s="121"/>
    </row>
    <row r="3" spans="1:13" ht="3.6" customHeight="1" x14ac:dyDescent="0.3"/>
    <row r="4" spans="1:13" ht="23.4" x14ac:dyDescent="0.45">
      <c r="B4" s="181" t="str">
        <f>'Data Sheet'!$B$1</f>
        <v>INFOSYS LTD</v>
      </c>
    </row>
    <row r="5" spans="1:13" x14ac:dyDescent="0.3">
      <c r="B5" t="s">
        <v>393</v>
      </c>
    </row>
    <row r="6" spans="1:13" ht="15.6" x14ac:dyDescent="0.3">
      <c r="B6" s="228">
        <v>1250</v>
      </c>
    </row>
    <row r="7" spans="1:13" x14ac:dyDescent="0.3">
      <c r="B7" t="s">
        <v>394</v>
      </c>
    </row>
    <row r="8" spans="1:13" ht="3.6" customHeight="1" thickBot="1" x14ac:dyDescent="0.35">
      <c r="B8" s="189"/>
      <c r="C8" s="189"/>
      <c r="D8" s="189"/>
      <c r="E8" s="189"/>
      <c r="F8" s="189"/>
      <c r="G8" s="189"/>
      <c r="H8" s="189"/>
      <c r="I8" s="189"/>
      <c r="J8" s="189"/>
      <c r="K8" s="189"/>
      <c r="L8" s="189"/>
    </row>
    <row r="10" spans="1:13" x14ac:dyDescent="0.3">
      <c r="B10" s="281" t="str">
        <f>"Common Size Statements"</f>
        <v>Common Size Statements</v>
      </c>
      <c r="C10" s="281"/>
      <c r="D10" s="281"/>
      <c r="E10" s="281"/>
      <c r="F10" s="281"/>
      <c r="G10" s="281"/>
      <c r="H10" s="281"/>
      <c r="I10" s="281"/>
      <c r="J10" s="281"/>
      <c r="K10" s="281"/>
      <c r="L10" s="281"/>
      <c r="M10" s="33"/>
    </row>
    <row r="11" spans="1:13" x14ac:dyDescent="0.3">
      <c r="B11" s="10" t="s">
        <v>55</v>
      </c>
      <c r="C11" s="11">
        <f>'Data Sheet'!B16</f>
        <v>42460</v>
      </c>
      <c r="D11" s="11">
        <f>'Data Sheet'!C16</f>
        <v>42825</v>
      </c>
      <c r="E11" s="11">
        <f>'Data Sheet'!D16</f>
        <v>43190</v>
      </c>
      <c r="F11" s="11">
        <f>'Data Sheet'!E16</f>
        <v>43555</v>
      </c>
      <c r="G11" s="11">
        <f>'Data Sheet'!F16</f>
        <v>43921</v>
      </c>
      <c r="H11" s="11">
        <f>'Data Sheet'!G16</f>
        <v>44286</v>
      </c>
      <c r="I11" s="11">
        <f>'Data Sheet'!H16</f>
        <v>44651</v>
      </c>
      <c r="J11" s="11">
        <f>'Data Sheet'!I16</f>
        <v>45016</v>
      </c>
      <c r="K11" s="11">
        <f>'Data Sheet'!J16</f>
        <v>45382</v>
      </c>
      <c r="L11" s="11">
        <f>'Data Sheet'!K16</f>
        <v>45747</v>
      </c>
      <c r="M11" s="15"/>
    </row>
    <row r="12" spans="1:13" s="13" customFormat="1" x14ac:dyDescent="0.3">
      <c r="B12" s="14"/>
      <c r="C12" s="15"/>
      <c r="D12" s="15"/>
      <c r="E12" s="15"/>
      <c r="F12" s="15"/>
      <c r="G12" s="15"/>
      <c r="H12" s="15"/>
      <c r="I12" s="15"/>
      <c r="J12" s="15"/>
      <c r="K12" s="15"/>
      <c r="L12" s="15"/>
      <c r="M12" s="15"/>
    </row>
    <row r="13" spans="1:13" x14ac:dyDescent="0.3">
      <c r="A13" s="2" t="s">
        <v>57</v>
      </c>
      <c r="B13" s="17" t="s">
        <v>58</v>
      </c>
      <c r="C13" s="18"/>
      <c r="D13" s="18"/>
      <c r="E13" s="18"/>
      <c r="F13" s="18"/>
      <c r="G13" s="18"/>
      <c r="H13" s="18"/>
      <c r="I13" s="19"/>
      <c r="J13" s="18"/>
      <c r="K13" s="18"/>
      <c r="L13" s="18"/>
      <c r="M13" s="13"/>
    </row>
    <row r="14" spans="1:13" ht="15" outlineLevel="1" thickBot="1" x14ac:dyDescent="0.35">
      <c r="B14" s="92" t="str">
        <f>'Data Sheet'!A17</f>
        <v>Sales</v>
      </c>
      <c r="C14" s="93">
        <f>IFERROR('Data Sheet'!B17/'Data Sheet'!B$17,"-")</f>
        <v>1</v>
      </c>
      <c r="D14" s="93">
        <f>IFERROR('Data Sheet'!C17/'Data Sheet'!C$17,"-")</f>
        <v>1</v>
      </c>
      <c r="E14" s="93">
        <f>IFERROR('Data Sheet'!D17/'Data Sheet'!D$17,"-")</f>
        <v>1</v>
      </c>
      <c r="F14" s="93">
        <f>IFERROR('Data Sheet'!E17/'Data Sheet'!E$17,"-")</f>
        <v>1</v>
      </c>
      <c r="G14" s="93">
        <f>IFERROR('Data Sheet'!F17/'Data Sheet'!F$17,"-")</f>
        <v>1</v>
      </c>
      <c r="H14" s="93">
        <f>IFERROR('Data Sheet'!G17/'Data Sheet'!G$17,"-")</f>
        <v>1</v>
      </c>
      <c r="I14" s="93">
        <f>IFERROR('Data Sheet'!H17/'Data Sheet'!H$17,"-")</f>
        <v>1</v>
      </c>
      <c r="J14" s="93">
        <f>IFERROR('Data Sheet'!I17/'Data Sheet'!I$17,"-")</f>
        <v>1</v>
      </c>
      <c r="K14" s="93">
        <f>IFERROR('Data Sheet'!J17/'Data Sheet'!J$17,"-")</f>
        <v>1</v>
      </c>
      <c r="L14" s="93">
        <f>IFERROR('Data Sheet'!K17/'Data Sheet'!K$17,"-")</f>
        <v>1</v>
      </c>
    </row>
    <row r="15" spans="1:13" outlineLevel="1" x14ac:dyDescent="0.3">
      <c r="B15" t="str">
        <f>'Data Sheet'!A18</f>
        <v>Raw Material Cost</v>
      </c>
      <c r="C15" s="35">
        <f>IFERROR('Data Sheet'!B18/'Data Sheet'!B$17,"-")</f>
        <v>0</v>
      </c>
      <c r="D15" s="35">
        <f>IFERROR('Data Sheet'!C18/'Data Sheet'!C$17,"-")</f>
        <v>0</v>
      </c>
      <c r="E15" s="35">
        <f>IFERROR('Data Sheet'!D18/'Data Sheet'!D$17,"-")</f>
        <v>0</v>
      </c>
      <c r="F15" s="35">
        <f>IFERROR('Data Sheet'!E18/'Data Sheet'!E$17,"-")</f>
        <v>0</v>
      </c>
      <c r="G15" s="35">
        <f>IFERROR('Data Sheet'!F18/'Data Sheet'!F$17,"-")</f>
        <v>0</v>
      </c>
      <c r="H15" s="35">
        <f>IFERROR('Data Sheet'!G18/'Data Sheet'!G$17,"-")</f>
        <v>0</v>
      </c>
      <c r="I15" s="35">
        <f>IFERROR('Data Sheet'!H18/'Data Sheet'!H$17,"-")</f>
        <v>0</v>
      </c>
      <c r="J15" s="35">
        <f>IFERROR('Data Sheet'!I18/'Data Sheet'!I$17,"-")</f>
        <v>0</v>
      </c>
      <c r="K15" s="35">
        <f>IFERROR('Data Sheet'!J18/'Data Sheet'!J$17,"-")</f>
        <v>0</v>
      </c>
      <c r="L15" s="35">
        <f>IFERROR('Data Sheet'!K18/'Data Sheet'!K$17,"-")</f>
        <v>0</v>
      </c>
    </row>
    <row r="16" spans="1:13" outlineLevel="1" x14ac:dyDescent="0.3">
      <c r="B16" t="str">
        <f>'Data Sheet'!A19</f>
        <v>Change in Inventory</v>
      </c>
      <c r="C16" s="35">
        <f>IFERROR('Data Sheet'!B19/'Data Sheet'!B$17,"-")</f>
        <v>0</v>
      </c>
      <c r="D16" s="35">
        <f>IFERROR('Data Sheet'!C19/'Data Sheet'!C$17,"-")</f>
        <v>0</v>
      </c>
      <c r="E16" s="35">
        <f>IFERROR('Data Sheet'!D19/'Data Sheet'!D$17,"-")</f>
        <v>0</v>
      </c>
      <c r="F16" s="35">
        <f>IFERROR('Data Sheet'!E19/'Data Sheet'!E$17,"-")</f>
        <v>0</v>
      </c>
      <c r="G16" s="35">
        <f>IFERROR('Data Sheet'!F19/'Data Sheet'!F$17,"-")</f>
        <v>0</v>
      </c>
      <c r="H16" s="35">
        <f>IFERROR('Data Sheet'!G19/'Data Sheet'!G$17,"-")</f>
        <v>0</v>
      </c>
      <c r="I16" s="35">
        <f>IFERROR('Data Sheet'!H19/'Data Sheet'!H$17,"-")</f>
        <v>0</v>
      </c>
      <c r="J16" s="35">
        <f>IFERROR('Data Sheet'!I19/'Data Sheet'!I$17,"-")</f>
        <v>0</v>
      </c>
      <c r="K16" s="35">
        <f>IFERROR('Data Sheet'!J19/'Data Sheet'!J$17,"-")</f>
        <v>0</v>
      </c>
      <c r="L16" s="35">
        <f>IFERROR('Data Sheet'!K19/'Data Sheet'!K$17,"-")</f>
        <v>0</v>
      </c>
    </row>
    <row r="17" spans="1:12" outlineLevel="1" x14ac:dyDescent="0.3">
      <c r="B17" t="str">
        <f>'Data Sheet'!A20</f>
        <v>Power and Fuel</v>
      </c>
      <c r="C17" s="35">
        <f>IFERROR('Data Sheet'!B20/'Data Sheet'!B$17,"-")</f>
        <v>3.4752806649477105E-3</v>
      </c>
      <c r="D17" s="35">
        <f>IFERROR('Data Sheet'!C20/'Data Sheet'!C$17,"-")</f>
        <v>3.3292447871035571E-3</v>
      </c>
      <c r="E17" s="35">
        <f>IFERROR('Data Sheet'!D20/'Data Sheet'!D$17,"-")</f>
        <v>2.9352542469016762E-3</v>
      </c>
      <c r="F17" s="35">
        <f>IFERROR('Data Sheet'!E20/'Data Sheet'!E$17,"-")</f>
        <v>2.6731176292712428E-3</v>
      </c>
      <c r="G17" s="35">
        <f>IFERROR('Data Sheet'!F20/'Data Sheet'!F$17,"-")</f>
        <v>2.5222764370917824E-3</v>
      </c>
      <c r="H17" s="35">
        <f>IFERROR('Data Sheet'!G20/'Data Sheet'!G$17,"-")</f>
        <v>1.4232821084481249E-3</v>
      </c>
      <c r="I17" s="35">
        <f>IFERROR('Data Sheet'!H20/'Data Sheet'!H$17,"-")</f>
        <v>1.0851604311046439E-3</v>
      </c>
      <c r="J17" s="35">
        <f>IFERROR('Data Sheet'!I20/'Data Sheet'!I$17,"-")</f>
        <v>1.1991796521016304E-3</v>
      </c>
      <c r="K17" s="35">
        <f>IFERROR('Data Sheet'!J20/'Data Sheet'!J$17,"-")</f>
        <v>1.2949827552547668E-3</v>
      </c>
      <c r="L17" s="35">
        <f>IFERROR('Data Sheet'!K20/'Data Sheet'!K$17,"-")</f>
        <v>1.3620467513344376E-3</v>
      </c>
    </row>
    <row r="18" spans="1:12" outlineLevel="1" x14ac:dyDescent="0.3">
      <c r="B18" t="str">
        <f>'Data Sheet'!A21</f>
        <v>Other Mfr. Exp</v>
      </c>
      <c r="C18" s="35">
        <f>IFERROR('Data Sheet'!B21/'Data Sheet'!B$17,"-")</f>
        <v>9.3848593071859832E-2</v>
      </c>
      <c r="D18" s="35">
        <f>IFERROR('Data Sheet'!C21/'Data Sheet'!C$17,"-")</f>
        <v>9.8008293908066119E-2</v>
      </c>
      <c r="E18" s="35">
        <f>IFERROR('Data Sheet'!D21/'Data Sheet'!D$17,"-")</f>
        <v>0.1033152775020561</v>
      </c>
      <c r="F18" s="35">
        <f>IFERROR('Data Sheet'!E21/'Data Sheet'!E$17,"-")</f>
        <v>0.11977018445721198</v>
      </c>
      <c r="G18" s="35">
        <f>IFERROR('Data Sheet'!F21/'Data Sheet'!F$17,"-")</f>
        <v>0.12210461389344759</v>
      </c>
      <c r="H18" s="35">
        <f>IFERROR('Data Sheet'!G21/'Data Sheet'!G$17,"-")</f>
        <v>0.12739867823871329</v>
      </c>
      <c r="I18" s="35">
        <f>IFERROR('Data Sheet'!H21/'Data Sheet'!H$17,"-")</f>
        <v>0.17009067666329608</v>
      </c>
      <c r="J18" s="35">
        <f>IFERROR('Data Sheet'!I21/'Data Sheet'!I$17,"-")</f>
        <v>0.17940000136270415</v>
      </c>
      <c r="K18" s="35">
        <f>IFERROR('Data Sheet'!J21/'Data Sheet'!J$17,"-")</f>
        <v>0.17697013079976573</v>
      </c>
      <c r="L18" s="35">
        <f>IFERROR('Data Sheet'!K21/'Data Sheet'!K$17,"-")</f>
        <v>0.18648383336401006</v>
      </c>
    </row>
    <row r="19" spans="1:12" outlineLevel="1" x14ac:dyDescent="0.3">
      <c r="B19" t="str">
        <f>'Data Sheet'!A22</f>
        <v>Employee Cost</v>
      </c>
      <c r="C19" s="35">
        <f>IFERROR('Data Sheet'!B22/'Data Sheet'!B$17,"-")</f>
        <v>0.55116029531878097</v>
      </c>
      <c r="D19" s="35">
        <f>IFERROR('Data Sheet'!C22/'Data Sheet'!C$17,"-")</f>
        <v>0.55004088546229779</v>
      </c>
      <c r="E19" s="35">
        <f>IFERROR('Data Sheet'!D22/'Data Sheet'!D$17,"-")</f>
        <v>0.5516292788066135</v>
      </c>
      <c r="F19" s="35">
        <f>IFERROR('Data Sheet'!E22/'Data Sheet'!E$17,"-")</f>
        <v>0.54820683398850922</v>
      </c>
      <c r="G19" s="35">
        <f>IFERROR('Data Sheet'!F22/'Data Sheet'!F$17,"-")</f>
        <v>0.5605731845667522</v>
      </c>
      <c r="H19" s="35">
        <f>IFERROR('Data Sheet'!G22/'Data Sheet'!G$17,"-")</f>
        <v>0.55286049844732865</v>
      </c>
      <c r="I19" s="35">
        <f>IFERROR('Data Sheet'!H22/'Data Sheet'!H$17,"-")</f>
        <v>0.52611372810154466</v>
      </c>
      <c r="J19" s="35">
        <f>IFERROR('Data Sheet'!I22/'Data Sheet'!I$17,"-")</f>
        <v>0.53400287530575674</v>
      </c>
      <c r="K19" s="35">
        <f>IFERROR('Data Sheet'!J22/'Data Sheet'!J$17,"-")</f>
        <v>0.53774972343333116</v>
      </c>
      <c r="L19" s="35">
        <f>IFERROR('Data Sheet'!K22/'Data Sheet'!K$17,"-")</f>
        <v>0.52744340143567092</v>
      </c>
    </row>
    <row r="20" spans="1:12" outlineLevel="1" x14ac:dyDescent="0.3">
      <c r="B20" t="str">
        <f>'Data Sheet'!A23</f>
        <v>Selling and admin</v>
      </c>
      <c r="C20" s="35">
        <f>IFERROR('Data Sheet'!B23/'Data Sheet'!B$17,"-")</f>
        <v>7.1123140244390703E-2</v>
      </c>
      <c r="D20" s="35">
        <f>IFERROR('Data Sheet'!C23/'Data Sheet'!C$17,"-")</f>
        <v>6.6935342561766253E-2</v>
      </c>
      <c r="E20" s="35">
        <f>IFERROR('Data Sheet'!D23/'Data Sheet'!D$17,"-")</f>
        <v>6.5015172570261764E-2</v>
      </c>
      <c r="F20" s="35">
        <f>IFERROR('Data Sheet'!E23/'Data Sheet'!E$17,"-")</f>
        <v>6.7166616268521315E-2</v>
      </c>
      <c r="G20" s="35">
        <f>IFERROR('Data Sheet'!F23/'Data Sheet'!F$17,"-")</f>
        <v>5.9201903272350781E-2</v>
      </c>
      <c r="H20" s="35">
        <f>IFERROR('Data Sheet'!G23/'Data Sheet'!G$17,"-")</f>
        <v>3.1789951429253921E-2</v>
      </c>
      <c r="I20" s="35">
        <f>IFERROR('Data Sheet'!H23/'Data Sheet'!H$17,"-")</f>
        <v>3.5391027696253727E-2</v>
      </c>
      <c r="J20" s="35">
        <f>IFERROR('Data Sheet'!I23/'Data Sheet'!I$17,"-")</f>
        <v>3.6111659978060463E-2</v>
      </c>
      <c r="K20" s="35">
        <f>IFERROR('Data Sheet'!J23/'Data Sheet'!J$17,"-")</f>
        <v>3.712500813431379E-2</v>
      </c>
      <c r="L20" s="35">
        <f>IFERROR('Data Sheet'!K23/'Data Sheet'!K$17,"-")</f>
        <v>3.7051352843732746E-2</v>
      </c>
    </row>
    <row r="21" spans="1:12" outlineLevel="1" x14ac:dyDescent="0.3">
      <c r="B21" t="str">
        <f>'Data Sheet'!A24</f>
        <v>Other Expenses</v>
      </c>
      <c r="C21" s="35">
        <f>IFERROR('Data Sheet'!B24/'Data Sheet'!B$17,"-")</f>
        <v>6.8704857385371793E-3</v>
      </c>
      <c r="D21" s="35">
        <f>IFERROR('Data Sheet'!C24/'Data Sheet'!C$17,"-")</f>
        <v>1.0031540213772561E-2</v>
      </c>
      <c r="E21" s="35">
        <f>IFERROR('Data Sheet'!D24/'Data Sheet'!D$17,"-")</f>
        <v>1.0209579989223221E-2</v>
      </c>
      <c r="F21" s="35">
        <f>IFERROR('Data Sheet'!E24/'Data Sheet'!E$17,"-")</f>
        <v>1.8215905654671908E-2</v>
      </c>
      <c r="G21" s="35">
        <f>IFERROR('Data Sheet'!F24/'Data Sheet'!F$17,"-")</f>
        <v>1.0342434822834862E-2</v>
      </c>
      <c r="H21" s="35">
        <f>IFERROR('Data Sheet'!G24/'Data Sheet'!G$17,"-")</f>
        <v>8.9477665419221281E-3</v>
      </c>
      <c r="I21" s="35">
        <f>IFERROR('Data Sheet'!H24/'Data Sheet'!H$17,"-")</f>
        <v>8.4346560781315503E-3</v>
      </c>
      <c r="J21" s="35">
        <f>IFERROR('Data Sheet'!I24/'Data Sheet'!I$17,"-")</f>
        <v>9.9272997335913393E-3</v>
      </c>
      <c r="K21" s="35">
        <f>IFERROR('Data Sheet'!J24/'Data Sheet'!J$17,"-")</f>
        <v>9.8262510574607925E-3</v>
      </c>
      <c r="L21" s="35">
        <f>IFERROR('Data Sheet'!K24/'Data Sheet'!K$17,"-")</f>
        <v>6.9329406712068222E-3</v>
      </c>
    </row>
    <row r="22" spans="1:12" outlineLevel="1" x14ac:dyDescent="0.3">
      <c r="B22" t="str">
        <f>'Data Sheet'!A25</f>
        <v>Other Income</v>
      </c>
      <c r="C22" s="35">
        <f>IFERROR('Data Sheet'!B25/'Data Sheet'!B$17,"-")</f>
        <v>4.9967169007543118E-2</v>
      </c>
      <c r="D22" s="35">
        <f>IFERROR('Data Sheet'!C25/'Data Sheet'!C$17,"-")</f>
        <v>4.4535950002920391E-2</v>
      </c>
      <c r="E22" s="35">
        <f>IFERROR('Data Sheet'!D25/'Data Sheet'!D$17,"-")</f>
        <v>4.6949887978219564E-2</v>
      </c>
      <c r="F22" s="35">
        <f>IFERROR('Data Sheet'!E25/'Data Sheet'!E$17,"-")</f>
        <v>3.4859389174478381E-2</v>
      </c>
      <c r="G22" s="35">
        <f>IFERROR('Data Sheet'!F25/'Data Sheet'!F$17,"-")</f>
        <v>3.0873104162306837E-2</v>
      </c>
      <c r="H22" s="35">
        <f>IFERROR('Data Sheet'!G25/'Data Sheet'!G$17,"-")</f>
        <v>2.1906600844016244E-2</v>
      </c>
      <c r="I22" s="35">
        <f>IFERROR('Data Sheet'!H25/'Data Sheet'!H$17,"-")</f>
        <v>1.886699385897847E-2</v>
      </c>
      <c r="J22" s="35">
        <f>IFERROR('Data Sheet'!I25/'Data Sheet'!I$17,"-")</f>
        <v>1.8403319547309682E-2</v>
      </c>
      <c r="K22" s="35">
        <f>IFERROR('Data Sheet'!J25/'Data Sheet'!J$17,"-")</f>
        <v>3.0656601809071388E-2</v>
      </c>
      <c r="L22" s="35">
        <f>IFERROR('Data Sheet'!K25/'Data Sheet'!K$17,"-")</f>
        <v>2.2087244616234125E-2</v>
      </c>
    </row>
    <row r="23" spans="1:12" outlineLevel="1" x14ac:dyDescent="0.3">
      <c r="B23" t="str">
        <f>'Data Sheet'!A26</f>
        <v>Depreciation</v>
      </c>
      <c r="C23" s="35">
        <f>IFERROR('Data Sheet'!B26/'Data Sheet'!B$17,"-")</f>
        <v>2.3366057558335068E-2</v>
      </c>
      <c r="D23" s="35">
        <f>IFERROR('Data Sheet'!C26/'Data Sheet'!C$17,"-")</f>
        <v>2.4867122247532271E-2</v>
      </c>
      <c r="E23" s="35">
        <f>IFERROR('Data Sheet'!D26/'Data Sheet'!D$17,"-")</f>
        <v>2.6417288222115084E-2</v>
      </c>
      <c r="F23" s="35">
        <f>IFERROR('Data Sheet'!E26/'Data Sheet'!E$17,"-")</f>
        <v>2.4324160870879952E-2</v>
      </c>
      <c r="G23" s="35">
        <f>IFERROR('Data Sheet'!F26/'Data Sheet'!F$17,"-")</f>
        <v>3.1864391845006661E-2</v>
      </c>
      <c r="H23" s="35">
        <f>IFERROR('Data Sheet'!G26/'Data Sheet'!G$17,"-")</f>
        <v>3.2516522016084085E-2</v>
      </c>
      <c r="I23" s="35">
        <f>IFERROR('Data Sheet'!H26/'Data Sheet'!H$17,"-")</f>
        <v>2.8575891352422292E-2</v>
      </c>
      <c r="J23" s="35">
        <f>IFERROR('Data Sheet'!I26/'Data Sheet'!I$17,"-")</f>
        <v>2.8787125171189708E-2</v>
      </c>
      <c r="K23" s="35">
        <f>IFERROR('Data Sheet'!J26/'Data Sheet'!J$17,"-")</f>
        <v>3.0441855925034164E-2</v>
      </c>
      <c r="L23" s="35">
        <f>IFERROR('Data Sheet'!K26/'Data Sheet'!K$17,"-")</f>
        <v>2.9523283637032948E-2</v>
      </c>
    </row>
    <row r="24" spans="1:12" outlineLevel="1" x14ac:dyDescent="0.3">
      <c r="B24" t="str">
        <f>'Data Sheet'!A27</f>
        <v>Interest</v>
      </c>
      <c r="C24" s="35">
        <f>IFERROR('Data Sheet'!B27/'Data Sheet'!B$17,"-")</f>
        <v>0</v>
      </c>
      <c r="D24" s="35">
        <f>IFERROR('Data Sheet'!C27/'Data Sheet'!C$17,"-")</f>
        <v>0</v>
      </c>
      <c r="E24" s="35">
        <f>IFERROR('Data Sheet'!D27/'Data Sheet'!D$17,"-")</f>
        <v>0</v>
      </c>
      <c r="F24" s="35">
        <f>IFERROR('Data Sheet'!E27/'Data Sheet'!E$17,"-")</f>
        <v>0</v>
      </c>
      <c r="G24" s="35">
        <f>IFERROR('Data Sheet'!F27/'Data Sheet'!F$17,"-")</f>
        <v>1.8724322895441179E-3</v>
      </c>
      <c r="H24" s="35">
        <f>IFERROR('Data Sheet'!G27/'Data Sheet'!G$17,"-")</f>
        <v>1.9408392387928975E-3</v>
      </c>
      <c r="I24" s="35">
        <f>IFERROR('Data Sheet'!H27/'Data Sheet'!H$17,"-")</f>
        <v>1.6441824713706726E-3</v>
      </c>
      <c r="J24" s="35">
        <f>IFERROR('Data Sheet'!I27/'Data Sheet'!I$17,"-")</f>
        <v>1.9350398931639945E-3</v>
      </c>
      <c r="K24" s="35">
        <f>IFERROR('Data Sheet'!J27/'Data Sheet'!J$17,"-")</f>
        <v>3.0585019847725646E-3</v>
      </c>
      <c r="L24" s="35">
        <f>IFERROR('Data Sheet'!K27/'Data Sheet'!K$17,"-")</f>
        <v>2.5523038223203877E-3</v>
      </c>
    </row>
    <row r="25" spans="1:12" outlineLevel="1" x14ac:dyDescent="0.3">
      <c r="B25" t="str">
        <f>'Data Sheet'!A28</f>
        <v>Profit before tax</v>
      </c>
      <c r="C25" s="35">
        <f>IFERROR('Data Sheet'!B28/'Data Sheet'!B$17,"-")</f>
        <v>0.30012331641069168</v>
      </c>
      <c r="D25" s="35">
        <f>IFERROR('Data Sheet'!C28/'Data Sheet'!C$17,"-")</f>
        <v>0.29132352082238189</v>
      </c>
      <c r="E25" s="35">
        <f>IFERROR('Data Sheet'!D28/'Data Sheet'!D$17,"-")</f>
        <v>0.28742803664104816</v>
      </c>
      <c r="F25" s="35">
        <f>IFERROR('Data Sheet'!E28/'Data Sheet'!E$17,"-")</f>
        <v>0.25450257030541273</v>
      </c>
      <c r="G25" s="35">
        <f>IFERROR('Data Sheet'!F28/'Data Sheet'!F$17,"-")</f>
        <v>0.24239186703527882</v>
      </c>
      <c r="H25" s="35">
        <f>IFERROR('Data Sheet'!G28/'Data Sheet'!G$17,"-")</f>
        <v>0.26502906282347322</v>
      </c>
      <c r="I25" s="35">
        <f>IFERROR('Data Sheet'!H28/'Data Sheet'!H$17,"-")</f>
        <v>0.24753167106485477</v>
      </c>
      <c r="J25" s="35">
        <f>IFERROR('Data Sheet'!I28/'Data Sheet'!I$17,"-")</f>
        <v>0.22704013845074164</v>
      </c>
      <c r="K25" s="35">
        <f>IFERROR('Data Sheet'!J28/'Data Sheet'!J$17,"-")</f>
        <v>0.2341901477191384</v>
      </c>
      <c r="L25" s="35">
        <f>IFERROR('Data Sheet'!K28/'Data Sheet'!K$17,"-")</f>
        <v>0.23073808209092583</v>
      </c>
    </row>
    <row r="26" spans="1:12" outlineLevel="1" x14ac:dyDescent="0.3">
      <c r="B26" t="str">
        <f>'Data Sheet'!A29</f>
        <v>Tax</v>
      </c>
      <c r="C26" s="35">
        <f>IFERROR('Data Sheet'!B29/'Data Sheet'!B$17,"-")</f>
        <v>8.4095386044425943E-2</v>
      </c>
      <c r="D26" s="35">
        <f>IFERROR('Data Sheet'!C29/'Data Sheet'!C$17,"-")</f>
        <v>8.1741720693884704E-2</v>
      </c>
      <c r="E26" s="35">
        <f>IFERROR('Data Sheet'!D29/'Data Sheet'!D$17,"-")</f>
        <v>6.0137262130966221E-2</v>
      </c>
      <c r="F26" s="35">
        <f>IFERROR('Data Sheet'!E29/'Data Sheet'!E$17,"-")</f>
        <v>6.8110069549440586E-2</v>
      </c>
      <c r="G26" s="35">
        <f>IFERROR('Data Sheet'!F29/'Data Sheet'!F$17,"-")</f>
        <v>5.9124803119251911E-2</v>
      </c>
      <c r="H26" s="35">
        <f>IFERROR('Data Sheet'!G29/'Data Sheet'!G$17,"-")</f>
        <v>7.1711521617963209E-2</v>
      </c>
      <c r="I26" s="35">
        <f>IFERROR('Data Sheet'!H29/'Data Sheet'!H$17,"-")</f>
        <v>6.5471346009980183E-2</v>
      </c>
      <c r="J26" s="35">
        <f>IFERROR('Data Sheet'!I29/'Data Sheet'!I$17,"-")</f>
        <v>6.2779780195820589E-2</v>
      </c>
      <c r="K26" s="35">
        <f>IFERROR('Data Sheet'!J29/'Data Sheet'!J$17,"-")</f>
        <v>6.3382573046137827E-2</v>
      </c>
      <c r="L26" s="35">
        <f>IFERROR('Data Sheet'!K29/'Data Sheet'!K$17,"-")</f>
        <v>6.6617583900852817E-2</v>
      </c>
    </row>
    <row r="27" spans="1:12" outlineLevel="1" x14ac:dyDescent="0.3">
      <c r="B27" t="str">
        <f>'Data Sheet'!A30</f>
        <v>Net profit</v>
      </c>
      <c r="C27" s="35">
        <f>IFERROR('Data Sheet'!B30/'Data Sheet'!B$17,"-")</f>
        <v>0.21602793036626575</v>
      </c>
      <c r="D27" s="35">
        <f>IFERROR('Data Sheet'!C30/'Data Sheet'!C$17,"-")</f>
        <v>0.20958180012849717</v>
      </c>
      <c r="E27" s="35">
        <f>IFERROR('Data Sheet'!D30/'Data Sheet'!D$17,"-")</f>
        <v>0.22729077451008195</v>
      </c>
      <c r="F27" s="35">
        <f>IFERROR('Data Sheet'!E30/'Data Sheet'!E$17,"-")</f>
        <v>0.1863199274266707</v>
      </c>
      <c r="G27" s="35">
        <f>IFERROR('Data Sheet'!F30/'Data Sheet'!F$17,"-")</f>
        <v>0.182771420074677</v>
      </c>
      <c r="H27" s="35">
        <f>IFERROR('Data Sheet'!G30/'Data Sheet'!G$17,"-")</f>
        <v>0.19260092364041723</v>
      </c>
      <c r="I27" s="35">
        <f>IFERROR('Data Sheet'!H30/'Data Sheet'!H$17,"-")</f>
        <v>0.18176437221002786</v>
      </c>
      <c r="J27" s="35">
        <f>IFERROR('Data Sheet'!I30/'Data Sheet'!I$17,"-")</f>
        <v>0.16417178248516356</v>
      </c>
      <c r="K27" s="35">
        <f>IFERROR('Data Sheet'!J30/'Data Sheet'!J$17,"-")</f>
        <v>0.17070996290752913</v>
      </c>
      <c r="L27" s="35">
        <f>IFERROR('Data Sheet'!K30/'Data Sheet'!K$17,"-")</f>
        <v>0.16389349039818393</v>
      </c>
    </row>
    <row r="28" spans="1:12" outlineLevel="1" x14ac:dyDescent="0.3">
      <c r="B28" t="str">
        <f>'Data Sheet'!A31</f>
        <v>Dividend Amount</v>
      </c>
      <c r="C28" s="35">
        <f>IFERROR('Data Sheet'!B31/'Data Sheet'!B$17,"-")</f>
        <v>8.8858282218414172E-2</v>
      </c>
      <c r="D28" s="35">
        <f>IFERROR('Data Sheet'!C31/'Data Sheet'!C$17,"-")</f>
        <v>8.6028853454821572E-2</v>
      </c>
      <c r="E28" s="35">
        <f>IFERROR('Data Sheet'!D31/'Data Sheet'!D$17,"-")</f>
        <v>0.13422194492498796</v>
      </c>
      <c r="F28" s="35">
        <f>IFERROR('Data Sheet'!E31/'Data Sheet'!E$17,"-")</f>
        <v>0.11155125491381918</v>
      </c>
      <c r="G28" s="35">
        <f>IFERROR('Data Sheet'!F31/'Data Sheet'!F$17,"-")</f>
        <v>8.1803262437906837E-2</v>
      </c>
      <c r="H28" s="35">
        <f>IFERROR('Data Sheet'!G31/'Data Sheet'!G$17,"-")</f>
        <v>0.11415717811927702</v>
      </c>
      <c r="I28" s="35">
        <f>IFERROR('Data Sheet'!H31/'Data Sheet'!H$17,"-")</f>
        <v>0.10693433957300581</v>
      </c>
      <c r="J28" s="35">
        <f>IFERROR('Data Sheet'!I31/'Data Sheet'!I$17,"-")</f>
        <v>9.5860786144024213E-2</v>
      </c>
      <c r="K28" s="35">
        <f>IFERROR('Data Sheet'!J31/'Data Sheet'!J$17,"-")</f>
        <v>0.12398776599206092</v>
      </c>
      <c r="L28" s="35">
        <f>IFERROR('Data Sheet'!K31/'Data Sheet'!K$17,"-")</f>
        <v>0.10937971654702743</v>
      </c>
    </row>
    <row r="29" spans="1:12" outlineLevel="1" x14ac:dyDescent="0.3">
      <c r="B29" t="str">
        <f>'Data Sheet'!A32</f>
        <v>EBITDA</v>
      </c>
      <c r="C29" s="35">
        <f>IFERROR('Data Sheet'!B32/'Data Sheet'!B$17,"-")</f>
        <v>0.27352220496148366</v>
      </c>
      <c r="D29" s="35">
        <f>IFERROR('Data Sheet'!C32/'Data Sheet'!C$17,"-")</f>
        <v>0.27165469306699375</v>
      </c>
      <c r="E29" s="35">
        <f>IFERROR('Data Sheet'!D32/'Data Sheet'!D$17,"-")</f>
        <v>0.26689543688494372</v>
      </c>
      <c r="F29" s="35">
        <f>IFERROR('Data Sheet'!E32/'Data Sheet'!E$17,"-")</f>
        <v>0.24396734200181433</v>
      </c>
      <c r="G29" s="35">
        <f>IFERROR('Data Sheet'!F32/'Data Sheet'!F$17,"-")</f>
        <v>0.24525558700752279</v>
      </c>
      <c r="H29" s="35">
        <f>IFERROR('Data Sheet'!G32/'Data Sheet'!G$17,"-")</f>
        <v>0.27757982323433394</v>
      </c>
      <c r="I29" s="35">
        <f>IFERROR('Data Sheet'!H32/'Data Sheet'!H$17,"-")</f>
        <v>0.25888475102966929</v>
      </c>
      <c r="J29" s="35">
        <f>IFERROR('Data Sheet'!I32/'Data Sheet'!I$17,"-")</f>
        <v>0.23935898396778568</v>
      </c>
      <c r="K29" s="35">
        <f>IFERROR('Data Sheet'!J32/'Data Sheet'!J$17,"-")</f>
        <v>0.23703390381987374</v>
      </c>
      <c r="L29" s="35">
        <f>IFERROR('Data Sheet'!K32/'Data Sheet'!K$17,"-")</f>
        <v>0.24072642493404503</v>
      </c>
    </row>
    <row r="31" spans="1:12" x14ac:dyDescent="0.3">
      <c r="A31" s="2" t="s">
        <v>57</v>
      </c>
      <c r="B31" s="17" t="s">
        <v>77</v>
      </c>
      <c r="C31" s="18"/>
      <c r="D31" s="18"/>
      <c r="E31" s="18"/>
      <c r="F31" s="18"/>
      <c r="G31" s="18"/>
      <c r="H31" s="18"/>
      <c r="I31" s="19"/>
      <c r="J31" s="18"/>
      <c r="K31" s="18"/>
      <c r="L31" s="18"/>
    </row>
    <row r="32" spans="1:12" ht="15" outlineLevel="1" thickBot="1" x14ac:dyDescent="0.35">
      <c r="B32" s="94" t="str">
        <f>'Data Sheet'!A61 &amp; " Liabilities "</f>
        <v xml:space="preserve">Total Liabilities </v>
      </c>
      <c r="C32" s="95">
        <f>IFERROR('Data Sheet'!B61/'Data Sheet'!B61,"-")</f>
        <v>1</v>
      </c>
      <c r="D32" s="95">
        <f>IFERROR('Data Sheet'!C61/'Data Sheet'!C61,"-")</f>
        <v>1</v>
      </c>
      <c r="E32" s="95">
        <f>IFERROR('Data Sheet'!D61/'Data Sheet'!D61,"-")</f>
        <v>1</v>
      </c>
      <c r="F32" s="95">
        <f>IFERROR('Data Sheet'!E61/'Data Sheet'!E61,"-")</f>
        <v>1</v>
      </c>
      <c r="G32" s="95">
        <f>IFERROR('Data Sheet'!F61/'Data Sheet'!F61,"-")</f>
        <v>1</v>
      </c>
      <c r="H32" s="95">
        <f>IFERROR('Data Sheet'!G61/'Data Sheet'!G61,"-")</f>
        <v>1</v>
      </c>
      <c r="I32" s="95">
        <f>IFERROR('Data Sheet'!H61/'Data Sheet'!H61,"-")</f>
        <v>1</v>
      </c>
      <c r="J32" s="95">
        <f>IFERROR('Data Sheet'!I61/'Data Sheet'!I61,"-")</f>
        <v>1</v>
      </c>
      <c r="K32" s="95">
        <f>IFERROR('Data Sheet'!J61/'Data Sheet'!J61,"-")</f>
        <v>1</v>
      </c>
      <c r="L32" s="95">
        <f>IFERROR('Data Sheet'!K61/'Data Sheet'!K61,"-")</f>
        <v>1</v>
      </c>
    </row>
    <row r="33" spans="1:12" outlineLevel="1" x14ac:dyDescent="0.3">
      <c r="A33" s="13"/>
      <c r="B33" t="str">
        <f>'Data Sheet'!A57</f>
        <v>Equity Share Capital</v>
      </c>
      <c r="C33" s="28">
        <f>IFERROR('Data Sheet'!B57/'Data Sheet'!B$61,"-")</f>
        <v>1.5233428320328105E-2</v>
      </c>
      <c r="D33" s="28">
        <f>IFERROR('Data Sheet'!C57/'Data Sheet'!C$61,"-")</f>
        <v>1.3758599124452783E-2</v>
      </c>
      <c r="E33" s="28">
        <f>IFERROR('Data Sheet'!D57/'Data Sheet'!D$61,"-")</f>
        <v>1.3711577965695851E-2</v>
      </c>
      <c r="F33" s="28">
        <f>IFERROR('Data Sheet'!E57/'Data Sheet'!E$61,"-")</f>
        <v>2.5813051649894132E-2</v>
      </c>
      <c r="G33" s="28">
        <f>IFERROR('Data Sheet'!F57/'Data Sheet'!F$61,"-")</f>
        <v>2.3115468409586056E-2</v>
      </c>
      <c r="H33" s="28">
        <f>IFERROR('Data Sheet'!G57/'Data Sheet'!G$61,"-")</f>
        <v>1.9756117978625445E-2</v>
      </c>
      <c r="I33" s="28">
        <f>IFERROR('Data Sheet'!H57/'Data Sheet'!H$61,"-")</f>
        <v>1.7973254289850853E-2</v>
      </c>
      <c r="J33" s="28">
        <f>IFERROR('Data Sheet'!I57/'Data Sheet'!I$61,"-")</f>
        <v>1.6605669523901249E-2</v>
      </c>
      <c r="K33" s="28">
        <f>IFERROR('Data Sheet'!J57/'Data Sheet'!J$61,"-")</f>
        <v>1.5077169481654048E-2</v>
      </c>
      <c r="L33" s="28">
        <f>IFERROR('Data Sheet'!K57/'Data Sheet'!K$61,"-")</f>
        <v>1.4026184918298995E-2</v>
      </c>
    </row>
    <row r="34" spans="1:12" outlineLevel="1" x14ac:dyDescent="0.3">
      <c r="B34" t="str">
        <f>'Data Sheet'!A58</f>
        <v>Reserves</v>
      </c>
      <c r="C34" s="28">
        <f>IFERROR('Data Sheet'!B58/'Data Sheet'!B$61,"-")</f>
        <v>0.80694559109430342</v>
      </c>
      <c r="D34" s="28">
        <f>IFERROR('Data Sheet'!C58/'Data Sheet'!C$61,"-")</f>
        <v>0.81587049598306638</v>
      </c>
      <c r="E34" s="28">
        <f>IFERROR('Data Sheet'!D58/'Data Sheet'!D$61,"-")</f>
        <v>0.80448398845606117</v>
      </c>
      <c r="F34" s="28">
        <f>IFERROR('Data Sheet'!E58/'Data Sheet'!E$61,"-")</f>
        <v>0.74677039468988649</v>
      </c>
      <c r="G34" s="28">
        <f>IFERROR('Data Sheet'!F58/'Data Sheet'!F$61,"-")</f>
        <v>0.68984749455337691</v>
      </c>
      <c r="H34" s="28">
        <f>IFERROR('Data Sheet'!G58/'Data Sheet'!G$61,"-")</f>
        <v>0.69041307401103147</v>
      </c>
      <c r="I34" s="28">
        <f>IFERROR('Data Sheet'!H58/'Data Sheet'!H$61,"-")</f>
        <v>0.62753900059111278</v>
      </c>
      <c r="J34" s="28">
        <f>IFERROR('Data Sheet'!I58/'Data Sheet'!I$61,"-")</f>
        <v>0.58860637580660691</v>
      </c>
      <c r="K34" s="28">
        <f>IFERROR('Data Sheet'!J58/'Data Sheet'!J$61,"-")</f>
        <v>0.6264196272568433</v>
      </c>
      <c r="L34" s="28">
        <f>IFERROR('Data Sheet'!K58/'Data Sheet'!K$61,"-")</f>
        <v>0.63429074055279266</v>
      </c>
    </row>
    <row r="35" spans="1:12" outlineLevel="1" x14ac:dyDescent="0.3">
      <c r="B35" t="str">
        <f>'Data Sheet'!A59</f>
        <v>Borrowings</v>
      </c>
      <c r="C35" s="28">
        <f>IFERROR('Data Sheet'!B59/'Data Sheet'!B$61,"-")</f>
        <v>0</v>
      </c>
      <c r="D35" s="28">
        <f>IFERROR('Data Sheet'!C59/'Data Sheet'!C$61,"-")</f>
        <v>0</v>
      </c>
      <c r="E35" s="28">
        <f>IFERROR('Data Sheet'!D59/'Data Sheet'!D$61,"-")</f>
        <v>0</v>
      </c>
      <c r="F35" s="28">
        <f>IFERROR('Data Sheet'!E59/'Data Sheet'!E$61,"-")</f>
        <v>0</v>
      </c>
      <c r="G35" s="28">
        <f>IFERROR('Data Sheet'!F59/'Data Sheet'!F$61,"-")</f>
        <v>5.0468409586056646E-2</v>
      </c>
      <c r="H35" s="28">
        <f>IFERROR('Data Sheet'!G59/'Data Sheet'!G$61,"-")</f>
        <v>4.9529815553757288E-2</v>
      </c>
      <c r="I35" s="28">
        <f>IFERROR('Data Sheet'!H59/'Data Sheet'!H$61,"-")</f>
        <v>4.6894944700974051E-2</v>
      </c>
      <c r="J35" s="28">
        <f>IFERROR('Data Sheet'!I59/'Data Sheet'!I$61,"-")</f>
        <v>6.6607274711868766E-2</v>
      </c>
      <c r="K35" s="28">
        <f>IFERROR('Data Sheet'!J59/'Data Sheet'!J$61,"-")</f>
        <v>6.0854688410017475E-2</v>
      </c>
      <c r="L35" s="28">
        <f>IFERROR('Data Sheet'!K59/'Data Sheet'!K$61,"-")</f>
        <v>5.566494130383301E-2</v>
      </c>
    </row>
    <row r="36" spans="1:12" outlineLevel="1" x14ac:dyDescent="0.3">
      <c r="B36" t="str">
        <f>'Data Sheet'!A60</f>
        <v>Other Liabilities</v>
      </c>
      <c r="C36" s="28">
        <f>IFERROR('Data Sheet'!B60/'Data Sheet'!B$61,"-")</f>
        <v>0.17782098058536847</v>
      </c>
      <c r="D36" s="28">
        <f>IFERROR('Data Sheet'!C60/'Data Sheet'!C$61,"-")</f>
        <v>0.17037090489248088</v>
      </c>
      <c r="E36" s="28">
        <f>IFERROR('Data Sheet'!D60/'Data Sheet'!D$61,"-")</f>
        <v>0.18180443357824294</v>
      </c>
      <c r="F36" s="28">
        <f>IFERROR('Data Sheet'!E60/'Data Sheet'!E$61,"-")</f>
        <v>0.22741655366021934</v>
      </c>
      <c r="G36" s="28">
        <f>IFERROR('Data Sheet'!F60/'Data Sheet'!F$61,"-")</f>
        <v>0.2365686274509804</v>
      </c>
      <c r="H36" s="28">
        <f>IFERROR('Data Sheet'!G60/'Data Sheet'!G$61,"-")</f>
        <v>0.24030099245658584</v>
      </c>
      <c r="I36" s="28">
        <f>IFERROR('Data Sheet'!H60/'Data Sheet'!H$61,"-")</f>
        <v>0.30759280041806236</v>
      </c>
      <c r="J36" s="28">
        <f>IFERROR('Data Sheet'!I60/'Data Sheet'!I$61,"-")</f>
        <v>0.32818067995762301</v>
      </c>
      <c r="K36" s="28">
        <f>IFERROR('Data Sheet'!J60/'Data Sheet'!J$61,"-")</f>
        <v>0.29764851485148514</v>
      </c>
      <c r="L36" s="28">
        <f>IFERROR('Data Sheet'!K60/'Data Sheet'!K$61,"-")</f>
        <v>0.29601813322507525</v>
      </c>
    </row>
    <row r="37" spans="1:12" outlineLevel="1" x14ac:dyDescent="0.3">
      <c r="C37" s="34"/>
      <c r="D37" s="34"/>
      <c r="E37" s="34"/>
      <c r="F37" s="34"/>
      <c r="G37" s="34"/>
      <c r="H37" s="34"/>
      <c r="I37" s="34"/>
      <c r="J37" s="34"/>
      <c r="K37" s="34"/>
      <c r="L37" s="34"/>
    </row>
    <row r="38" spans="1:12" ht="15" outlineLevel="1" thickBot="1" x14ac:dyDescent="0.35">
      <c r="B38" s="92" t="str">
        <f>'Data Sheet'!A66 &amp; " Assets "</f>
        <v xml:space="preserve">Total Assets </v>
      </c>
      <c r="C38" s="95">
        <f>IFERROR('Data Sheet'!B66/'Data Sheet'!B66,"-")</f>
        <v>1</v>
      </c>
      <c r="D38" s="95">
        <f>IFERROR('Data Sheet'!C66/'Data Sheet'!C66,"-")</f>
        <v>1</v>
      </c>
      <c r="E38" s="95">
        <f>IFERROR('Data Sheet'!D66/'Data Sheet'!D66,"-")</f>
        <v>1</v>
      </c>
      <c r="F38" s="95">
        <f>IFERROR('Data Sheet'!E66/'Data Sheet'!E66,"-")</f>
        <v>1</v>
      </c>
      <c r="G38" s="95">
        <f>IFERROR('Data Sheet'!F66/'Data Sheet'!F66,"-")</f>
        <v>1</v>
      </c>
      <c r="H38" s="95">
        <f>IFERROR('Data Sheet'!G66/'Data Sheet'!G66,"-")</f>
        <v>1</v>
      </c>
      <c r="I38" s="95">
        <f>IFERROR('Data Sheet'!H66/'Data Sheet'!H66,"-")</f>
        <v>1</v>
      </c>
      <c r="J38" s="95">
        <f>IFERROR('Data Sheet'!I66/'Data Sheet'!I66,"-")</f>
        <v>1</v>
      </c>
      <c r="K38" s="95">
        <f>IFERROR('Data Sheet'!J66/'Data Sheet'!J66,"-")</f>
        <v>1</v>
      </c>
      <c r="L38" s="95">
        <f>IFERROR('Data Sheet'!K66/'Data Sheet'!K66,"-")</f>
        <v>1</v>
      </c>
    </row>
    <row r="39" spans="1:12" outlineLevel="1" x14ac:dyDescent="0.3">
      <c r="B39" t="str">
        <f xml:space="preserve"> "Fixed Assets" &amp; " - " &amp; 'Data Sheet'!A62</f>
        <v>Fixed Assets - Net Block</v>
      </c>
      <c r="C39" s="28">
        <f>IFERROR('Data Sheet'!B62/'Data Sheet'!B$66,"-")</f>
        <v>0.17824709046845455</v>
      </c>
      <c r="D39" s="28">
        <f>IFERROR('Data Sheet'!C62/'Data Sheet'!C$66,"-")</f>
        <v>0.1705272526098042</v>
      </c>
      <c r="E39" s="28">
        <f>IFERROR('Data Sheet'!D62/'Data Sheet'!D$66,"-")</f>
        <v>0.15846450490869451</v>
      </c>
      <c r="F39" s="28">
        <f>IFERROR('Data Sheet'!E62/'Data Sheet'!E$66,"-")</f>
        <v>0.18687697761282801</v>
      </c>
      <c r="G39" s="28">
        <f>IFERROR('Data Sheet'!F62/'Data Sheet'!F$66,"-")</f>
        <v>0.25913943355119828</v>
      </c>
      <c r="H39" s="28">
        <f>IFERROR('Data Sheet'!G62/'Data Sheet'!G$66,"-")</f>
        <v>0.23723153909832481</v>
      </c>
      <c r="I39" s="28">
        <f>IFERROR('Data Sheet'!H62/'Data Sheet'!H$66,"-")</f>
        <v>0.22102476676746996</v>
      </c>
      <c r="J39" s="28">
        <f>IFERROR('Data Sheet'!I62/'Data Sheet'!I$66,"-")</f>
        <v>0.23455809175254422</v>
      </c>
      <c r="K39" s="28">
        <f>IFERROR('Data Sheet'!J62/'Data Sheet'!J$66,"-")</f>
        <v>0.20109202096680256</v>
      </c>
      <c r="L39" s="28">
        <f>IFERROR('Data Sheet'!K62/'Data Sheet'!K$66,"-")</f>
        <v>0.20948611252072127</v>
      </c>
    </row>
    <row r="40" spans="1:12" outlineLevel="1" x14ac:dyDescent="0.3">
      <c r="B40" t="str">
        <f>'Data Sheet'!A63</f>
        <v>Capital Work in Progress</v>
      </c>
      <c r="C40" s="28">
        <f>IFERROR('Data Sheet'!B63/'Data Sheet'!B$66,"-")</f>
        <v>1.2783296492583024E-2</v>
      </c>
      <c r="D40" s="28">
        <f>IFERROR('Data Sheet'!C63/'Data Sheet'!C$66,"-")</f>
        <v>1.6416510318949345E-2</v>
      </c>
      <c r="E40" s="28">
        <f>IFERROR('Data Sheet'!D63/'Data Sheet'!D$66,"-")</f>
        <v>2.0239700563334132E-2</v>
      </c>
      <c r="F40" s="28">
        <f>IFERROR('Data Sheet'!E63/'Data Sheet'!E$66,"-")</f>
        <v>1.6510836723526753E-2</v>
      </c>
      <c r="G40" s="28">
        <f>IFERROR('Data Sheet'!F63/'Data Sheet'!F$66,"-")</f>
        <v>1.0392156862745097E-2</v>
      </c>
      <c r="H40" s="28">
        <f>IFERROR('Data Sheet'!G63/'Data Sheet'!G$66,"-")</f>
        <v>8.575866655505018E-3</v>
      </c>
      <c r="I40" s="28">
        <f>IFERROR('Data Sheet'!H63/'Data Sheet'!H$66,"-")</f>
        <v>3.5638101928398254E-3</v>
      </c>
      <c r="J40" s="28">
        <f>IFERROR('Data Sheet'!I63/'Data Sheet'!I$66,"-")</f>
        <v>2.3114706732158337E-3</v>
      </c>
      <c r="K40" s="28">
        <f>IFERROR('Data Sheet'!J63/'Data Sheet'!J$66,"-")</f>
        <v>2.1330809551543392E-3</v>
      </c>
      <c r="L40" s="28">
        <f>IFERROR('Data Sheet'!K63/'Data Sheet'!K$66,"-")</f>
        <v>5.5076288101762573E-3</v>
      </c>
    </row>
    <row r="41" spans="1:12" outlineLevel="1" x14ac:dyDescent="0.3">
      <c r="B41" t="str">
        <f>'Data Sheet'!A64</f>
        <v>Investments</v>
      </c>
      <c r="C41" s="28">
        <f>IFERROR('Data Sheet'!B64/'Data Sheet'!B$66,"-")</f>
        <v>2.5193746837465711E-2</v>
      </c>
      <c r="D41" s="28">
        <f>IFERROR('Data Sheet'!C64/'Data Sheet'!C$66,"-")</f>
        <v>0.19751527396930774</v>
      </c>
      <c r="E41" s="28">
        <f>IFERROR('Data Sheet'!D64/'Data Sheet'!D$66,"-")</f>
        <v>0.15328485551172669</v>
      </c>
      <c r="F41" s="28">
        <f>IFERROR('Data Sheet'!E64/'Data Sheet'!E$66,"-")</f>
        <v>0.13395427402279161</v>
      </c>
      <c r="G41" s="28">
        <f>IFERROR('Data Sheet'!F64/'Data Sheet'!F$66,"-")</f>
        <v>9.5773420479302832E-2</v>
      </c>
      <c r="H41" s="28">
        <f>IFERROR('Data Sheet'!G64/'Data Sheet'!G$66,"-")</f>
        <v>0.13212601501241733</v>
      </c>
      <c r="I41" s="28">
        <f>IFERROR('Data Sheet'!H64/'Data Sheet'!H$66,"-")</f>
        <v>0.17411268836364571</v>
      </c>
      <c r="J41" s="28">
        <f>IFERROR('Data Sheet'!I64/'Data Sheet'!I$66,"-")</f>
        <v>0.15632925615589585</v>
      </c>
      <c r="K41" s="28">
        <f>IFERROR('Data Sheet'!J64/'Data Sheet'!J$66,"-")</f>
        <v>0.17925888177052998</v>
      </c>
      <c r="L41" s="28">
        <f>IFERROR('Data Sheet'!K64/'Data Sheet'!K$66,"-")</f>
        <v>0.15928143712574849</v>
      </c>
    </row>
    <row r="42" spans="1:12" outlineLevel="1" x14ac:dyDescent="0.3">
      <c r="B42" t="str">
        <f>'Data Sheet'!A65</f>
        <v>Other Assets</v>
      </c>
      <c r="C42" s="28">
        <f>IFERROR('Data Sheet'!B74/'Data Sheet'!B$66,"-")</f>
        <v>0.19751524674425416</v>
      </c>
      <c r="D42" s="28">
        <f>IFERROR('Data Sheet'!C74/'Data Sheet'!C$66,"-")</f>
        <v>0.1952422186943763</v>
      </c>
      <c r="E42" s="28">
        <f>IFERROR('Data Sheet'!D74/'Data Sheet'!D$66,"-")</f>
        <v>0.25263078299663511</v>
      </c>
      <c r="F42" s="28">
        <f>IFERROR('Data Sheet'!E74/'Data Sheet'!E$66,"-")</f>
        <v>0.25351509528227822</v>
      </c>
      <c r="G42" s="28">
        <f>IFERROR('Data Sheet'!F74/'Data Sheet'!F$66,"-")</f>
        <v>0.23016339869281047</v>
      </c>
      <c r="H42" s="28">
        <f>IFERROR('Data Sheet'!G74/'Data Sheet'!G$66,"-")</f>
        <v>0.21273172047511418</v>
      </c>
      <c r="I42" s="28">
        <f>IFERROR('Data Sheet'!H74/'Data Sheet'!H$66,"-")</f>
        <v>0.25716831292994885</v>
      </c>
      <c r="J42" s="28">
        <f>IFERROR('Data Sheet'!I74/'Data Sheet'!I$66,"-")</f>
        <v>0.30504992134578957</v>
      </c>
      <c r="K42" s="28">
        <f>IFERROR('Data Sheet'!J74/'Data Sheet'!J$66,"-")</f>
        <v>0.2900626092020967</v>
      </c>
      <c r="L42" s="28">
        <f>IFERROR('Data Sheet'!K74/'Data Sheet'!K$66,"-")</f>
        <v>0.24944010284515714</v>
      </c>
    </row>
    <row r="43" spans="1:12" outlineLevel="1" x14ac:dyDescent="0.3">
      <c r="B43" t="str">
        <f>'Data Sheet'!A67</f>
        <v>Receivables</v>
      </c>
      <c r="C43" s="28">
        <f>IFERROR('Data Sheet'!B67/'Data Sheet'!B$66,"-")</f>
        <v>0.15086953048017257</v>
      </c>
      <c r="D43" s="28">
        <f>IFERROR('Data Sheet'!C67/'Data Sheet'!C$66,"-")</f>
        <v>0.14819358252754125</v>
      </c>
      <c r="E43" s="28">
        <f>IFERROR('Data Sheet'!D67/'Data Sheet'!D$66,"-")</f>
        <v>0.16562275517019748</v>
      </c>
      <c r="F43" s="28">
        <f>IFERROR('Data Sheet'!E67/'Data Sheet'!E$66,"-")</f>
        <v>0.1763733257202674</v>
      </c>
      <c r="G43" s="28">
        <f>IFERROR('Data Sheet'!F67/'Data Sheet'!F$66,"-")</f>
        <v>0.20138344226579522</v>
      </c>
      <c r="H43" s="28">
        <f>IFERROR('Data Sheet'!G67/'Data Sheet'!G$66,"-")</f>
        <v>0.17946070634632735</v>
      </c>
      <c r="I43" s="28">
        <f>IFERROR('Data Sheet'!H67/'Data Sheet'!H$66,"-")</f>
        <v>0.19445039364682298</v>
      </c>
      <c r="J43" s="28">
        <f>IFERROR('Data Sheet'!I67/'Data Sheet'!I$66,"-")</f>
        <v>0.20405149442999776</v>
      </c>
      <c r="K43" s="28">
        <f>IFERROR('Data Sheet'!J67/'Data Sheet'!J$66,"-")</f>
        <v>0.21980926033779849</v>
      </c>
      <c r="L43" s="28">
        <f>IFERROR('Data Sheet'!K67/'Data Sheet'!K$66,"-")</f>
        <v>0.21081903988632902</v>
      </c>
    </row>
    <row r="44" spans="1:12" outlineLevel="1" x14ac:dyDescent="0.3">
      <c r="B44" t="str">
        <f>'Data Sheet'!A68</f>
        <v>Inventory</v>
      </c>
      <c r="C44" s="28">
        <f>IFERROR('Data Sheet'!B68/'Data Sheet'!B$66,"-")</f>
        <v>0</v>
      </c>
      <c r="D44" s="28">
        <f>IFERROR('Data Sheet'!C68/'Data Sheet'!C$66,"-")</f>
        <v>0</v>
      </c>
      <c r="E44" s="28">
        <f>IFERROR('Data Sheet'!D68/'Data Sheet'!D$66,"-")</f>
        <v>0</v>
      </c>
      <c r="F44" s="28">
        <f>IFERROR('Data Sheet'!E68/'Data Sheet'!E$66,"-")</f>
        <v>0</v>
      </c>
      <c r="G44" s="28">
        <f>IFERROR('Data Sheet'!F68/'Data Sheet'!F$66,"-")</f>
        <v>0</v>
      </c>
      <c r="H44" s="28">
        <f>IFERROR('Data Sheet'!G68/'Data Sheet'!G$66,"-")</f>
        <v>0</v>
      </c>
      <c r="I44" s="28">
        <f>IFERROR('Data Sheet'!H68/'Data Sheet'!H$66,"-")</f>
        <v>0</v>
      </c>
      <c r="J44" s="28">
        <f>IFERROR('Data Sheet'!I68/'Data Sheet'!I$66,"-")</f>
        <v>0</v>
      </c>
      <c r="K44" s="28">
        <f>IFERROR('Data Sheet'!J68/'Data Sheet'!J$66,"-")</f>
        <v>0</v>
      </c>
      <c r="L44" s="28">
        <f>IFERROR('Data Sheet'!K68/'Data Sheet'!K$66,"-")</f>
        <v>0</v>
      </c>
    </row>
    <row r="45" spans="1:12" outlineLevel="1" x14ac:dyDescent="0.3">
      <c r="B45" t="str">
        <f>'Data Sheet'!A69</f>
        <v>Cash &amp; Bank</v>
      </c>
      <c r="C45" s="28">
        <f>IFERROR('Data Sheet'!B69/'Data Sheet'!B$66,"-")</f>
        <v>0.43539108897706996</v>
      </c>
      <c r="D45" s="28">
        <f>IFERROR('Data Sheet'!C69/'Data Sheet'!C$66,"-")</f>
        <v>0.27210516188002115</v>
      </c>
      <c r="E45" s="28">
        <f>IFERROR('Data Sheet'!D69/'Data Sheet'!D$66,"-")</f>
        <v>0.24975740084941209</v>
      </c>
      <c r="F45" s="28">
        <f>IFERROR('Data Sheet'!E69/'Data Sheet'!E$66,"-")</f>
        <v>0.23276949063830799</v>
      </c>
      <c r="G45" s="28">
        <f>IFERROR('Data Sheet'!F69/'Data Sheet'!F$66,"-")</f>
        <v>0.20314814814814816</v>
      </c>
      <c r="H45" s="28">
        <f>IFERROR('Data Sheet'!G69/'Data Sheet'!G$66,"-")</f>
        <v>0.22987415241231129</v>
      </c>
      <c r="I45" s="28">
        <f>IFERROR('Data Sheet'!H69/'Data Sheet'!H$66,"-")</f>
        <v>0.14968002809927267</v>
      </c>
      <c r="J45" s="28">
        <f>IFERROR('Data Sheet'!I69/'Data Sheet'!I$66,"-")</f>
        <v>9.7699765642556738E-2</v>
      </c>
      <c r="K45" s="28">
        <f>IFERROR('Data Sheet'!J69/'Data Sheet'!J$66,"-")</f>
        <v>0.10764414676761794</v>
      </c>
      <c r="L45" s="28">
        <f>IFERROR('Data Sheet'!K69/'Data Sheet'!K$66,"-")</f>
        <v>0.1654656788118678</v>
      </c>
    </row>
    <row r="46" spans="1:12" outlineLevel="1" x14ac:dyDescent="0.3">
      <c r="C46" s="34"/>
      <c r="D46" s="34"/>
      <c r="E46" s="34"/>
      <c r="F46" s="34"/>
      <c r="G46" s="34"/>
      <c r="H46" s="34"/>
      <c r="I46" s="34"/>
      <c r="J46" s="34"/>
      <c r="K46" s="34"/>
      <c r="L46" s="34"/>
    </row>
    <row r="47" spans="1:12" ht="9" customHeight="1" x14ac:dyDescent="0.3">
      <c r="B47" s="121"/>
      <c r="C47" s="121"/>
      <c r="D47" s="121"/>
      <c r="E47" s="121"/>
      <c r="F47" s="121"/>
      <c r="G47" s="121"/>
      <c r="H47" s="121"/>
      <c r="I47" s="121"/>
      <c r="J47" s="121"/>
      <c r="K47" s="121"/>
      <c r="L47" s="121"/>
    </row>
  </sheetData>
  <mergeCells count="1">
    <mergeCell ref="B10:L10"/>
  </mergeCells>
  <pageMargins left="0.5" right="0.3" top="0.4" bottom="0.4" header="0.3" footer="0.3"/>
  <pageSetup scale="83"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4DB8-3CD7-4EB5-99D2-FEE07E7EAD0A}">
  <dimension ref="B2:T70"/>
  <sheetViews>
    <sheetView showGridLines="0" topLeftCell="A5" zoomScaleNormal="100" workbookViewId="0">
      <selection activeCell="Q37" sqref="Q37"/>
    </sheetView>
  </sheetViews>
  <sheetFormatPr defaultRowHeight="14.4" x14ac:dyDescent="0.3"/>
  <cols>
    <col min="1" max="1" width="2.33203125" customWidth="1"/>
    <col min="2" max="4" width="12.44140625" customWidth="1"/>
    <col min="5" max="5" width="16.33203125" customWidth="1"/>
    <col min="6" max="6" width="12.6640625" customWidth="1"/>
    <col min="7" max="10" width="12.44140625" customWidth="1"/>
    <col min="11" max="11" width="10.44140625" bestFit="1" customWidth="1"/>
    <col min="12" max="15" width="12.44140625" customWidth="1"/>
    <col min="16" max="17" width="10.44140625" bestFit="1" customWidth="1"/>
    <col min="18" max="18" width="9.88671875" bestFit="1" customWidth="1"/>
  </cols>
  <sheetData>
    <row r="2" spans="2:20" ht="9" customHeight="1" x14ac:dyDescent="0.3">
      <c r="B2" s="121"/>
      <c r="C2" s="121"/>
      <c r="D2" s="121"/>
      <c r="E2" s="121"/>
      <c r="F2" s="121"/>
      <c r="G2" s="121"/>
      <c r="H2" s="121"/>
      <c r="I2" s="121"/>
      <c r="J2" s="121"/>
      <c r="K2" s="121"/>
      <c r="L2" s="121"/>
      <c r="M2" s="184"/>
    </row>
    <row r="3" spans="2:20" ht="3.6" customHeight="1" x14ac:dyDescent="0.3">
      <c r="M3" s="2"/>
    </row>
    <row r="4" spans="2:20" ht="23.4" x14ac:dyDescent="0.45">
      <c r="B4" s="181" t="str">
        <f>'Data Sheet'!$B$1</f>
        <v>INFOSYS LTD</v>
      </c>
      <c r="M4" s="2"/>
    </row>
    <row r="5" spans="2:20" x14ac:dyDescent="0.3">
      <c r="B5" t="s">
        <v>393</v>
      </c>
      <c r="M5" s="2"/>
    </row>
    <row r="6" spans="2:20" ht="15.6" x14ac:dyDescent="0.3">
      <c r="B6" s="228">
        <v>1250</v>
      </c>
      <c r="M6" s="2"/>
    </row>
    <row r="7" spans="2:20" x14ac:dyDescent="0.3">
      <c r="B7" t="s">
        <v>394</v>
      </c>
      <c r="M7" s="2"/>
    </row>
    <row r="8" spans="2:20" ht="3.6" customHeight="1" thickBot="1" x14ac:dyDescent="0.35">
      <c r="B8" s="189"/>
      <c r="C8" s="189"/>
      <c r="D8" s="189"/>
      <c r="E8" s="189"/>
      <c r="F8" s="189"/>
      <c r="G8" s="189"/>
      <c r="H8" s="189"/>
      <c r="I8" s="189"/>
      <c r="J8" s="189"/>
      <c r="K8" s="189"/>
      <c r="L8" s="189"/>
      <c r="M8" s="190"/>
    </row>
    <row r="10" spans="2:20" x14ac:dyDescent="0.3">
      <c r="B10" s="281" t="str">
        <f>"Forecasting"</f>
        <v>Forecasting</v>
      </c>
      <c r="C10" s="281"/>
      <c r="D10" s="281"/>
      <c r="E10" s="281"/>
      <c r="F10" s="281"/>
      <c r="G10" s="281"/>
      <c r="H10" s="281"/>
      <c r="I10" s="281"/>
      <c r="J10" s="281"/>
      <c r="K10" s="281"/>
      <c r="L10" s="281"/>
      <c r="M10" s="281"/>
    </row>
    <row r="11" spans="2:20" x14ac:dyDescent="0.3">
      <c r="N11" s="67"/>
    </row>
    <row r="12" spans="2:20" x14ac:dyDescent="0.3">
      <c r="B12" s="281" t="str">
        <f>'Data Sheet'!$B$1&amp; " - "&amp; " Sales Forecasting"</f>
        <v>INFOSYS LTD -  Sales Forecasting</v>
      </c>
      <c r="C12" s="281"/>
      <c r="D12" s="281"/>
      <c r="E12" s="281"/>
      <c r="Q12" s="60"/>
    </row>
    <row r="13" spans="2:20" x14ac:dyDescent="0.3">
      <c r="B13" s="56" t="s">
        <v>151</v>
      </c>
      <c r="C13" s="57" t="s">
        <v>152</v>
      </c>
      <c r="D13" s="57" t="s">
        <v>1</v>
      </c>
      <c r="E13" s="57" t="s">
        <v>155</v>
      </c>
      <c r="P13" s="29"/>
      <c r="Q13" s="29"/>
      <c r="R13" s="54"/>
    </row>
    <row r="14" spans="2:20" x14ac:dyDescent="0.3">
      <c r="B14" s="8">
        <v>1</v>
      </c>
      <c r="C14" s="59">
        <v>2016</v>
      </c>
      <c r="D14" s="157" cm="1">
        <f t="array" ref="D14:D23">IFERROR(TRANSPOSE('Data Sheet'!B17:K17),"-")</f>
        <v>62441</v>
      </c>
      <c r="E14" s="24" t="s">
        <v>60</v>
      </c>
      <c r="P14" s="66"/>
      <c r="Q14" s="66"/>
      <c r="R14" s="66"/>
      <c r="T14" s="30"/>
    </row>
    <row r="15" spans="2:20" x14ac:dyDescent="0.3">
      <c r="B15" s="8">
        <v>2</v>
      </c>
      <c r="C15" s="59">
        <v>2017</v>
      </c>
      <c r="D15" s="157">
        <v>68484</v>
      </c>
      <c r="E15" s="58">
        <f>IFERROR(D15/D14-1,"-")</f>
        <v>9.67793597155715E-2</v>
      </c>
    </row>
    <row r="16" spans="2:20" x14ac:dyDescent="0.3">
      <c r="B16" s="8">
        <v>3</v>
      </c>
      <c r="C16" s="59">
        <v>2018</v>
      </c>
      <c r="D16" s="157">
        <v>70522</v>
      </c>
      <c r="E16" s="58">
        <f t="shared" ref="E16:E28" si="0">IFERROR(D16/D15-1,"-")</f>
        <v>2.9758775772443125E-2</v>
      </c>
    </row>
    <row r="17" spans="2:18" x14ac:dyDescent="0.3">
      <c r="B17" s="8">
        <v>4</v>
      </c>
      <c r="C17" s="59">
        <v>2019</v>
      </c>
      <c r="D17" s="157">
        <v>82675</v>
      </c>
      <c r="E17" s="58">
        <f t="shared" si="0"/>
        <v>0.17232920223476356</v>
      </c>
    </row>
    <row r="18" spans="2:18" x14ac:dyDescent="0.3">
      <c r="B18" s="8">
        <v>5</v>
      </c>
      <c r="C18" s="59">
        <v>2020</v>
      </c>
      <c r="D18" s="157">
        <v>90791</v>
      </c>
      <c r="E18" s="58">
        <f t="shared" si="0"/>
        <v>9.8167523435137571E-2</v>
      </c>
    </row>
    <row r="19" spans="2:18" x14ac:dyDescent="0.3">
      <c r="B19" s="8">
        <v>6</v>
      </c>
      <c r="C19" s="59">
        <v>2021</v>
      </c>
      <c r="D19" s="157">
        <v>100472</v>
      </c>
      <c r="E19" s="58">
        <f t="shared" si="0"/>
        <v>0.10662951173574475</v>
      </c>
    </row>
    <row r="20" spans="2:18" x14ac:dyDescent="0.3">
      <c r="B20" s="8">
        <v>7</v>
      </c>
      <c r="C20" s="59">
        <v>2022</v>
      </c>
      <c r="D20" s="157">
        <v>121641</v>
      </c>
      <c r="E20" s="58">
        <f t="shared" si="0"/>
        <v>0.21069551715900947</v>
      </c>
    </row>
    <row r="21" spans="2:18" x14ac:dyDescent="0.3">
      <c r="B21" s="8">
        <v>8</v>
      </c>
      <c r="C21" s="59">
        <v>2023</v>
      </c>
      <c r="D21" s="157">
        <v>146767</v>
      </c>
      <c r="E21" s="58">
        <f t="shared" si="0"/>
        <v>0.20655864387829759</v>
      </c>
    </row>
    <row r="22" spans="2:18" x14ac:dyDescent="0.3">
      <c r="B22" s="8">
        <v>9</v>
      </c>
      <c r="C22" s="59">
        <v>2024</v>
      </c>
      <c r="D22" s="157">
        <v>153670</v>
      </c>
      <c r="E22" s="58">
        <f t="shared" si="0"/>
        <v>4.7033733741236095E-2</v>
      </c>
    </row>
    <row r="23" spans="2:18" x14ac:dyDescent="0.3">
      <c r="B23" s="8">
        <v>10</v>
      </c>
      <c r="C23" s="59">
        <v>2025</v>
      </c>
      <c r="D23" s="157">
        <v>162990</v>
      </c>
      <c r="E23" s="58">
        <f t="shared" si="0"/>
        <v>6.0649443612936782E-2</v>
      </c>
    </row>
    <row r="24" spans="2:18" x14ac:dyDescent="0.3">
      <c r="B24" s="61">
        <v>11</v>
      </c>
      <c r="C24" s="62">
        <v>2026</v>
      </c>
      <c r="D24" s="158">
        <f>_xlfn.FORECAST.LINEAR(B24,$D$14:$D$23,$B$14:$B$23)</f>
        <v>173013.53333333333</v>
      </c>
      <c r="E24" s="63">
        <f>IFERROR(D24/D23-1,"-")</f>
        <v>6.1497842403419378E-2</v>
      </c>
    </row>
    <row r="25" spans="2:18" x14ac:dyDescent="0.3">
      <c r="B25" s="61">
        <v>12</v>
      </c>
      <c r="C25" s="62">
        <v>2027</v>
      </c>
      <c r="D25" s="158">
        <f t="shared" ref="D25:D28" si="1">_xlfn.FORECAST.LINEAR(B25,$D$14:$D$23,$B$14:$B$23)</f>
        <v>185189.57575757575</v>
      </c>
      <c r="E25" s="63">
        <f t="shared" si="0"/>
        <v>7.0376242769307984E-2</v>
      </c>
    </row>
    <row r="26" spans="2:18" x14ac:dyDescent="0.3">
      <c r="B26" s="61">
        <v>13</v>
      </c>
      <c r="C26" s="62">
        <v>2028</v>
      </c>
      <c r="D26" s="158">
        <f t="shared" si="1"/>
        <v>197365.61818181816</v>
      </c>
      <c r="E26" s="63">
        <f t="shared" si="0"/>
        <v>6.5749070240225471E-2</v>
      </c>
    </row>
    <row r="27" spans="2:18" x14ac:dyDescent="0.3">
      <c r="B27" s="61">
        <v>14</v>
      </c>
      <c r="C27" s="62">
        <v>2029</v>
      </c>
      <c r="D27" s="158">
        <f t="shared" si="1"/>
        <v>209541.66060606064</v>
      </c>
      <c r="E27" s="63">
        <f t="shared" si="0"/>
        <v>6.1692824395714219E-2</v>
      </c>
      <c r="R27" s="30"/>
    </row>
    <row r="28" spans="2:18" x14ac:dyDescent="0.3">
      <c r="B28" s="61">
        <v>15</v>
      </c>
      <c r="C28" s="62">
        <v>2030</v>
      </c>
      <c r="D28" s="158">
        <f t="shared" si="1"/>
        <v>221717.70303030306</v>
      </c>
      <c r="E28" s="63">
        <f t="shared" si="0"/>
        <v>5.8107979048297453E-2</v>
      </c>
    </row>
    <row r="30" spans="2:18" x14ac:dyDescent="0.3">
      <c r="B30" s="281" t="str">
        <f>'Data Sheet'!$B$1&amp; " - "&amp; " EBITDA Forecasting"</f>
        <v>INFOSYS LTD -  EBITDA Forecasting</v>
      </c>
      <c r="C30" s="281"/>
      <c r="D30" s="281"/>
      <c r="E30" s="281"/>
    </row>
    <row r="31" spans="2:18" x14ac:dyDescent="0.3">
      <c r="B31" s="56" t="s">
        <v>151</v>
      </c>
      <c r="C31" s="57" t="s">
        <v>152</v>
      </c>
      <c r="D31" s="57" t="s">
        <v>64</v>
      </c>
      <c r="E31" s="57" t="s">
        <v>117</v>
      </c>
    </row>
    <row r="32" spans="2:18" x14ac:dyDescent="0.3">
      <c r="B32" s="8">
        <v>1</v>
      </c>
      <c r="C32" s="59">
        <v>2016</v>
      </c>
      <c r="D32" s="157" cm="1">
        <f t="array" ref="D32:D41">IFERROR(TRANSPOSE('Data Sheet'!B32:K32),"-")</f>
        <v>17079</v>
      </c>
      <c r="E32" s="24" t="s">
        <v>60</v>
      </c>
    </row>
    <row r="33" spans="2:7" x14ac:dyDescent="0.3">
      <c r="B33" s="8">
        <v>2</v>
      </c>
      <c r="C33" s="59">
        <v>2017</v>
      </c>
      <c r="D33" s="157">
        <v>18604</v>
      </c>
      <c r="E33" s="58">
        <f t="shared" ref="E33:E46" si="2">IFERROR(D33/D32-1,"-")</f>
        <v>8.9290942092628445E-2</v>
      </c>
    </row>
    <row r="34" spans="2:7" x14ac:dyDescent="0.3">
      <c r="B34" s="8">
        <v>3</v>
      </c>
      <c r="C34" s="59">
        <v>2018</v>
      </c>
      <c r="D34" s="157">
        <v>18822</v>
      </c>
      <c r="E34" s="58">
        <f t="shared" si="2"/>
        <v>1.1717910126854525E-2</v>
      </c>
      <c r="G34" s="54"/>
    </row>
    <row r="35" spans="2:7" x14ac:dyDescent="0.3">
      <c r="B35" s="8">
        <v>4</v>
      </c>
      <c r="C35" s="59">
        <v>2019</v>
      </c>
      <c r="D35" s="157">
        <v>20170</v>
      </c>
      <c r="E35" s="58">
        <f t="shared" si="2"/>
        <v>7.1618318988417862E-2</v>
      </c>
      <c r="G35" s="54"/>
    </row>
    <row r="36" spans="2:7" x14ac:dyDescent="0.3">
      <c r="B36" s="8">
        <v>5</v>
      </c>
      <c r="C36" s="59">
        <v>2020</v>
      </c>
      <c r="D36" s="157">
        <v>22267</v>
      </c>
      <c r="E36" s="58">
        <f t="shared" si="2"/>
        <v>0.10396628656420437</v>
      </c>
      <c r="G36" s="54"/>
    </row>
    <row r="37" spans="2:7" x14ac:dyDescent="0.3">
      <c r="B37" s="8">
        <v>6</v>
      </c>
      <c r="C37" s="59">
        <v>2021</v>
      </c>
      <c r="D37" s="157">
        <v>27889</v>
      </c>
      <c r="E37" s="58">
        <f t="shared" si="2"/>
        <v>0.25248125028068436</v>
      </c>
      <c r="G37" s="54"/>
    </row>
    <row r="38" spans="2:7" x14ac:dyDescent="0.3">
      <c r="B38" s="8">
        <v>7</v>
      </c>
      <c r="C38" s="59">
        <v>2022</v>
      </c>
      <c r="D38" s="157">
        <v>31491</v>
      </c>
      <c r="E38" s="58">
        <f t="shared" si="2"/>
        <v>0.12915486392484499</v>
      </c>
      <c r="G38" s="54"/>
    </row>
    <row r="39" spans="2:7" x14ac:dyDescent="0.3">
      <c r="B39" s="8">
        <v>8</v>
      </c>
      <c r="C39" s="59">
        <v>2023</v>
      </c>
      <c r="D39" s="157">
        <v>35130</v>
      </c>
      <c r="E39" s="58">
        <f t="shared" si="2"/>
        <v>0.1155568257597408</v>
      </c>
      <c r="G39" s="54"/>
    </row>
    <row r="40" spans="2:7" x14ac:dyDescent="0.3">
      <c r="B40" s="8">
        <v>9</v>
      </c>
      <c r="C40" s="59">
        <v>2024</v>
      </c>
      <c r="D40" s="157">
        <v>36425</v>
      </c>
      <c r="E40" s="58">
        <f t="shared" si="2"/>
        <v>3.6863079988613823E-2</v>
      </c>
      <c r="G40" s="54"/>
    </row>
    <row r="41" spans="2:7" x14ac:dyDescent="0.3">
      <c r="B41" s="8">
        <v>10</v>
      </c>
      <c r="C41" s="59">
        <v>2025</v>
      </c>
      <c r="D41" s="157">
        <v>39236</v>
      </c>
      <c r="E41" s="58">
        <f t="shared" si="2"/>
        <v>7.7172271791352109E-2</v>
      </c>
    </row>
    <row r="42" spans="2:7" x14ac:dyDescent="0.3">
      <c r="B42" s="61">
        <v>11</v>
      </c>
      <c r="C42" s="62">
        <v>2026</v>
      </c>
      <c r="D42" s="158">
        <f>_xlfn.FORECAST.LINEAR(B42,$D$32:$D$41,$B$32:$B$41)</f>
        <v>41554.133333333331</v>
      </c>
      <c r="E42" s="63">
        <f t="shared" si="2"/>
        <v>5.9081795629863709E-2</v>
      </c>
    </row>
    <row r="43" spans="2:7" x14ac:dyDescent="0.3">
      <c r="B43" s="61">
        <v>12</v>
      </c>
      <c r="C43" s="62">
        <v>2027</v>
      </c>
      <c r="D43" s="158">
        <f>_xlfn.FORECAST.LINEAR(B43,$D$32:$D$41,$B$32:$B$41)</f>
        <v>44252.8303030303</v>
      </c>
      <c r="E43" s="63">
        <f t="shared" si="2"/>
        <v>6.4944128374641474E-2</v>
      </c>
    </row>
    <row r="44" spans="2:7" x14ac:dyDescent="0.3">
      <c r="B44" s="61">
        <v>13</v>
      </c>
      <c r="C44" s="62">
        <v>2028</v>
      </c>
      <c r="D44" s="158">
        <f>_xlfn.FORECAST.LINEAR(B44,$D$32:$D$41,$B$32:$B$41)</f>
        <v>46951.527272727268</v>
      </c>
      <c r="E44" s="63">
        <f t="shared" si="2"/>
        <v>6.0983601528243225E-2</v>
      </c>
    </row>
    <row r="45" spans="2:7" x14ac:dyDescent="0.3">
      <c r="B45" s="61">
        <v>14</v>
      </c>
      <c r="C45" s="62">
        <v>2029</v>
      </c>
      <c r="D45" s="158">
        <f>_xlfn.FORECAST.LINEAR(B45,$D$32:$D$41,$B$32:$B$41)</f>
        <v>49650.224242424243</v>
      </c>
      <c r="E45" s="63">
        <f t="shared" si="2"/>
        <v>5.7478363888379125E-2</v>
      </c>
    </row>
    <row r="46" spans="2:7" x14ac:dyDescent="0.3">
      <c r="B46" s="61">
        <v>15</v>
      </c>
      <c r="C46" s="62">
        <v>2030</v>
      </c>
      <c r="D46" s="158">
        <f>_xlfn.FORECAST.LINEAR(B46,$D$32:$D$41,$B$32:$B$41)</f>
        <v>52348.921212121211</v>
      </c>
      <c r="E46" s="63">
        <f t="shared" si="2"/>
        <v>5.4354174847634162E-2</v>
      </c>
    </row>
    <row r="48" spans="2:7" x14ac:dyDescent="0.3">
      <c r="B48" s="281" t="str">
        <f>'Data Sheet'!$B$1&amp; " - "&amp; " EPS Forecasting"</f>
        <v>INFOSYS LTD -  EPS Forecasting</v>
      </c>
      <c r="C48" s="281"/>
      <c r="D48" s="281"/>
      <c r="E48" s="281"/>
    </row>
    <row r="49" spans="2:5" x14ac:dyDescent="0.3">
      <c r="B49" s="56" t="s">
        <v>151</v>
      </c>
      <c r="C49" s="57" t="s">
        <v>152</v>
      </c>
      <c r="D49" s="57" t="s">
        <v>153</v>
      </c>
      <c r="E49" s="57" t="s">
        <v>154</v>
      </c>
    </row>
    <row r="50" spans="2:5" x14ac:dyDescent="0.3">
      <c r="B50" s="8">
        <v>1</v>
      </c>
      <c r="C50" s="59">
        <v>2016</v>
      </c>
      <c r="D50" s="149" cm="1">
        <f t="array" ref="D50:D59">IFERROR(TRANSPOSE('Historical FS'!C52:L52),"-")</f>
        <v>29.362850736846688</v>
      </c>
      <c r="E50" s="24" t="s">
        <v>60</v>
      </c>
    </row>
    <row r="51" spans="2:5" x14ac:dyDescent="0.3">
      <c r="B51" s="8">
        <v>2</v>
      </c>
      <c r="C51" s="59">
        <v>2017</v>
      </c>
      <c r="D51" s="149">
        <v>31.243605650971944</v>
      </c>
      <c r="E51" s="58">
        <f>IFERROR(D51/D50-1,"-")</f>
        <v>6.4052190673882459E-2</v>
      </c>
    </row>
    <row r="52" spans="2:5" x14ac:dyDescent="0.3">
      <c r="B52" s="8">
        <v>3</v>
      </c>
      <c r="C52" s="59">
        <v>2018</v>
      </c>
      <c r="D52" s="149">
        <v>36.694748408955633</v>
      </c>
      <c r="E52" s="58">
        <f t="shared" ref="E52:E64" si="3">IFERROR(D52/D51-1,"-")</f>
        <v>0.17447226862608001</v>
      </c>
    </row>
    <row r="53" spans="2:5" x14ac:dyDescent="0.3">
      <c r="B53" s="8">
        <v>4</v>
      </c>
      <c r="C53" s="59">
        <v>2019</v>
      </c>
      <c r="D53" s="149">
        <v>35.272036439378333</v>
      </c>
      <c r="E53" s="58">
        <f t="shared" si="3"/>
        <v>-3.8771541740018511E-2</v>
      </c>
    </row>
    <row r="54" spans="2:5" x14ac:dyDescent="0.3">
      <c r="B54" s="8">
        <v>5</v>
      </c>
      <c r="C54" s="59">
        <v>2020</v>
      </c>
      <c r="D54" s="149">
        <v>39.067856304296782</v>
      </c>
      <c r="E54" s="58">
        <f t="shared" si="3"/>
        <v>0.10761555748113061</v>
      </c>
    </row>
    <row r="55" spans="2:5" x14ac:dyDescent="0.3">
      <c r="B55" s="8">
        <v>6</v>
      </c>
      <c r="C55" s="59">
        <v>2021</v>
      </c>
      <c r="D55" s="149">
        <v>45.586405989626115</v>
      </c>
      <c r="E55" s="58">
        <f t="shared" si="3"/>
        <v>0.16685199296723141</v>
      </c>
    </row>
    <row r="56" spans="2:5" x14ac:dyDescent="0.3">
      <c r="B56" s="8">
        <v>7</v>
      </c>
      <c r="C56" s="59">
        <v>2022</v>
      </c>
      <c r="D56" s="149">
        <v>52.644590771863932</v>
      </c>
      <c r="E56" s="58">
        <f t="shared" si="3"/>
        <v>0.15483091129939086</v>
      </c>
    </row>
    <row r="57" spans="2:5" x14ac:dyDescent="0.3">
      <c r="B57" s="8">
        <v>8</v>
      </c>
      <c r="C57" s="59">
        <v>2023</v>
      </c>
      <c r="D57" s="149">
        <v>58.11117003326423</v>
      </c>
      <c r="E57" s="58">
        <f t="shared" si="3"/>
        <v>0.10383933432192105</v>
      </c>
    </row>
    <row r="58" spans="2:5" x14ac:dyDescent="0.3">
      <c r="B58" s="8">
        <v>9</v>
      </c>
      <c r="C58" s="59">
        <v>2024</v>
      </c>
      <c r="D58" s="149">
        <v>63.234479269556005</v>
      </c>
      <c r="E58" s="58">
        <f t="shared" si="3"/>
        <v>8.8163931880205881E-2</v>
      </c>
    </row>
    <row r="59" spans="2:5" x14ac:dyDescent="0.3">
      <c r="B59" s="8">
        <v>10</v>
      </c>
      <c r="C59" s="59">
        <v>2025</v>
      </c>
      <c r="D59" s="149">
        <v>64.406616425492984</v>
      </c>
      <c r="E59" s="58">
        <f t="shared" si="3"/>
        <v>1.8536361324972717E-2</v>
      </c>
    </row>
    <row r="60" spans="2:5" x14ac:dyDescent="0.3">
      <c r="B60" s="61">
        <v>11</v>
      </c>
      <c r="C60" s="62">
        <v>2026</v>
      </c>
      <c r="D60" s="150">
        <f>_xlfn.FORECAST.LINEAR(B60,$D$50:$D$59,$B$50:$B$59)</f>
        <v>69.064046914099748</v>
      </c>
      <c r="E60" s="63">
        <f t="shared" si="3"/>
        <v>7.2312919806842846E-2</v>
      </c>
    </row>
    <row r="61" spans="2:5" x14ac:dyDescent="0.3">
      <c r="B61" s="61">
        <v>12</v>
      </c>
      <c r="C61" s="62">
        <v>2027</v>
      </c>
      <c r="D61" s="150">
        <f>_xlfn.FORECAST.LINEAR(B61,$D$50:$D$59,$B$50:$B$59)</f>
        <v>73.337067079749659</v>
      </c>
      <c r="E61" s="63">
        <f t="shared" si="3"/>
        <v>6.1870399383989083E-2</v>
      </c>
    </row>
    <row r="62" spans="2:5" x14ac:dyDescent="0.3">
      <c r="B62" s="61">
        <v>13</v>
      </c>
      <c r="C62" s="62">
        <v>2028</v>
      </c>
      <c r="D62" s="150">
        <f>_xlfn.FORECAST.LINEAR(B62,$D$50:$D$59,$B$50:$B$59)</f>
        <v>77.610087245399555</v>
      </c>
      <c r="E62" s="63">
        <f t="shared" si="3"/>
        <v>5.8265490232971118E-2</v>
      </c>
    </row>
    <row r="63" spans="2:5" x14ac:dyDescent="0.3">
      <c r="B63" s="61">
        <v>14</v>
      </c>
      <c r="C63" s="62">
        <v>2029</v>
      </c>
      <c r="D63" s="150">
        <f>_xlfn.FORECAST.LINEAR(B63,$D$50:$D$59,$B$50:$B$59)</f>
        <v>81.883107411049451</v>
      </c>
      <c r="E63" s="63">
        <f t="shared" si="3"/>
        <v>5.5057535912036881E-2</v>
      </c>
    </row>
    <row r="64" spans="2:5" x14ac:dyDescent="0.3">
      <c r="B64" s="61">
        <v>15</v>
      </c>
      <c r="C64" s="62">
        <v>2030</v>
      </c>
      <c r="D64" s="150">
        <f>_xlfn.FORECAST.LINEAR(B64,$D$50:$D$59,$B$50:$B$59)</f>
        <v>86.156127576699362</v>
      </c>
      <c r="E64" s="63">
        <f t="shared" si="3"/>
        <v>5.2184391881948899E-2</v>
      </c>
    </row>
    <row r="66" spans="2:13" ht="9" customHeight="1" x14ac:dyDescent="0.3">
      <c r="B66" s="121"/>
      <c r="C66" s="121"/>
      <c r="D66" s="121"/>
      <c r="E66" s="121"/>
      <c r="F66" s="121"/>
      <c r="G66" s="121"/>
      <c r="H66" s="121"/>
      <c r="I66" s="121"/>
      <c r="J66" s="121"/>
      <c r="K66" s="121"/>
      <c r="L66" s="121"/>
      <c r="M66" s="121"/>
    </row>
    <row r="67" spans="2:13" ht="3.6" customHeight="1" x14ac:dyDescent="0.3"/>
    <row r="68" spans="2:13" x14ac:dyDescent="0.3">
      <c r="B68" s="216" t="s">
        <v>365</v>
      </c>
    </row>
    <row r="69" spans="2:13" x14ac:dyDescent="0.3">
      <c r="B69" s="303" t="s">
        <v>367</v>
      </c>
      <c r="C69" s="303"/>
      <c r="D69" s="303"/>
      <c r="E69" s="303"/>
      <c r="F69" s="303"/>
      <c r="G69" s="303"/>
      <c r="H69" s="303"/>
      <c r="I69" s="303"/>
      <c r="J69" s="303"/>
      <c r="K69" s="303"/>
      <c r="L69" s="303"/>
      <c r="M69" s="303"/>
    </row>
    <row r="70" spans="2:13" x14ac:dyDescent="0.3">
      <c r="B70" s="294" t="s">
        <v>366</v>
      </c>
      <c r="C70" s="294"/>
      <c r="D70" s="294"/>
      <c r="E70" s="294"/>
      <c r="F70" s="294"/>
      <c r="G70" s="294"/>
      <c r="H70" s="294"/>
      <c r="I70" s="294"/>
      <c r="J70" s="294"/>
      <c r="K70" s="294"/>
      <c r="L70" s="294"/>
      <c r="M70" s="294"/>
    </row>
  </sheetData>
  <mergeCells count="6">
    <mergeCell ref="B70:M70"/>
    <mergeCell ref="B12:E12"/>
    <mergeCell ref="B30:E30"/>
    <mergeCell ref="B48:E48"/>
    <mergeCell ref="B10:M10"/>
    <mergeCell ref="B69:M69"/>
  </mergeCells>
  <pageMargins left="0.3" right="0.3" top="0.5" bottom="0" header="0.3" footer="0.3"/>
  <pageSetup scale="65"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4355-24B4-4AC4-8238-7F709D52BF05}">
  <dimension ref="B2:I42"/>
  <sheetViews>
    <sheetView showGridLines="0" topLeftCell="A12" zoomScaleNormal="100" workbookViewId="0"/>
  </sheetViews>
  <sheetFormatPr defaultRowHeight="14.4" x14ac:dyDescent="0.3"/>
  <cols>
    <col min="1" max="1" width="2.33203125" customWidth="1"/>
    <col min="2" max="3" width="11" customWidth="1"/>
    <col min="5" max="5" width="8.88671875" customWidth="1"/>
    <col min="6" max="6" width="21.6640625" customWidth="1"/>
    <col min="7" max="8" width="8.88671875" customWidth="1"/>
  </cols>
  <sheetData>
    <row r="2" spans="2:9" ht="9" customHeight="1" x14ac:dyDescent="0.3">
      <c r="B2" s="121"/>
      <c r="C2" s="121"/>
      <c r="D2" s="121"/>
      <c r="E2" s="121"/>
      <c r="F2" s="121"/>
      <c r="G2" s="121"/>
      <c r="H2" s="121"/>
      <c r="I2" s="121"/>
    </row>
    <row r="3" spans="2:9" ht="3.6" customHeight="1" x14ac:dyDescent="0.3"/>
    <row r="4" spans="2:9" ht="23.4" x14ac:dyDescent="0.45">
      <c r="B4" s="181" t="str">
        <f>'Data Sheet'!$B$1</f>
        <v>INFOSYS LTD</v>
      </c>
    </row>
    <row r="5" spans="2:9" x14ac:dyDescent="0.3">
      <c r="B5" t="s">
        <v>393</v>
      </c>
    </row>
    <row r="6" spans="2:9" ht="15.6" x14ac:dyDescent="0.3">
      <c r="B6" s="228">
        <v>1250</v>
      </c>
    </row>
    <row r="7" spans="2:9" x14ac:dyDescent="0.3">
      <c r="B7" t="s">
        <v>394</v>
      </c>
    </row>
    <row r="8" spans="2:9" ht="3.6" customHeight="1" thickBot="1" x14ac:dyDescent="0.35">
      <c r="B8" s="189"/>
      <c r="C8" s="189"/>
      <c r="D8" s="189"/>
      <c r="E8" s="189"/>
      <c r="F8" s="189"/>
      <c r="G8" s="189"/>
      <c r="H8" s="189"/>
      <c r="I8" s="189"/>
    </row>
    <row r="10" spans="2:9" x14ac:dyDescent="0.3">
      <c r="B10" s="281" t="s">
        <v>248</v>
      </c>
      <c r="C10" s="281"/>
      <c r="D10" s="281"/>
      <c r="E10" s="281"/>
      <c r="F10" s="281"/>
      <c r="G10" s="281"/>
      <c r="H10" s="281"/>
      <c r="I10" s="281"/>
    </row>
    <row r="12" spans="2:9" x14ac:dyDescent="0.3">
      <c r="B12" s="10" t="s">
        <v>152</v>
      </c>
      <c r="C12" s="57" t="s">
        <v>247</v>
      </c>
    </row>
    <row r="13" spans="2:9" x14ac:dyDescent="0.3">
      <c r="B13" s="8">
        <v>2000</v>
      </c>
      <c r="C13" s="35">
        <v>-0.14649999999999999</v>
      </c>
    </row>
    <row r="14" spans="2:9" x14ac:dyDescent="0.3">
      <c r="B14" s="8">
        <v>2001</v>
      </c>
      <c r="C14" s="35">
        <v>-0.1618</v>
      </c>
      <c r="F14" t="s">
        <v>249</v>
      </c>
      <c r="G14" s="58">
        <f>AVERAGE(C13:C38)</f>
        <v>0.1514923076923077</v>
      </c>
    </row>
    <row r="15" spans="2:9" ht="16.8" thickBot="1" x14ac:dyDescent="0.35">
      <c r="B15" s="8">
        <v>2002</v>
      </c>
      <c r="C15" s="35">
        <v>3.2500000000000001E-2</v>
      </c>
      <c r="F15" t="s">
        <v>250</v>
      </c>
      <c r="G15" s="41" t="s">
        <v>319</v>
      </c>
    </row>
    <row r="16" spans="2:9" ht="15" thickBot="1" x14ac:dyDescent="0.35">
      <c r="B16" s="8">
        <v>2003</v>
      </c>
      <c r="C16" s="35">
        <v>0.71900000000000008</v>
      </c>
      <c r="F16" s="101" t="s">
        <v>251</v>
      </c>
      <c r="G16" s="123">
        <f>SUM(G14:G15)</f>
        <v>0.1514923076923077</v>
      </c>
    </row>
    <row r="17" spans="2:5" ht="15" thickTop="1" x14ac:dyDescent="0.3">
      <c r="B17" s="8">
        <v>2004</v>
      </c>
      <c r="C17" s="35">
        <v>0.10679999999999999</v>
      </c>
    </row>
    <row r="18" spans="2:5" x14ac:dyDescent="0.3">
      <c r="B18" s="8">
        <v>2005</v>
      </c>
      <c r="C18" s="35">
        <v>0.36340000000000006</v>
      </c>
    </row>
    <row r="19" spans="2:5" x14ac:dyDescent="0.3">
      <c r="B19" s="8">
        <v>2006</v>
      </c>
      <c r="C19" s="35">
        <v>0.39829999999999999</v>
      </c>
    </row>
    <row r="20" spans="2:5" x14ac:dyDescent="0.3">
      <c r="B20" s="8">
        <v>2007</v>
      </c>
      <c r="C20" s="35">
        <v>0.54770000000000008</v>
      </c>
      <c r="E20" s="58"/>
    </row>
    <row r="21" spans="2:5" x14ac:dyDescent="0.3">
      <c r="B21" s="8">
        <v>2008</v>
      </c>
      <c r="C21" s="35">
        <v>-0.51790000000000003</v>
      </c>
    </row>
    <row r="22" spans="2:5" x14ac:dyDescent="0.3">
      <c r="B22" s="8">
        <v>2009</v>
      </c>
      <c r="C22" s="35">
        <v>0.75760000000000005</v>
      </c>
    </row>
    <row r="23" spans="2:5" x14ac:dyDescent="0.3">
      <c r="B23" s="8">
        <v>2010</v>
      </c>
      <c r="C23" s="35">
        <v>0.17949999999999999</v>
      </c>
    </row>
    <row r="24" spans="2:5" x14ac:dyDescent="0.3">
      <c r="B24" s="8">
        <v>2011</v>
      </c>
      <c r="C24" s="35">
        <v>-0.2462</v>
      </c>
    </row>
    <row r="25" spans="2:5" x14ac:dyDescent="0.3">
      <c r="B25" s="8">
        <v>2012</v>
      </c>
      <c r="C25" s="35">
        <v>0.27699999999999997</v>
      </c>
    </row>
    <row r="26" spans="2:5" x14ac:dyDescent="0.3">
      <c r="B26" s="8">
        <v>2013</v>
      </c>
      <c r="C26" s="35">
        <v>6.7599999999999993E-2</v>
      </c>
    </row>
    <row r="27" spans="2:5" x14ac:dyDescent="0.3">
      <c r="B27" s="8">
        <v>2014</v>
      </c>
      <c r="C27" s="35">
        <v>0.31390000000000001</v>
      </c>
    </row>
    <row r="28" spans="2:5" x14ac:dyDescent="0.3">
      <c r="B28" s="8">
        <v>2015</v>
      </c>
      <c r="C28" s="35">
        <v>-4.0599999999999997E-2</v>
      </c>
    </row>
    <row r="29" spans="2:5" x14ac:dyDescent="0.3">
      <c r="B29" s="8">
        <v>2016</v>
      </c>
      <c r="C29" s="35">
        <v>3.0099999999999998E-2</v>
      </c>
    </row>
    <row r="30" spans="2:5" x14ac:dyDescent="0.3">
      <c r="B30" s="8">
        <v>2017</v>
      </c>
      <c r="C30" s="35">
        <v>0.28649999999999998</v>
      </c>
    </row>
    <row r="31" spans="2:5" x14ac:dyDescent="0.3">
      <c r="B31" s="8">
        <v>2018</v>
      </c>
      <c r="C31" s="35">
        <v>3.15E-2</v>
      </c>
    </row>
    <row r="32" spans="2:5" x14ac:dyDescent="0.3">
      <c r="B32" s="8">
        <v>2019</v>
      </c>
      <c r="C32" s="35">
        <v>0.1202</v>
      </c>
    </row>
    <row r="33" spans="2:9" x14ac:dyDescent="0.3">
      <c r="B33" s="8">
        <v>2020</v>
      </c>
      <c r="C33" s="35">
        <v>0.14899999999999999</v>
      </c>
    </row>
    <row r="34" spans="2:9" x14ac:dyDescent="0.3">
      <c r="B34" s="8">
        <v>2021</v>
      </c>
      <c r="C34" s="35">
        <v>0.2412</v>
      </c>
    </row>
    <row r="35" spans="2:9" x14ac:dyDescent="0.3">
      <c r="B35" s="8">
        <v>2022</v>
      </c>
      <c r="C35" s="35">
        <v>4.3200000000000002E-2</v>
      </c>
    </row>
    <row r="36" spans="2:9" x14ac:dyDescent="0.3">
      <c r="B36" s="8">
        <v>2023</v>
      </c>
      <c r="C36" s="35">
        <v>0.19420000000000001</v>
      </c>
    </row>
    <row r="37" spans="2:9" x14ac:dyDescent="0.3">
      <c r="B37" s="8">
        <v>2024</v>
      </c>
      <c r="C37" s="35">
        <v>8.7499999999999994E-2</v>
      </c>
    </row>
    <row r="38" spans="2:9" x14ac:dyDescent="0.3">
      <c r="B38" s="8">
        <v>2025</v>
      </c>
      <c r="C38" s="35">
        <v>0.1051</v>
      </c>
    </row>
    <row r="40" spans="2:9" ht="9" customHeight="1" x14ac:dyDescent="0.3">
      <c r="B40" s="121"/>
      <c r="C40" s="121"/>
      <c r="D40" s="121"/>
      <c r="E40" s="121"/>
      <c r="F40" s="121"/>
      <c r="G40" s="121"/>
      <c r="H40" s="121"/>
      <c r="I40" s="121"/>
    </row>
    <row r="41" spans="2:9" ht="3.6" customHeight="1" x14ac:dyDescent="0.3"/>
    <row r="42" spans="2:9" x14ac:dyDescent="0.3">
      <c r="B42" s="282" t="s">
        <v>368</v>
      </c>
      <c r="C42" s="282"/>
      <c r="D42" s="282"/>
    </row>
  </sheetData>
  <mergeCells count="2">
    <mergeCell ref="B10:I10"/>
    <mergeCell ref="B42:D42"/>
  </mergeCells>
  <phoneticPr fontId="24" type="noConversion"/>
  <pageMargins left="0.3" right="0.5" top="0.5" bottom="0" header="0.3" footer="0.3"/>
  <pageSetup scale="108" fitToWidth="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EC89-354B-40A4-8391-2B742F9DBE08}">
  <dimension ref="A2:M62"/>
  <sheetViews>
    <sheetView showGridLines="0" zoomScaleNormal="100" workbookViewId="0">
      <selection activeCell="L32" sqref="L32"/>
    </sheetView>
  </sheetViews>
  <sheetFormatPr defaultRowHeight="14.4" x14ac:dyDescent="0.3"/>
  <cols>
    <col min="1" max="1" width="2.33203125" customWidth="1"/>
    <col min="2" max="2" width="52.77734375" customWidth="1"/>
    <col min="3" max="6" width="12.44140625" customWidth="1"/>
    <col min="7" max="10" width="15.6640625" customWidth="1"/>
    <col min="12" max="12" width="11" bestFit="1" customWidth="1"/>
  </cols>
  <sheetData>
    <row r="2" spans="1:10" ht="9" customHeight="1" x14ac:dyDescent="0.3">
      <c r="B2" s="121"/>
      <c r="C2" s="121"/>
      <c r="D2" s="121"/>
      <c r="E2" s="121"/>
      <c r="F2" s="121"/>
      <c r="G2" s="121"/>
      <c r="H2" s="121"/>
      <c r="I2" s="121"/>
      <c r="J2" s="121"/>
    </row>
    <row r="3" spans="1:10" ht="3.6" customHeight="1" x14ac:dyDescent="0.3"/>
    <row r="4" spans="1:10" ht="23.4" x14ac:dyDescent="0.45">
      <c r="B4" s="181" t="str">
        <f>'Data Sheet'!$B$1</f>
        <v>INFOSYS LTD</v>
      </c>
    </row>
    <row r="5" spans="1:10" x14ac:dyDescent="0.3">
      <c r="B5" t="s">
        <v>393</v>
      </c>
    </row>
    <row r="6" spans="1:10" ht="15.6" x14ac:dyDescent="0.3">
      <c r="B6" s="228">
        <v>1250</v>
      </c>
    </row>
    <row r="7" spans="1:10" x14ac:dyDescent="0.3">
      <c r="B7" t="s">
        <v>394</v>
      </c>
    </row>
    <row r="8" spans="1:10" ht="3.6" customHeight="1" thickBot="1" x14ac:dyDescent="0.35">
      <c r="B8" s="189"/>
      <c r="C8" s="189"/>
      <c r="D8" s="189"/>
      <c r="E8" s="189"/>
      <c r="F8" s="189"/>
      <c r="G8" s="189"/>
      <c r="H8" s="189"/>
      <c r="I8" s="189"/>
      <c r="J8" s="189"/>
    </row>
    <row r="10" spans="1:10" x14ac:dyDescent="0.3">
      <c r="B10" s="281" t="str">
        <f>"Weighhted Average Cost of Capital"</f>
        <v>Weighhted Average Cost of Capital</v>
      </c>
      <c r="C10" s="281"/>
      <c r="D10" s="281"/>
      <c r="E10" s="281"/>
      <c r="F10" s="281"/>
      <c r="G10" s="281"/>
      <c r="H10" s="281"/>
      <c r="I10" s="281"/>
      <c r="J10" s="281"/>
    </row>
    <row r="11" spans="1:10" ht="3.6" customHeight="1" x14ac:dyDescent="0.3"/>
    <row r="12" spans="1:10" x14ac:dyDescent="0.3">
      <c r="B12" s="77" t="s">
        <v>166</v>
      </c>
      <c r="C12" s="68"/>
      <c r="D12" s="68"/>
      <c r="E12" s="68"/>
    </row>
    <row r="13" spans="1:10" ht="3.6" customHeight="1" x14ac:dyDescent="0.3"/>
    <row r="14" spans="1:10" ht="15" thickBot="1" x14ac:dyDescent="0.35">
      <c r="B14" s="2" t="s">
        <v>156</v>
      </c>
    </row>
    <row r="15" spans="1:10" x14ac:dyDescent="0.3">
      <c r="A15" s="2"/>
      <c r="B15" s="39"/>
      <c r="C15" s="72"/>
      <c r="D15" s="72"/>
      <c r="E15" s="72"/>
      <c r="F15" s="72"/>
      <c r="G15" s="75" t="s">
        <v>160</v>
      </c>
      <c r="H15" s="75" t="s">
        <v>160</v>
      </c>
      <c r="I15" s="75" t="s">
        <v>184</v>
      </c>
      <c r="J15" s="75" t="s">
        <v>185</v>
      </c>
    </row>
    <row r="16" spans="1:10" ht="16.2" x14ac:dyDescent="0.3">
      <c r="A16" s="2"/>
      <c r="B16" s="74" t="s">
        <v>162</v>
      </c>
      <c r="C16" s="76" t="s">
        <v>157</v>
      </c>
      <c r="D16" s="76" t="s">
        <v>158</v>
      </c>
      <c r="E16" s="76" t="s">
        <v>159</v>
      </c>
      <c r="F16" s="76" t="s">
        <v>163</v>
      </c>
      <c r="G16" s="73" t="s">
        <v>161</v>
      </c>
      <c r="H16" s="73" t="s">
        <v>167</v>
      </c>
      <c r="I16" s="73" t="s">
        <v>164</v>
      </c>
      <c r="J16" s="73" t="s">
        <v>165</v>
      </c>
    </row>
    <row r="17" spans="2:12" ht="3.6" customHeight="1" x14ac:dyDescent="0.3"/>
    <row r="18" spans="2:12" x14ac:dyDescent="0.3">
      <c r="B18" s="90" t="s">
        <v>194</v>
      </c>
      <c r="C18" s="91" t="s">
        <v>199</v>
      </c>
      <c r="D18" s="90">
        <v>10932</v>
      </c>
      <c r="E18" s="90">
        <v>871979.34</v>
      </c>
      <c r="F18" s="112">
        <v>0.25169999999999998</v>
      </c>
      <c r="G18" s="89">
        <f>D18/E18</f>
        <v>1.253699428245628E-2</v>
      </c>
      <c r="H18" s="89">
        <f>D18/(D18+E18)</f>
        <v>1.2381764175777831E-2</v>
      </c>
      <c r="I18" s="118">
        <v>0.9</v>
      </c>
      <c r="J18" s="89">
        <f>I18/(1+(1-F18)*G18)</f>
        <v>0.89163518441605971</v>
      </c>
    </row>
    <row r="19" spans="2:12" x14ac:dyDescent="0.3">
      <c r="B19" s="115" t="s">
        <v>195</v>
      </c>
      <c r="C19" s="116" t="s">
        <v>199</v>
      </c>
      <c r="D19" s="115">
        <v>8796</v>
      </c>
      <c r="E19" s="115">
        <v>506214.48</v>
      </c>
      <c r="F19" s="112">
        <v>0.25169999999999998</v>
      </c>
      <c r="G19" s="117">
        <f>D19/E19</f>
        <v>1.7376033968842613E-2</v>
      </c>
      <c r="H19" s="117">
        <f t="shared" ref="H19:H22" si="0">D19/(D19+E19)</f>
        <v>1.7079264095751993E-2</v>
      </c>
      <c r="I19" s="119">
        <v>0.85</v>
      </c>
      <c r="J19" s="117">
        <f>I19/(1+(1-F19)*G19)</f>
        <v>0.83908974712657902</v>
      </c>
    </row>
    <row r="20" spans="2:12" x14ac:dyDescent="0.3">
      <c r="B20" s="90" t="s">
        <v>196</v>
      </c>
      <c r="C20" s="91" t="s">
        <v>199</v>
      </c>
      <c r="D20" s="90">
        <v>6780</v>
      </c>
      <c r="E20" s="90">
        <v>359576.51</v>
      </c>
      <c r="F20" s="112">
        <v>0.25169999999999998</v>
      </c>
      <c r="G20" s="89">
        <f t="shared" ref="G20:G22" si="1">D20/E20</f>
        <v>1.8855514226999978E-2</v>
      </c>
      <c r="H20" s="89">
        <f t="shared" si="0"/>
        <v>1.8506563456453934E-2</v>
      </c>
      <c r="I20" s="118">
        <v>1.01</v>
      </c>
      <c r="J20" s="89">
        <f t="shared" ref="J20:J22" si="2">I20/(1+(1-F20)*G20)</f>
        <v>0.99594759642166886</v>
      </c>
    </row>
    <row r="21" spans="2:12" x14ac:dyDescent="0.3">
      <c r="B21" s="90" t="s">
        <v>197</v>
      </c>
      <c r="C21" s="91" t="s">
        <v>199</v>
      </c>
      <c r="D21" s="90">
        <v>16163.7</v>
      </c>
      <c r="E21" s="90">
        <v>207335.47</v>
      </c>
      <c r="F21" s="112">
        <v>0.25169999999999998</v>
      </c>
      <c r="G21" s="89">
        <f>D21/E21</f>
        <v>7.7959164440122089E-2</v>
      </c>
      <c r="H21" s="89">
        <f t="shared" si="0"/>
        <v>7.232107394403299E-2</v>
      </c>
      <c r="I21" s="118">
        <v>0.9</v>
      </c>
      <c r="J21" s="89">
        <f t="shared" si="2"/>
        <v>0.8503908809041959</v>
      </c>
    </row>
    <row r="22" spans="2:12" x14ac:dyDescent="0.3">
      <c r="B22" s="90" t="s">
        <v>198</v>
      </c>
      <c r="C22" s="91" t="s">
        <v>199</v>
      </c>
      <c r="D22" s="90">
        <v>1954.4</v>
      </c>
      <c r="E22" s="90">
        <v>130551.18</v>
      </c>
      <c r="F22" s="112">
        <v>0.25169999999999998</v>
      </c>
      <c r="G22" s="89">
        <f t="shared" si="1"/>
        <v>1.4970374070919928E-2</v>
      </c>
      <c r="H22" s="89">
        <f t="shared" si="0"/>
        <v>1.4749567527646763E-2</v>
      </c>
      <c r="I22" s="118">
        <v>0.92</v>
      </c>
      <c r="J22" s="89">
        <f t="shared" si="2"/>
        <v>0.90980802938365568</v>
      </c>
    </row>
    <row r="23" spans="2:12" ht="15" thickBot="1" x14ac:dyDescent="0.35"/>
    <row r="24" spans="2:12" x14ac:dyDescent="0.3">
      <c r="E24" s="70" t="s">
        <v>168</v>
      </c>
      <c r="F24" s="113">
        <f>AVERAGE(F18:F22)</f>
        <v>0.25169999999999998</v>
      </c>
      <c r="G24" s="87">
        <f t="shared" ref="G24:H24" si="3">AVERAGE(G18:G22)</f>
        <v>2.8339616197868171E-2</v>
      </c>
      <c r="H24" s="87">
        <f t="shared" si="3"/>
        <v>2.7007646639932704E-2</v>
      </c>
      <c r="I24" s="87">
        <f>AVERAGE(I18:I22)</f>
        <v>0.91600000000000004</v>
      </c>
      <c r="J24" s="87">
        <f>AVERAGE(J18:J22)</f>
        <v>0.89737428765043181</v>
      </c>
    </row>
    <row r="25" spans="2:12" ht="15" thickBot="1" x14ac:dyDescent="0.35">
      <c r="B25" s="90" t="s">
        <v>277</v>
      </c>
      <c r="E25" s="71" t="s">
        <v>115</v>
      </c>
      <c r="F25" s="114">
        <f>MEDIAN(F18:F22)</f>
        <v>0.25169999999999998</v>
      </c>
      <c r="G25" s="88">
        <f t="shared" ref="G25:H25" si="4">MEDIAN(G18:G22)</f>
        <v>1.7376033968842613E-2</v>
      </c>
      <c r="H25" s="88">
        <f t="shared" si="4"/>
        <v>1.7079264095751993E-2</v>
      </c>
      <c r="I25" s="88">
        <f>MEDIAN(I18:I22)</f>
        <v>0.9</v>
      </c>
      <c r="J25" s="88">
        <f>MEDIAN(J18:J22)</f>
        <v>0.89163518441605971</v>
      </c>
    </row>
    <row r="28" spans="2:12" x14ac:dyDescent="0.3">
      <c r="B28" s="56" t="s">
        <v>169</v>
      </c>
      <c r="C28" s="56"/>
      <c r="D28" s="56"/>
      <c r="E28" s="56"/>
      <c r="G28" s="56" t="s">
        <v>172</v>
      </c>
      <c r="H28" s="56"/>
      <c r="I28" s="56"/>
      <c r="J28" s="56"/>
    </row>
    <row r="29" spans="2:12" ht="3.6" customHeight="1" x14ac:dyDescent="0.3"/>
    <row r="30" spans="2:12" x14ac:dyDescent="0.3">
      <c r="B30" t="s">
        <v>170</v>
      </c>
      <c r="E30" s="35">
        <f>'Historical FS'!L38/WACC!D19</f>
        <v>4.7294224647567079E-2</v>
      </c>
      <c r="G30" t="s">
        <v>173</v>
      </c>
      <c r="J30" s="112">
        <v>6.7299999999999999E-2</v>
      </c>
    </row>
    <row r="31" spans="2:12" ht="15" thickBot="1" x14ac:dyDescent="0.35">
      <c r="B31" t="s">
        <v>187</v>
      </c>
      <c r="E31" s="112">
        <f>F19</f>
        <v>0.25169999999999998</v>
      </c>
      <c r="G31" t="s">
        <v>174</v>
      </c>
      <c r="J31" s="58">
        <f>Rm!G16-WACC!J30</f>
        <v>8.4192307692307705E-2</v>
      </c>
    </row>
    <row r="32" spans="2:12" ht="16.8" thickBot="1" x14ac:dyDescent="0.35">
      <c r="B32" s="134" t="s">
        <v>171</v>
      </c>
      <c r="C32" s="134"/>
      <c r="D32" s="134"/>
      <c r="E32" s="135">
        <f>E30*(1-E31)</f>
        <v>3.5390268303774446E-2</v>
      </c>
      <c r="G32" t="s">
        <v>175</v>
      </c>
      <c r="J32" s="161">
        <f>J41</f>
        <v>0.91015515354687015</v>
      </c>
      <c r="L32" s="162"/>
    </row>
    <row r="33" spans="2:13" x14ac:dyDescent="0.3">
      <c r="G33" s="134" t="s">
        <v>172</v>
      </c>
      <c r="H33" s="134"/>
      <c r="I33" s="134"/>
      <c r="J33" s="135">
        <f>J30+(J32*J31)</f>
        <v>0.14392806273515765</v>
      </c>
    </row>
    <row r="34" spans="2:13" x14ac:dyDescent="0.3">
      <c r="M34" s="35"/>
    </row>
    <row r="36" spans="2:13" x14ac:dyDescent="0.3">
      <c r="B36" s="56" t="s">
        <v>176</v>
      </c>
      <c r="C36" s="56"/>
      <c r="D36" s="56"/>
      <c r="E36" s="56"/>
      <c r="G36" s="56" t="s">
        <v>183</v>
      </c>
      <c r="H36" s="121"/>
      <c r="I36" s="121"/>
      <c r="J36" s="121"/>
    </row>
    <row r="37" spans="2:13" ht="3.6" customHeight="1" x14ac:dyDescent="0.3"/>
    <row r="38" spans="2:13" ht="15" thickBot="1" x14ac:dyDescent="0.35">
      <c r="D38" s="69" t="s">
        <v>177</v>
      </c>
      <c r="E38" s="69" t="s">
        <v>178</v>
      </c>
      <c r="G38" t="s">
        <v>182</v>
      </c>
      <c r="J38" s="54">
        <f>J25</f>
        <v>0.89163518441605971</v>
      </c>
    </row>
    <row r="39" spans="2:13" x14ac:dyDescent="0.3">
      <c r="B39" t="s">
        <v>158</v>
      </c>
      <c r="C39" s="120">
        <f>D19</f>
        <v>8796</v>
      </c>
      <c r="D39" s="35">
        <f>C39/$C$41</f>
        <v>1.7079264095751993E-2</v>
      </c>
      <c r="E39" s="124">
        <f>H24</f>
        <v>2.7007646639932704E-2</v>
      </c>
      <c r="G39" t="s">
        <v>186</v>
      </c>
      <c r="J39" s="58">
        <f>E43</f>
        <v>2.7757306156277885E-2</v>
      </c>
    </row>
    <row r="40" spans="2:13" ht="15" thickBot="1" x14ac:dyDescent="0.35">
      <c r="B40" t="s">
        <v>179</v>
      </c>
      <c r="C40" s="120">
        <f>E19</f>
        <v>506214.48</v>
      </c>
      <c r="D40" s="35">
        <f>C40/$C$41</f>
        <v>0.982920735904248</v>
      </c>
      <c r="E40" s="58">
        <f>D41-E39</f>
        <v>0.97299235336006729</v>
      </c>
      <c r="G40" t="s">
        <v>187</v>
      </c>
      <c r="J40" s="58">
        <f>F19</f>
        <v>0.25169999999999998</v>
      </c>
    </row>
    <row r="41" spans="2:13" x14ac:dyDescent="0.3">
      <c r="B41" s="134" t="s">
        <v>180</v>
      </c>
      <c r="C41" s="134">
        <f>SUM(C39:C40)</f>
        <v>515010.48</v>
      </c>
      <c r="D41" s="136">
        <f t="shared" ref="D41" si="5">SUM(D39:D40)</f>
        <v>1</v>
      </c>
      <c r="E41" s="136">
        <f>SUM(E39:E40)</f>
        <v>1</v>
      </c>
      <c r="G41" s="134" t="s">
        <v>183</v>
      </c>
      <c r="H41" s="134"/>
      <c r="I41" s="134"/>
      <c r="J41" s="160">
        <f>J38*(1+(1-J40)*J39)</f>
        <v>0.91015515354687015</v>
      </c>
    </row>
    <row r="42" spans="2:13" ht="15" thickBot="1" x14ac:dyDescent="0.35"/>
    <row r="43" spans="2:13" ht="15" thickBot="1" x14ac:dyDescent="0.35">
      <c r="B43" t="s">
        <v>181</v>
      </c>
      <c r="D43" s="142">
        <f>D39/D40</f>
        <v>1.7376033968842613E-2</v>
      </c>
      <c r="E43" s="142">
        <f>E39/E40</f>
        <v>2.7757306156277885E-2</v>
      </c>
    </row>
    <row r="45" spans="2:13" x14ac:dyDescent="0.3">
      <c r="G45" s="56" t="s">
        <v>188</v>
      </c>
      <c r="H45" s="56"/>
      <c r="I45" s="56"/>
      <c r="J45" s="56"/>
    </row>
    <row r="46" spans="2:13" ht="3.6" customHeight="1" x14ac:dyDescent="0.3"/>
    <row r="47" spans="2:13" x14ac:dyDescent="0.3">
      <c r="G47" t="s">
        <v>172</v>
      </c>
      <c r="J47" s="58">
        <f>J33</f>
        <v>0.14392806273515765</v>
      </c>
    </row>
    <row r="48" spans="2:13" x14ac:dyDescent="0.3">
      <c r="G48" t="s">
        <v>189</v>
      </c>
      <c r="J48" s="58">
        <f>E40</f>
        <v>0.97299235336006729</v>
      </c>
    </row>
    <row r="50" spans="2:10" x14ac:dyDescent="0.3">
      <c r="G50" t="s">
        <v>169</v>
      </c>
      <c r="J50" s="58">
        <f>E32</f>
        <v>3.5390268303774446E-2</v>
      </c>
    </row>
    <row r="51" spans="2:10" x14ac:dyDescent="0.3">
      <c r="G51" t="s">
        <v>190</v>
      </c>
      <c r="J51" s="58">
        <f>E39</f>
        <v>2.7007646639932704E-2</v>
      </c>
    </row>
    <row r="52" spans="2:10" ht="15" thickBot="1" x14ac:dyDescent="0.35"/>
    <row r="53" spans="2:10" x14ac:dyDescent="0.3">
      <c r="G53" s="70" t="s">
        <v>191</v>
      </c>
      <c r="H53" s="70"/>
      <c r="I53" s="70"/>
      <c r="J53" s="122">
        <f>J47*J48+J50*J51</f>
        <v>0.14099671233607722</v>
      </c>
    </row>
    <row r="55" spans="2:10" ht="9" customHeight="1" x14ac:dyDescent="0.3">
      <c r="B55" s="121"/>
      <c r="C55" s="121"/>
      <c r="D55" s="121"/>
      <c r="E55" s="121"/>
      <c r="F55" s="121"/>
      <c r="G55" s="121"/>
      <c r="H55" s="121"/>
      <c r="I55" s="121"/>
      <c r="J55" s="121"/>
    </row>
    <row r="56" spans="2:10" ht="3.6" customHeight="1" x14ac:dyDescent="0.3"/>
    <row r="57" spans="2:10" x14ac:dyDescent="0.3">
      <c r="B57" s="77" t="s">
        <v>192</v>
      </c>
    </row>
    <row r="58" spans="2:10" x14ac:dyDescent="0.3">
      <c r="B58" s="77" t="s">
        <v>193</v>
      </c>
    </row>
    <row r="59" spans="2:10" x14ac:dyDescent="0.3">
      <c r="B59" s="282" t="s">
        <v>359</v>
      </c>
      <c r="C59" s="282"/>
      <c r="D59" s="282"/>
    </row>
    <row r="60" spans="2:10" x14ac:dyDescent="0.3">
      <c r="B60" s="77" t="s">
        <v>360</v>
      </c>
    </row>
    <row r="61" spans="2:10" x14ac:dyDescent="0.3">
      <c r="B61" s="77" t="s">
        <v>361</v>
      </c>
    </row>
    <row r="62" spans="2:10" x14ac:dyDescent="0.3">
      <c r="B62" s="77" t="s">
        <v>1226</v>
      </c>
    </row>
  </sheetData>
  <mergeCells count="2">
    <mergeCell ref="B10:J10"/>
    <mergeCell ref="B59:D59"/>
  </mergeCells>
  <pageMargins left="0.5" right="0" top="0.5" bottom="0.3" header="0.3" footer="0.3"/>
  <pageSetup scale="68" orientation="landscape" r:id="rId1"/>
  <ignoredErrors>
    <ignoredError sqref="G24:H24 F25:H25" evalError="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DE9F-C4EC-43B1-B700-BBB683D08B99}">
  <dimension ref="A2:J74"/>
  <sheetViews>
    <sheetView showGridLines="0" topLeftCell="A48" zoomScale="102" zoomScaleNormal="102" workbookViewId="0">
      <selection activeCell="I72" sqref="I72"/>
    </sheetView>
  </sheetViews>
  <sheetFormatPr defaultRowHeight="14.4" x14ac:dyDescent="0.3"/>
  <cols>
    <col min="1" max="1" width="2.33203125" customWidth="1"/>
    <col min="2" max="2" width="45.5546875" customWidth="1"/>
    <col min="3" max="7" width="15.21875" customWidth="1"/>
    <col min="9" max="9" width="11.21875" bestFit="1" customWidth="1"/>
    <col min="10" max="10" width="12" bestFit="1" customWidth="1"/>
  </cols>
  <sheetData>
    <row r="2" spans="2:7" ht="9" customHeight="1" x14ac:dyDescent="0.3">
      <c r="B2" s="121"/>
      <c r="C2" s="121"/>
      <c r="D2" s="121"/>
      <c r="E2" s="121"/>
      <c r="F2" s="121"/>
      <c r="G2" s="121"/>
    </row>
    <row r="3" spans="2:7" ht="3.6" customHeight="1" x14ac:dyDescent="0.3"/>
    <row r="4" spans="2:7" ht="23.4" x14ac:dyDescent="0.45">
      <c r="B4" s="181" t="str">
        <f>'Data Sheet'!$B$1</f>
        <v>INFOSYS LTD</v>
      </c>
    </row>
    <row r="5" spans="2:7" x14ac:dyDescent="0.3">
      <c r="B5" t="s">
        <v>393</v>
      </c>
    </row>
    <row r="6" spans="2:7" ht="15.6" x14ac:dyDescent="0.3">
      <c r="B6" s="228">
        <v>1250</v>
      </c>
    </row>
    <row r="7" spans="2:7" x14ac:dyDescent="0.3">
      <c r="B7" t="s">
        <v>394</v>
      </c>
    </row>
    <row r="8" spans="2:7" ht="3.6" customHeight="1" thickBot="1" x14ac:dyDescent="0.35">
      <c r="B8" s="189"/>
      <c r="C8" s="189"/>
      <c r="D8" s="189"/>
      <c r="E8" s="189"/>
      <c r="F8" s="189"/>
      <c r="G8" s="189"/>
    </row>
    <row r="10" spans="2:7" x14ac:dyDescent="0.3">
      <c r="B10" s="281" t="str">
        <f>"Intrinsic Growth"</f>
        <v>Intrinsic Growth</v>
      </c>
      <c r="C10" s="281"/>
      <c r="D10" s="281"/>
      <c r="E10" s="281"/>
      <c r="F10" s="281"/>
      <c r="G10" s="281"/>
    </row>
    <row r="12" spans="2:7" x14ac:dyDescent="0.3">
      <c r="B12" s="56" t="s">
        <v>228</v>
      </c>
      <c r="C12" s="100">
        <f>'Raw BS'!$H$3</f>
        <v>44256</v>
      </c>
      <c r="D12" s="100">
        <f>'Raw BS'!$I$3</f>
        <v>44621</v>
      </c>
      <c r="E12" s="100">
        <f>'Raw BS'!$J$3</f>
        <v>44986</v>
      </c>
      <c r="F12" s="100">
        <f>'Raw BS'!$K$3</f>
        <v>45352</v>
      </c>
      <c r="G12" s="100">
        <f>'Raw BS'!$L$3</f>
        <v>45717</v>
      </c>
    </row>
    <row r="13" spans="2:7" ht="3.6" customHeight="1" x14ac:dyDescent="0.3"/>
    <row r="14" spans="2:7" x14ac:dyDescent="0.3">
      <c r="B14" s="2" t="s">
        <v>229</v>
      </c>
    </row>
    <row r="15" spans="2:7" x14ac:dyDescent="0.3">
      <c r="B15" t="str">
        <f>'Raw BS'!B37</f>
        <v>Trade receivables</v>
      </c>
      <c r="C15" s="146">
        <f>'Raw BS'!H37</f>
        <v>19294</v>
      </c>
      <c r="D15" s="146">
        <f>'Raw BS'!I37</f>
        <v>22698</v>
      </c>
      <c r="E15" s="146">
        <f>'Raw BS'!J37</f>
        <v>25424</v>
      </c>
      <c r="F15" s="146">
        <f>'Raw BS'!K37</f>
        <v>30193</v>
      </c>
      <c r="G15" s="146">
        <f>'Raw BS'!L37</f>
        <v>31158</v>
      </c>
    </row>
    <row r="16" spans="2:7" x14ac:dyDescent="0.3">
      <c r="B16" t="str">
        <f>'Raw BS'!B39</f>
        <v>Loans n Advances</v>
      </c>
      <c r="C16" s="146">
        <f>'Raw BS'!H39</f>
        <v>1460</v>
      </c>
      <c r="D16" s="146">
        <f>'Raw BS'!I39</f>
        <v>2491</v>
      </c>
      <c r="E16" s="146">
        <f>'Raw BS'!J39</f>
        <v>3242</v>
      </c>
      <c r="F16" s="146">
        <f>'Raw BS'!K39</f>
        <v>10330</v>
      </c>
      <c r="G16" s="146">
        <f>'Raw BS'!L39</f>
        <v>6717</v>
      </c>
    </row>
    <row r="17" spans="1:10" ht="15" thickBot="1" x14ac:dyDescent="0.35">
      <c r="B17" t="str">
        <f>'Raw BS'!B40</f>
        <v>Other asset items</v>
      </c>
      <c r="C17" s="145" t="s">
        <v>60</v>
      </c>
      <c r="D17" s="146">
        <f>'Raw BS'!I40</f>
        <v>27528</v>
      </c>
      <c r="E17" s="146">
        <f>'Raw BS'!J40</f>
        <v>34766</v>
      </c>
      <c r="F17" s="146">
        <f>'Raw BS'!K40</f>
        <v>29513</v>
      </c>
      <c r="G17" s="146">
        <f>'Raw BS'!L40</f>
        <v>30149</v>
      </c>
    </row>
    <row r="18" spans="1:10" x14ac:dyDescent="0.3">
      <c r="B18" s="39" t="s">
        <v>230</v>
      </c>
      <c r="C18" s="151">
        <f>SUM(C15:C17)</f>
        <v>20754</v>
      </c>
      <c r="D18" s="151">
        <f>SUM(D15:D17)</f>
        <v>52717</v>
      </c>
      <c r="E18" s="151">
        <f>SUM(E15:E17)</f>
        <v>63432</v>
      </c>
      <c r="F18" s="151">
        <f>SUM(F15:F17)</f>
        <v>70036</v>
      </c>
      <c r="G18" s="151">
        <f>SUM(G15:G17)</f>
        <v>68024</v>
      </c>
    </row>
    <row r="19" spans="1:10" x14ac:dyDescent="0.3">
      <c r="J19" s="30"/>
    </row>
    <row r="20" spans="1:10" x14ac:dyDescent="0.3">
      <c r="B20" s="2" t="s">
        <v>231</v>
      </c>
    </row>
    <row r="21" spans="1:10" x14ac:dyDescent="0.3">
      <c r="B21" t="str">
        <f>'Raw BS'!B13</f>
        <v>Trade Payables</v>
      </c>
      <c r="C21" s="146">
        <f>'Raw BS'!H13</f>
        <v>2645</v>
      </c>
      <c r="D21" s="146">
        <f>'Raw BS'!I13</f>
        <v>4134</v>
      </c>
      <c r="E21" s="146">
        <f>'Raw BS'!J13</f>
        <v>3865</v>
      </c>
      <c r="F21" s="146">
        <f>'Raw BS'!K13</f>
        <v>3956</v>
      </c>
      <c r="G21" s="146">
        <f>'Raw BS'!L13</f>
        <v>4164</v>
      </c>
    </row>
    <row r="22" spans="1:10" x14ac:dyDescent="0.3">
      <c r="B22" t="str">
        <f>'Raw BS'!B14</f>
        <v>Advance from Customers</v>
      </c>
      <c r="C22" s="146">
        <f>'Raw BS'!H14</f>
        <v>0</v>
      </c>
      <c r="D22" s="146">
        <f>'Raw BS'!I14</f>
        <v>0</v>
      </c>
      <c r="E22" s="146">
        <f>'Raw BS'!J14</f>
        <v>0</v>
      </c>
      <c r="F22" s="146">
        <f>'Raw BS'!K14</f>
        <v>0</v>
      </c>
      <c r="G22" s="146">
        <f>'Raw BS'!L14</f>
        <v>0</v>
      </c>
    </row>
    <row r="23" spans="1:10" ht="15" thickBot="1" x14ac:dyDescent="0.35">
      <c r="B23" t="str">
        <f>'Raw BS'!B15</f>
        <v>Other liability items</v>
      </c>
      <c r="C23" s="146">
        <f>'Raw BS'!H15</f>
        <v>22759</v>
      </c>
      <c r="D23" s="146">
        <f>'Raw BS'!I15</f>
        <v>31385</v>
      </c>
      <c r="E23" s="146">
        <f>'Raw BS'!J15</f>
        <v>36637</v>
      </c>
      <c r="F23" s="146">
        <f>'Raw BS'!K15</f>
        <v>36584</v>
      </c>
      <c r="G23" s="146">
        <f>'Raw BS'!L15</f>
        <v>39201</v>
      </c>
    </row>
    <row r="24" spans="1:10" x14ac:dyDescent="0.3">
      <c r="B24" s="39" t="s">
        <v>232</v>
      </c>
      <c r="C24" s="151">
        <f>SUM(C21:C23)</f>
        <v>25404</v>
      </c>
      <c r="D24" s="151">
        <f>SUM(D21:D23)</f>
        <v>35519</v>
      </c>
      <c r="E24" s="151">
        <f>SUM(E21:E23)</f>
        <v>40502</v>
      </c>
      <c r="F24" s="151">
        <f>SUM(F21:F23)</f>
        <v>40540</v>
      </c>
      <c r="G24" s="151">
        <f>SUM(G21:G23)</f>
        <v>43365</v>
      </c>
    </row>
    <row r="25" spans="1:10" ht="3.6" customHeight="1" thickBot="1" x14ac:dyDescent="0.35"/>
    <row r="26" spans="1:10" ht="15" thickBot="1" x14ac:dyDescent="0.35">
      <c r="A26" s="2" t="s">
        <v>57</v>
      </c>
      <c r="B26" s="101" t="s">
        <v>233</v>
      </c>
      <c r="C26" s="153">
        <f>C18-C24</f>
        <v>-4650</v>
      </c>
      <c r="D26" s="153">
        <f t="shared" ref="D26:F26" si="0">D18-D24</f>
        <v>17198</v>
      </c>
      <c r="E26" s="153">
        <f t="shared" si="0"/>
        <v>22930</v>
      </c>
      <c r="F26" s="153">
        <f t="shared" si="0"/>
        <v>29496</v>
      </c>
      <c r="G26" s="153">
        <f>G18-G24</f>
        <v>24659</v>
      </c>
    </row>
    <row r="27" spans="1:10" ht="15" thickTop="1" x14ac:dyDescent="0.3"/>
    <row r="28" spans="1:10" x14ac:dyDescent="0.3">
      <c r="B28" s="2" t="s">
        <v>234</v>
      </c>
    </row>
    <row r="29" spans="1:10" x14ac:dyDescent="0.3">
      <c r="B29" t="str">
        <f>'Raw BS'!B19</f>
        <v>Land</v>
      </c>
      <c r="C29" s="146">
        <f>'Raw BS'!H19</f>
        <v>2036</v>
      </c>
      <c r="D29" s="146">
        <f>'Raw BS'!I19</f>
        <v>2065</v>
      </c>
      <c r="E29" s="146">
        <f>'Raw BS'!J19</f>
        <v>2054</v>
      </c>
      <c r="F29" s="146">
        <f>'Raw BS'!K19</f>
        <v>2037</v>
      </c>
      <c r="G29" s="146">
        <f>'Raw BS'!L19</f>
        <v>2079</v>
      </c>
    </row>
    <row r="30" spans="1:10" x14ac:dyDescent="0.3">
      <c r="B30" t="str">
        <f>'Raw BS'!B20</f>
        <v>Building</v>
      </c>
      <c r="C30" s="146">
        <f>'Raw BS'!H20</f>
        <v>16328</v>
      </c>
      <c r="D30" s="146">
        <f>'Raw BS'!I20</f>
        <v>16761</v>
      </c>
      <c r="E30" s="146">
        <f>'Raw BS'!J20</f>
        <v>16903</v>
      </c>
      <c r="F30" s="146">
        <f>'Raw BS'!K20</f>
        <v>16515</v>
      </c>
      <c r="G30" s="146">
        <f>'Raw BS'!L20</f>
        <v>16376</v>
      </c>
    </row>
    <row r="31" spans="1:10" x14ac:dyDescent="0.3">
      <c r="B31" t="str">
        <f>'Raw BS'!B21</f>
        <v>Plant Machinery</v>
      </c>
      <c r="C31" s="146">
        <f>'Raw BS'!H21</f>
        <v>3296</v>
      </c>
      <c r="D31" s="146">
        <f>'Raw BS'!I21</f>
        <v>3210</v>
      </c>
      <c r="E31" s="146">
        <f>'Raw BS'!J21</f>
        <v>3302</v>
      </c>
      <c r="F31" s="146">
        <f>'Raw BS'!K21</f>
        <v>3428</v>
      </c>
      <c r="G31" s="146">
        <f>'Raw BS'!L21</f>
        <v>3461</v>
      </c>
    </row>
    <row r="32" spans="1:10" x14ac:dyDescent="0.3">
      <c r="B32" t="str">
        <f>'Raw BS'!B22</f>
        <v>Equipments</v>
      </c>
      <c r="C32" s="146">
        <f>'Raw BS'!H22</f>
        <v>1371</v>
      </c>
      <c r="D32" s="146">
        <f>'Raw BS'!I22</f>
        <v>1427</v>
      </c>
      <c r="E32" s="146">
        <f>'Raw BS'!J22</f>
        <v>1482</v>
      </c>
      <c r="F32" s="146">
        <f>'Raw BS'!K22</f>
        <v>1528</v>
      </c>
      <c r="G32" s="146">
        <f>'Raw BS'!L22</f>
        <v>1628</v>
      </c>
    </row>
    <row r="33" spans="1:9" x14ac:dyDescent="0.3">
      <c r="B33" t="str">
        <f>'Raw BS'!B23</f>
        <v>Computers</v>
      </c>
      <c r="C33" s="146">
        <f>'Raw BS'!H23</f>
        <v>8650</v>
      </c>
      <c r="D33" s="146">
        <f>'Raw BS'!I23</f>
        <v>9936</v>
      </c>
      <c r="E33" s="146">
        <f>'Raw BS'!J23</f>
        <v>11898</v>
      </c>
      <c r="F33" s="146">
        <f>'Raw BS'!K23</f>
        <v>12353</v>
      </c>
      <c r="G33" s="146">
        <f>'Raw BS'!L23</f>
        <v>12925</v>
      </c>
    </row>
    <row r="34" spans="1:9" x14ac:dyDescent="0.3">
      <c r="B34" t="str">
        <f>'Raw BS'!B24</f>
        <v>Furniture n fittings</v>
      </c>
      <c r="C34" s="146">
        <f>'Raw BS'!H24</f>
        <v>2149</v>
      </c>
      <c r="D34" s="146">
        <f>'Raw BS'!I24</f>
        <v>2279</v>
      </c>
      <c r="E34" s="146">
        <f>'Raw BS'!J24</f>
        <v>2303</v>
      </c>
      <c r="F34" s="146">
        <f>'Raw BS'!K24</f>
        <v>2326</v>
      </c>
      <c r="G34" s="146">
        <f>'Raw BS'!L24</f>
        <v>2340</v>
      </c>
    </row>
    <row r="35" spans="1:9" x14ac:dyDescent="0.3">
      <c r="B35" t="str">
        <f>'Raw BS'!B25</f>
        <v>Vehicles</v>
      </c>
      <c r="C35" s="146">
        <f>'Raw BS'!H25</f>
        <v>74</v>
      </c>
      <c r="D35" s="146">
        <f>'Raw BS'!I25</f>
        <v>71</v>
      </c>
      <c r="E35" s="146">
        <f>'Raw BS'!J25</f>
        <v>60</v>
      </c>
      <c r="F35" s="146">
        <f>'Raw BS'!K25</f>
        <v>62</v>
      </c>
      <c r="G35" s="146">
        <f>'Raw BS'!L25</f>
        <v>72</v>
      </c>
    </row>
    <row r="36" spans="1:9" x14ac:dyDescent="0.3">
      <c r="B36" t="str">
        <f>'Raw BS'!B26</f>
        <v>Intangible Assets</v>
      </c>
      <c r="C36" s="146">
        <f>'Raw BS'!H26</f>
        <v>6372</v>
      </c>
      <c r="D36" s="146">
        <f>'Raw BS'!I26</f>
        <v>6495</v>
      </c>
      <c r="E36" s="146">
        <f>'Raw BS'!J26</f>
        <v>7594</v>
      </c>
      <c r="F36" s="146">
        <f>'Raw BS'!K26</f>
        <v>7653</v>
      </c>
      <c r="G36" s="146">
        <f>'Raw BS'!L26</f>
        <v>10626</v>
      </c>
    </row>
    <row r="37" spans="1:9" ht="15" thickBot="1" x14ac:dyDescent="0.35">
      <c r="B37" t="str">
        <f>'Raw BS'!B27</f>
        <v>Other fixed assets</v>
      </c>
      <c r="C37" s="146">
        <f>'Raw BS'!H27</f>
        <v>2730</v>
      </c>
      <c r="D37" s="146">
        <f>'Raw BS'!I27</f>
        <v>2766</v>
      </c>
      <c r="E37" s="146">
        <f>'Raw BS'!J27</f>
        <v>3281</v>
      </c>
      <c r="F37" s="146">
        <f>'Raw BS'!K27</f>
        <v>3294</v>
      </c>
      <c r="G37" s="146">
        <f>'Raw BS'!L27</f>
        <v>5184</v>
      </c>
    </row>
    <row r="38" spans="1:9" x14ac:dyDescent="0.3">
      <c r="B38" s="39" t="s">
        <v>216</v>
      </c>
      <c r="C38" s="151">
        <f>SUM(C29:C37)</f>
        <v>43006</v>
      </c>
      <c r="D38" s="151">
        <f>SUM(D29:D37)</f>
        <v>45010</v>
      </c>
      <c r="E38" s="151">
        <f>SUM(E29:E37)</f>
        <v>48877</v>
      </c>
      <c r="F38" s="151">
        <f>SUM(F29:F37)</f>
        <v>49196</v>
      </c>
      <c r="G38" s="151">
        <f>SUM(G29:G37)</f>
        <v>54691</v>
      </c>
    </row>
    <row r="39" spans="1:9" ht="15" thickBot="1" x14ac:dyDescent="0.35">
      <c r="B39" s="2" t="str">
        <f>'Raw BS'!B31</f>
        <v>Accumulated Depreciation</v>
      </c>
      <c r="C39" s="152">
        <f>-'Raw BS'!H31</f>
        <v>-17501</v>
      </c>
      <c r="D39" s="152">
        <f>-'Raw BS'!I31</f>
        <v>-19210</v>
      </c>
      <c r="E39" s="152">
        <f>-'Raw BS'!J31</f>
        <v>-19652</v>
      </c>
      <c r="F39" s="152">
        <f>-'Raw BS'!K31</f>
        <v>-21574</v>
      </c>
      <c r="G39" s="152">
        <f>-'Raw BS'!L31</f>
        <v>-23730</v>
      </c>
    </row>
    <row r="40" spans="1:9" ht="15" thickBot="1" x14ac:dyDescent="0.35">
      <c r="A40" s="2" t="s">
        <v>57</v>
      </c>
      <c r="B40" s="101" t="s">
        <v>13</v>
      </c>
      <c r="C40" s="153">
        <f>SUM(C38:C39)</f>
        <v>25505</v>
      </c>
      <c r="D40" s="153">
        <f t="shared" ref="D40:G40" si="1">SUM(D38:D39)</f>
        <v>25800</v>
      </c>
      <c r="E40" s="153">
        <f t="shared" si="1"/>
        <v>29225</v>
      </c>
      <c r="F40" s="153">
        <f t="shared" si="1"/>
        <v>27622</v>
      </c>
      <c r="G40" s="153">
        <f t="shared" si="1"/>
        <v>30961</v>
      </c>
    </row>
    <row r="41" spans="1:9" ht="15" thickTop="1" x14ac:dyDescent="0.3"/>
    <row r="42" spans="1:9" x14ac:dyDescent="0.3">
      <c r="A42" s="2" t="s">
        <v>57</v>
      </c>
      <c r="B42" s="2" t="s">
        <v>235</v>
      </c>
      <c r="C42" s="152">
        <f>C26+C40</f>
        <v>20855</v>
      </c>
      <c r="D42" s="152">
        <f>D26+D40</f>
        <v>42998</v>
      </c>
      <c r="E42" s="152">
        <f>E26+E40</f>
        <v>52155</v>
      </c>
      <c r="F42" s="152">
        <f>F26+F40</f>
        <v>57118</v>
      </c>
      <c r="G42" s="152">
        <f>G26+G40</f>
        <v>55620</v>
      </c>
    </row>
    <row r="43" spans="1:9" x14ac:dyDescent="0.3">
      <c r="B43" s="2" t="s">
        <v>150</v>
      </c>
      <c r="C43" s="152">
        <f>'Historical FS'!H32</f>
        <v>24622</v>
      </c>
      <c r="D43" s="152">
        <f>'Historical FS'!I32</f>
        <v>28015</v>
      </c>
      <c r="E43" s="152">
        <f>'Historical FS'!J32</f>
        <v>30905</v>
      </c>
      <c r="F43" s="152">
        <f>'Historical FS'!K32</f>
        <v>31747</v>
      </c>
      <c r="G43" s="152">
        <f>'Historical FS'!L32</f>
        <v>34424</v>
      </c>
    </row>
    <row r="44" spans="1:9" ht="3.6" customHeight="1" thickBot="1" x14ac:dyDescent="0.35"/>
    <row r="45" spans="1:9" ht="15" thickBot="1" x14ac:dyDescent="0.35">
      <c r="A45" s="2" t="s">
        <v>57</v>
      </c>
      <c r="B45" s="101" t="s">
        <v>236</v>
      </c>
      <c r="C45" s="104">
        <f>C43/C42</f>
        <v>1.1806281467274036</v>
      </c>
      <c r="D45" s="104">
        <f>D43/D42</f>
        <v>0.65154193218289225</v>
      </c>
      <c r="E45" s="104">
        <f t="shared" ref="E45:F45" si="2">E43/E42</f>
        <v>0.59256063656408786</v>
      </c>
      <c r="F45" s="104">
        <f t="shared" si="2"/>
        <v>0.55581427921145699</v>
      </c>
      <c r="G45" s="104">
        <f>G43/G42</f>
        <v>0.61891405969075874</v>
      </c>
    </row>
    <row r="46" spans="1:9" ht="15" thickTop="1" x14ac:dyDescent="0.3"/>
    <row r="47" spans="1:9" x14ac:dyDescent="0.3">
      <c r="I47" s="105"/>
    </row>
    <row r="48" spans="1:9" x14ac:dyDescent="0.3">
      <c r="B48" s="56" t="s">
        <v>240</v>
      </c>
      <c r="C48" s="100">
        <f>'Raw BS'!$H$3</f>
        <v>44256</v>
      </c>
      <c r="D48" s="100">
        <f>'Raw BS'!$I$3</f>
        <v>44621</v>
      </c>
      <c r="E48" s="100">
        <f>'Raw BS'!$J$3</f>
        <v>44986</v>
      </c>
      <c r="F48" s="100">
        <f>'Raw BS'!$K$3</f>
        <v>45352</v>
      </c>
      <c r="G48" s="100">
        <f>'Raw BS'!$L$3</f>
        <v>45717</v>
      </c>
    </row>
    <row r="49" spans="1:10" ht="3.6" customHeight="1" x14ac:dyDescent="0.3"/>
    <row r="50" spans="1:10" x14ac:dyDescent="0.3">
      <c r="B50" t="s">
        <v>237</v>
      </c>
      <c r="C50" s="146">
        <f>-SUM('Raw CF'!J12:J13)</f>
        <v>2107</v>
      </c>
      <c r="D50" s="146">
        <f>-SUM('Raw CF'!K12:K13)</f>
        <v>2161</v>
      </c>
      <c r="E50" s="146">
        <f>-SUM('Raw CF'!L12:L13)</f>
        <v>2579</v>
      </c>
      <c r="F50" s="146">
        <f>-SUM('Raw CF'!M12:M13)</f>
        <v>2201</v>
      </c>
      <c r="G50" s="146">
        <f>-SUM('Raw CF'!N12:N13)</f>
        <v>2237</v>
      </c>
    </row>
    <row r="51" spans="1:10" x14ac:dyDescent="0.3">
      <c r="B51" t="s">
        <v>238</v>
      </c>
      <c r="C51" s="145" t="s">
        <v>60</v>
      </c>
      <c r="D51" s="146">
        <f>D26-C26</f>
        <v>21848</v>
      </c>
      <c r="E51" s="146">
        <f>E26-D26</f>
        <v>5732</v>
      </c>
      <c r="F51" s="146">
        <f>F26-E26</f>
        <v>6566</v>
      </c>
      <c r="G51" s="146">
        <f>G26-F26</f>
        <v>-4837</v>
      </c>
    </row>
    <row r="52" spans="1:10" ht="3.6" customHeight="1" x14ac:dyDescent="0.3"/>
    <row r="53" spans="1:10" x14ac:dyDescent="0.3">
      <c r="B53" t="s">
        <v>150</v>
      </c>
      <c r="C53" s="146">
        <f>C43</f>
        <v>24622</v>
      </c>
      <c r="D53" s="146">
        <f>D43</f>
        <v>28015</v>
      </c>
      <c r="E53" s="146">
        <f>E43</f>
        <v>30905</v>
      </c>
      <c r="F53" s="146">
        <f>F43</f>
        <v>31747</v>
      </c>
      <c r="G53" s="146">
        <f>G43</f>
        <v>34424</v>
      </c>
      <c r="J53" s="54"/>
    </row>
    <row r="54" spans="1:10" ht="15" thickBot="1" x14ac:dyDescent="0.35">
      <c r="B54" t="s">
        <v>239</v>
      </c>
      <c r="C54" s="110">
        <v>0.25169999999999998</v>
      </c>
      <c r="D54" s="110">
        <v>0.25169999999999998</v>
      </c>
      <c r="E54" s="110">
        <v>0.25169999999999998</v>
      </c>
      <c r="F54" s="110">
        <v>0.25169999999999998</v>
      </c>
      <c r="G54" s="110">
        <v>0.25169999999999998</v>
      </c>
      <c r="H54" s="2"/>
      <c r="I54" s="2"/>
      <c r="J54" s="2"/>
    </row>
    <row r="55" spans="1:10" x14ac:dyDescent="0.3">
      <c r="B55" s="133" t="s">
        <v>242</v>
      </c>
      <c r="C55" s="159">
        <f>C53*(1-C54)</f>
        <v>18424.642599999999</v>
      </c>
      <c r="D55" s="159">
        <f>D53*(1-D54)</f>
        <v>20963.624499999998</v>
      </c>
      <c r="E55" s="159">
        <f>E53*(1-E54)</f>
        <v>23126.211499999998</v>
      </c>
      <c r="F55" s="159">
        <f>F53*(1-F54)</f>
        <v>23756.2801</v>
      </c>
      <c r="G55" s="159">
        <f>G53*(1-G54)</f>
        <v>25759.479199999998</v>
      </c>
      <c r="H55" s="2"/>
      <c r="I55" s="2"/>
      <c r="J55" s="2"/>
    </row>
    <row r="56" spans="1:10" ht="3.6" customHeight="1" x14ac:dyDescent="0.3"/>
    <row r="57" spans="1:10" x14ac:dyDescent="0.3">
      <c r="B57" t="s">
        <v>243</v>
      </c>
      <c r="C57" s="24" t="s">
        <v>60</v>
      </c>
      <c r="D57" s="146">
        <f>SUM(D50:D51)</f>
        <v>24009</v>
      </c>
      <c r="E57" s="146">
        <f>SUM(E50:E51)</f>
        <v>8311</v>
      </c>
      <c r="F57" s="146">
        <f>SUM(F50:F51)</f>
        <v>8767</v>
      </c>
      <c r="G57">
        <f>SUM(G50:G51)</f>
        <v>-2600</v>
      </c>
      <c r="H57" s="2"/>
      <c r="I57" s="2"/>
      <c r="J57" s="2"/>
    </row>
    <row r="58" spans="1:10" ht="3.6" customHeight="1" thickBot="1" x14ac:dyDescent="0.35">
      <c r="D58" s="30"/>
      <c r="E58" s="30"/>
      <c r="F58" s="30"/>
      <c r="G58" s="30"/>
      <c r="H58" s="2"/>
      <c r="I58" s="2"/>
      <c r="J58" s="2"/>
    </row>
    <row r="59" spans="1:10" ht="15" thickBot="1" x14ac:dyDescent="0.35">
      <c r="A59" s="2" t="s">
        <v>57</v>
      </c>
      <c r="B59" s="101" t="s">
        <v>241</v>
      </c>
      <c r="C59" s="102"/>
      <c r="D59" s="104">
        <f>D57/D55</f>
        <v>1.1452695119586789</v>
      </c>
      <c r="E59" s="104">
        <f>E57/E55</f>
        <v>0.35937576718953734</v>
      </c>
      <c r="F59" s="104">
        <f>F57/F55</f>
        <v>0.36903925880213884</v>
      </c>
      <c r="G59" s="104">
        <f>G57/G55</f>
        <v>-0.10093371763509879</v>
      </c>
    </row>
    <row r="60" spans="1:10" ht="15.6" thickTop="1" thickBot="1" x14ac:dyDescent="0.35"/>
    <row r="61" spans="1:10" x14ac:dyDescent="0.3">
      <c r="F61" s="106" t="s">
        <v>244</v>
      </c>
      <c r="G61" s="107">
        <f>AVERAGE(D59:G59)</f>
        <v>0.443187705078814</v>
      </c>
    </row>
    <row r="62" spans="1:10" ht="15" thickBot="1" x14ac:dyDescent="0.35">
      <c r="F62" s="108" t="s">
        <v>245</v>
      </c>
      <c r="G62" s="109">
        <f>MEDIAN(D59:G59)</f>
        <v>0.36420751299583809</v>
      </c>
    </row>
    <row r="64" spans="1:10" x14ac:dyDescent="0.3">
      <c r="B64" s="56" t="s">
        <v>252</v>
      </c>
      <c r="C64" s="100">
        <f>'Raw BS'!$H$3</f>
        <v>44256</v>
      </c>
      <c r="D64" s="100">
        <f>'Raw BS'!$I$3</f>
        <v>44621</v>
      </c>
      <c r="E64" s="100">
        <f>'Raw BS'!$J$3</f>
        <v>44986</v>
      </c>
      <c r="F64" s="100">
        <f>'Raw BS'!$K$3</f>
        <v>45352</v>
      </c>
      <c r="G64" s="100">
        <f>'Raw BS'!$L$3</f>
        <v>45717</v>
      </c>
    </row>
    <row r="65" spans="2:7" ht="3.6" customHeight="1" x14ac:dyDescent="0.3"/>
    <row r="66" spans="2:7" x14ac:dyDescent="0.3">
      <c r="B66" t="str">
        <f>B59</f>
        <v>Reinvestment rate</v>
      </c>
      <c r="C66" s="58"/>
      <c r="D66" s="58">
        <f>D59</f>
        <v>1.1452695119586789</v>
      </c>
      <c r="E66" s="58">
        <f>E59</f>
        <v>0.35937576718953734</v>
      </c>
      <c r="F66" s="58">
        <f>F59</f>
        <v>0.36903925880213884</v>
      </c>
      <c r="G66" s="58">
        <f>G59</f>
        <v>-0.10093371763509879</v>
      </c>
    </row>
    <row r="67" spans="2:7" x14ac:dyDescent="0.3">
      <c r="B67" t="str">
        <f>B45</f>
        <v>ROIC</v>
      </c>
      <c r="D67" s="58">
        <f>D45</f>
        <v>0.65154193218289225</v>
      </c>
      <c r="E67" s="58">
        <f t="shared" ref="E67:G67" si="3">E45</f>
        <v>0.59256063656408786</v>
      </c>
      <c r="F67" s="58">
        <f t="shared" si="3"/>
        <v>0.55581427921145699</v>
      </c>
      <c r="G67" s="58">
        <f t="shared" si="3"/>
        <v>0.61891405969075874</v>
      </c>
    </row>
    <row r="68" spans="2:7" ht="3.6" customHeight="1" thickBot="1" x14ac:dyDescent="0.35"/>
    <row r="69" spans="2:7" ht="15" thickBot="1" x14ac:dyDescent="0.35">
      <c r="B69" s="101" t="s">
        <v>246</v>
      </c>
      <c r="C69" s="102"/>
      <c r="D69" s="111">
        <f>D66*D67</f>
        <v>0.74619111069171562</v>
      </c>
      <c r="E69" s="111">
        <f t="shared" ref="E69:G69" si="4">E66*E67</f>
        <v>0.2129519333715397</v>
      </c>
      <c r="F69" s="111">
        <f t="shared" si="4"/>
        <v>0.20511728963184114</v>
      </c>
      <c r="G69" s="111">
        <f t="shared" si="4"/>
        <v>-6.2469296941219721E-2</v>
      </c>
    </row>
    <row r="70" spans="2:7" ht="15.6" thickTop="1" thickBot="1" x14ac:dyDescent="0.35"/>
    <row r="71" spans="2:7" x14ac:dyDescent="0.3">
      <c r="F71" s="106" t="s">
        <v>244</v>
      </c>
      <c r="G71" s="107">
        <f>AVERAGE(D69:G69)</f>
        <v>0.2754477591884692</v>
      </c>
    </row>
    <row r="72" spans="2:7" ht="15" thickBot="1" x14ac:dyDescent="0.35">
      <c r="F72" s="108" t="s">
        <v>245</v>
      </c>
      <c r="G72" s="109">
        <f>MEDIAN(D69:G69)</f>
        <v>0.20903461150169042</v>
      </c>
    </row>
    <row r="74" spans="2:7" ht="9" customHeight="1" x14ac:dyDescent="0.3">
      <c r="B74" s="121"/>
      <c r="C74" s="121"/>
      <c r="D74" s="121"/>
      <c r="E74" s="121"/>
      <c r="F74" s="121"/>
      <c r="G74" s="121"/>
    </row>
  </sheetData>
  <mergeCells count="1">
    <mergeCell ref="B10:G10"/>
  </mergeCells>
  <pageMargins left="0.5" right="0" top="0.5" bottom="0.3" header="0.3" footer="0.3"/>
  <pageSetup scale="74" orientation="portrait" r:id="rId1"/>
  <ignoredErrors>
    <ignoredError sqref="C50:G50"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A509-9AA5-4B86-AF7C-5D833A0CFE9B}">
  <dimension ref="B2:K65"/>
  <sheetViews>
    <sheetView showGridLines="0" topLeftCell="A25" zoomScale="99" zoomScaleNormal="99" workbookViewId="0">
      <selection activeCell="E15" sqref="E15"/>
    </sheetView>
  </sheetViews>
  <sheetFormatPr defaultRowHeight="14.4" x14ac:dyDescent="0.3"/>
  <cols>
    <col min="1" max="1" width="2.33203125" customWidth="1"/>
    <col min="2" max="2" width="34.44140625" customWidth="1"/>
    <col min="3" max="3" width="19.33203125" customWidth="1"/>
    <col min="4" max="9" width="15.33203125" customWidth="1"/>
  </cols>
  <sheetData>
    <row r="2" spans="2:9" ht="9" customHeight="1" x14ac:dyDescent="0.3">
      <c r="B2" s="121"/>
      <c r="C2" s="121"/>
      <c r="D2" s="121"/>
      <c r="E2" s="121"/>
      <c r="F2" s="121"/>
      <c r="G2" s="121"/>
      <c r="H2" s="121"/>
      <c r="I2" s="121"/>
    </row>
    <row r="3" spans="2:9" ht="3.6" customHeight="1" x14ac:dyDescent="0.3"/>
    <row r="4" spans="2:9" ht="23.4" x14ac:dyDescent="0.45">
      <c r="B4" s="181" t="str">
        <f>'Data Sheet'!$B$1</f>
        <v>INFOSYS LTD</v>
      </c>
    </row>
    <row r="5" spans="2:9" x14ac:dyDescent="0.3">
      <c r="B5" t="s">
        <v>393</v>
      </c>
    </row>
    <row r="6" spans="2:9" ht="15.6" x14ac:dyDescent="0.3">
      <c r="B6" s="228">
        <v>1250</v>
      </c>
    </row>
    <row r="7" spans="2:9" x14ac:dyDescent="0.3">
      <c r="B7" t="s">
        <v>394</v>
      </c>
    </row>
    <row r="8" spans="2:9" ht="3.6" customHeight="1" thickBot="1" x14ac:dyDescent="0.35">
      <c r="B8" s="189"/>
      <c r="C8" s="189"/>
      <c r="D8" s="189"/>
      <c r="E8" s="189"/>
      <c r="F8" s="189"/>
      <c r="G8" s="189"/>
      <c r="H8" s="189"/>
      <c r="I8" s="189"/>
    </row>
    <row r="10" spans="2:9" x14ac:dyDescent="0.3">
      <c r="B10" s="281" t="str">
        <f>"Discounting CashFlow "</f>
        <v xml:space="preserve">Discounting CashFlow </v>
      </c>
      <c r="C10" s="281"/>
      <c r="D10" s="281"/>
      <c r="E10" s="281"/>
      <c r="F10" s="281"/>
      <c r="G10" s="281"/>
      <c r="H10" s="281"/>
      <c r="I10" s="281"/>
    </row>
    <row r="11" spans="2:9" ht="14.4" customHeight="1" x14ac:dyDescent="0.3"/>
    <row r="12" spans="2:9" x14ac:dyDescent="0.3">
      <c r="B12" s="56" t="s">
        <v>253</v>
      </c>
      <c r="C12" s="56"/>
      <c r="D12" s="125">
        <f>'Intrinsic value'!G12</f>
        <v>45717</v>
      </c>
      <c r="E12" s="126">
        <f>D12+365</f>
        <v>46082</v>
      </c>
      <c r="F12" s="126">
        <f t="shared" ref="F12:I12" si="0">E12+365</f>
        <v>46447</v>
      </c>
      <c r="G12" s="126">
        <f>F12+366</f>
        <v>46813</v>
      </c>
      <c r="H12" s="126">
        <f t="shared" si="0"/>
        <v>47178</v>
      </c>
      <c r="I12" s="126">
        <f t="shared" si="0"/>
        <v>47543</v>
      </c>
    </row>
    <row r="13" spans="2:9" ht="3.6" customHeight="1" x14ac:dyDescent="0.3"/>
    <row r="14" spans="2:9" x14ac:dyDescent="0.3">
      <c r="B14" t="s">
        <v>150</v>
      </c>
      <c r="D14">
        <f>'Historical FS'!L32</f>
        <v>34424</v>
      </c>
      <c r="E14" s="66">
        <f>D14*(1+$C$25)</f>
        <v>41619.80746633419</v>
      </c>
      <c r="F14" s="66">
        <f>E14*(1+$C$25)</f>
        <v>50319.787750834512</v>
      </c>
      <c r="G14" s="66">
        <f>F14*(1+$C$25)</f>
        <v>60838.365034177717</v>
      </c>
      <c r="H14" s="66">
        <f>G14*(1+$C$25)</f>
        <v>73555.689033495073</v>
      </c>
      <c r="I14" s="66">
        <f>H14*(1+$C$25)</f>
        <v>88931.373914350857</v>
      </c>
    </row>
    <row r="15" spans="2:9" x14ac:dyDescent="0.3">
      <c r="B15" t="s">
        <v>254</v>
      </c>
      <c r="D15" s="112">
        <v>0.25169999999999998</v>
      </c>
      <c r="E15" s="112">
        <v>0.25169999999999998</v>
      </c>
      <c r="F15" s="112">
        <v>0.25169999999999998</v>
      </c>
      <c r="G15" s="112">
        <v>0.25169999999999998</v>
      </c>
      <c r="H15" s="112">
        <v>0.25169999999999998</v>
      </c>
      <c r="I15" s="112">
        <v>0.25169999999999998</v>
      </c>
    </row>
    <row r="16" spans="2:9" x14ac:dyDescent="0.3">
      <c r="B16" t="s">
        <v>255</v>
      </c>
      <c r="D16" s="66">
        <f t="shared" ref="D16:I16" si="1">D14*(1-D15)</f>
        <v>25759.479199999998</v>
      </c>
      <c r="E16" s="66">
        <f t="shared" si="1"/>
        <v>31144.101927057873</v>
      </c>
      <c r="F16" s="66">
        <f t="shared" si="1"/>
        <v>37654.297173949461</v>
      </c>
      <c r="G16" s="66">
        <f t="shared" si="1"/>
        <v>45525.348555075187</v>
      </c>
      <c r="H16" s="66">
        <f t="shared" si="1"/>
        <v>55041.722103764361</v>
      </c>
      <c r="I16" s="66">
        <f t="shared" si="1"/>
        <v>66547.347100108746</v>
      </c>
    </row>
    <row r="17" spans="2:11" ht="15" thickBot="1" x14ac:dyDescent="0.35">
      <c r="B17" t="s">
        <v>256</v>
      </c>
      <c r="D17" s="58">
        <f>'Intrinsic value'!G62</f>
        <v>0.36420751299583809</v>
      </c>
      <c r="E17" s="58">
        <v>0.24165235925116102</v>
      </c>
      <c r="F17" s="58">
        <v>0.24165235925116102</v>
      </c>
      <c r="G17" s="58">
        <v>0.24165235925116102</v>
      </c>
      <c r="H17" s="58">
        <v>0.24165235925116102</v>
      </c>
      <c r="I17" s="58">
        <v>0.24165235925116102</v>
      </c>
    </row>
    <row r="18" spans="2:11" x14ac:dyDescent="0.3">
      <c r="B18" s="39" t="s">
        <v>257</v>
      </c>
      <c r="C18" s="133"/>
      <c r="D18" s="214">
        <f>D16*(1-D17)</f>
        <v>16377.683344499977</v>
      </c>
      <c r="E18" s="214">
        <f t="shared" ref="E18:I18" si="2">E16*(1-E17)</f>
        <v>23618.056219625709</v>
      </c>
      <c r="F18" s="214">
        <f t="shared" si="2"/>
        <v>28555.047425920249</v>
      </c>
      <c r="G18" s="214">
        <f t="shared" si="2"/>
        <v>34524.040671009832</v>
      </c>
      <c r="H18" s="214">
        <f t="shared" si="2"/>
        <v>41740.760100142928</v>
      </c>
      <c r="I18" s="214">
        <f t="shared" si="2"/>
        <v>50466.02367146156</v>
      </c>
    </row>
    <row r="19" spans="2:11" ht="3.6" customHeight="1" x14ac:dyDescent="0.3">
      <c r="D19" s="66"/>
      <c r="E19" s="66"/>
      <c r="F19" s="66"/>
      <c r="G19" s="66"/>
      <c r="H19" s="66"/>
      <c r="I19" s="66"/>
    </row>
    <row r="20" spans="2:11" x14ac:dyDescent="0.3">
      <c r="B20" t="s">
        <v>258</v>
      </c>
      <c r="E20">
        <v>0.5</v>
      </c>
      <c r="F20">
        <f>E20+1</f>
        <v>1.5</v>
      </c>
      <c r="G20">
        <f t="shared" ref="G20:I20" si="3">F20+1</f>
        <v>2.5</v>
      </c>
      <c r="H20">
        <f t="shared" si="3"/>
        <v>3.5</v>
      </c>
      <c r="I20">
        <f t="shared" si="3"/>
        <v>4.5</v>
      </c>
    </row>
    <row r="21" spans="2:11" x14ac:dyDescent="0.3">
      <c r="B21" t="s">
        <v>259</v>
      </c>
      <c r="E21" s="54">
        <f>1/(1+$C$27)^E20</f>
        <v>0.93617664713087589</v>
      </c>
      <c r="F21" s="54">
        <f>1/(1+$C$27)^F20</f>
        <v>0.82049022316124587</v>
      </c>
      <c r="G21" s="54">
        <f t="shared" ref="G21:I21" si="4">1/(1+$C$27)^G20</f>
        <v>0.71909955067387865</v>
      </c>
      <c r="H21" s="54">
        <f t="shared" si="4"/>
        <v>0.63023805669132382</v>
      </c>
      <c r="I21" s="54">
        <f t="shared" si="4"/>
        <v>0.55235746946279463</v>
      </c>
      <c r="J21" t="s">
        <v>200</v>
      </c>
      <c r="K21" s="54"/>
    </row>
    <row r="22" spans="2:11" ht="3.6" customHeight="1" thickBot="1" x14ac:dyDescent="0.35"/>
    <row r="23" spans="2:11" ht="14.4" customHeight="1" thickBot="1" x14ac:dyDescent="0.35">
      <c r="B23" s="101" t="s">
        <v>260</v>
      </c>
      <c r="C23" s="102"/>
      <c r="D23" s="102"/>
      <c r="E23" s="132">
        <f>E18*E21</f>
        <v>22110.672683437726</v>
      </c>
      <c r="F23" s="132">
        <f>F18*F21</f>
        <v>23429.137234873266</v>
      </c>
      <c r="G23" s="132">
        <f t="shared" ref="G23:I23" si="5">G18*G21</f>
        <v>24826.222133969881</v>
      </c>
      <c r="H23" s="132">
        <f t="shared" si="5"/>
        <v>26306.615530332827</v>
      </c>
      <c r="I23" s="132">
        <f t="shared" si="5"/>
        <v>27875.285129018001</v>
      </c>
    </row>
    <row r="24" spans="2:11" ht="15.6" thickTop="1" thickBot="1" x14ac:dyDescent="0.35"/>
    <row r="25" spans="2:11" x14ac:dyDescent="0.3">
      <c r="B25" s="127" t="s">
        <v>261</v>
      </c>
      <c r="C25" s="128">
        <f>'Intrinsic value'!G72</f>
        <v>0.20903461150169042</v>
      </c>
    </row>
    <row r="26" spans="2:11" x14ac:dyDescent="0.3">
      <c r="B26" s="129" t="s">
        <v>262</v>
      </c>
      <c r="C26" s="63">
        <v>4.4999999999999998E-2</v>
      </c>
    </row>
    <row r="27" spans="2:11" ht="14.4" customHeight="1" thickBot="1" x14ac:dyDescent="0.35">
      <c r="B27" s="130" t="s">
        <v>191</v>
      </c>
      <c r="C27" s="131">
        <f>WACC!J53</f>
        <v>0.14099671233607722</v>
      </c>
    </row>
    <row r="29" spans="2:11" x14ac:dyDescent="0.3">
      <c r="B29" s="292" t="s">
        <v>265</v>
      </c>
      <c r="C29" s="292"/>
      <c r="E29" s="281" t="s">
        <v>276</v>
      </c>
      <c r="F29" s="281"/>
      <c r="G29" s="281"/>
      <c r="H29" s="281"/>
      <c r="I29" s="281"/>
    </row>
    <row r="30" spans="2:11" ht="14.4" customHeight="1" thickBot="1" x14ac:dyDescent="0.35">
      <c r="E30" s="139">
        <f>C35</f>
        <v>635596.44740802317</v>
      </c>
      <c r="F30" s="140">
        <v>0.13</v>
      </c>
      <c r="G30" s="141">
        <v>0.14099999999999999</v>
      </c>
      <c r="H30" s="140">
        <v>0.15</v>
      </c>
      <c r="I30" s="140">
        <v>0.16</v>
      </c>
    </row>
    <row r="31" spans="2:11" ht="14.4" customHeight="1" x14ac:dyDescent="0.3">
      <c r="B31" t="s">
        <v>264</v>
      </c>
      <c r="C31" s="54">
        <f>I18*(1+C25)</f>
        <v>61015.169323660637</v>
      </c>
      <c r="E31" s="140">
        <v>0.02</v>
      </c>
      <c r="F31" s="210">
        <f t="dataTable" ref="F31:I35" dt2D="1" dtr="1" r1="C32" r2="C33"/>
        <v>554683.35748782393</v>
      </c>
      <c r="G31" s="211">
        <v>504257.59771620366</v>
      </c>
      <c r="H31" s="211">
        <v>469347.45633585105</v>
      </c>
      <c r="I31" s="211">
        <v>435822.63802614738</v>
      </c>
    </row>
    <row r="32" spans="2:11" x14ac:dyDescent="0.3">
      <c r="B32" t="s">
        <v>191</v>
      </c>
      <c r="C32" s="58">
        <f>C27</f>
        <v>0.14099671233607722</v>
      </c>
      <c r="E32" s="140">
        <v>0.03</v>
      </c>
      <c r="F32" s="212">
        <v>610151.69323660631</v>
      </c>
      <c r="G32" s="213">
        <v>549686.21012306889</v>
      </c>
      <c r="H32" s="213">
        <v>508459.74436383863</v>
      </c>
      <c r="I32" s="213">
        <v>469347.45633585105</v>
      </c>
    </row>
    <row r="33" spans="2:9" x14ac:dyDescent="0.3">
      <c r="B33" t="s">
        <v>263</v>
      </c>
      <c r="C33" s="58">
        <f>C26</f>
        <v>4.4999999999999998E-2</v>
      </c>
      <c r="E33" s="141">
        <v>4.4999999999999998E-2</v>
      </c>
      <c r="F33" s="212">
        <v>717825.521454831</v>
      </c>
      <c r="G33" s="206">
        <v>635574.68045479839</v>
      </c>
      <c r="H33" s="213">
        <v>581096.85070152988</v>
      </c>
      <c r="I33" s="213">
        <v>530566.689770962</v>
      </c>
    </row>
    <row r="34" spans="2:9" ht="14.4" customHeight="1" thickBot="1" x14ac:dyDescent="0.35">
      <c r="C34" s="58"/>
      <c r="E34" s="140">
        <v>0.05</v>
      </c>
      <c r="F34" s="212">
        <v>762689.61654575798</v>
      </c>
      <c r="G34" s="213">
        <v>670496.36619407311</v>
      </c>
      <c r="H34" s="213">
        <v>610151.69323660643</v>
      </c>
      <c r="I34" s="213">
        <v>554683.35748782393</v>
      </c>
    </row>
    <row r="35" spans="2:9" ht="14.4" customHeight="1" thickBot="1" x14ac:dyDescent="0.35">
      <c r="B35" s="101" t="s">
        <v>267</v>
      </c>
      <c r="C35" s="137">
        <f>C31/(C32-C33)</f>
        <v>635596.44740802317</v>
      </c>
      <c r="E35" s="140">
        <v>0.06</v>
      </c>
      <c r="F35" s="212">
        <v>871645.27605229476</v>
      </c>
      <c r="G35" s="213">
        <v>753273.69535383512</v>
      </c>
      <c r="H35" s="213">
        <v>677946.32581845159</v>
      </c>
      <c r="I35" s="213">
        <v>610151.69323660631</v>
      </c>
    </row>
    <row r="36" spans="2:9" ht="15" thickTop="1" x14ac:dyDescent="0.3"/>
    <row r="37" spans="2:9" x14ac:dyDescent="0.3">
      <c r="B37" s="292" t="s">
        <v>269</v>
      </c>
      <c r="C37" s="292"/>
      <c r="E37" s="281" t="s">
        <v>358</v>
      </c>
      <c r="F37" s="281"/>
      <c r="G37" s="281"/>
      <c r="H37" s="281"/>
      <c r="I37" s="281"/>
    </row>
    <row r="38" spans="2:9" ht="14.4" customHeight="1" thickBot="1" x14ac:dyDescent="0.35">
      <c r="E38" s="139">
        <f>C53</f>
        <v>1104.9547830010783</v>
      </c>
      <c r="F38" s="140">
        <v>0.13</v>
      </c>
      <c r="G38" s="141">
        <v>0.14099999999999999</v>
      </c>
      <c r="H38" s="140">
        <v>0.15</v>
      </c>
      <c r="I38" s="140">
        <v>0.16</v>
      </c>
    </row>
    <row r="39" spans="2:9" x14ac:dyDescent="0.3">
      <c r="B39" t="s">
        <v>260</v>
      </c>
      <c r="C39" s="54">
        <f>SUM(E23:I23)</f>
        <v>124547.9327116317</v>
      </c>
      <c r="E39" s="140">
        <v>0.02</v>
      </c>
      <c r="F39" s="210">
        <f t="dataTable" ref="F39:I43" dt2D="1" dtr="1" r1="C32" r2="C33" ca="1"/>
        <v>994.74852022385073</v>
      </c>
      <c r="G39" s="211">
        <v>926.06699369194621</v>
      </c>
      <c r="H39" s="211">
        <v>878.51824455447377</v>
      </c>
      <c r="I39" s="211">
        <v>832.85635054150407</v>
      </c>
    </row>
    <row r="40" spans="2:9" x14ac:dyDescent="0.3">
      <c r="B40" t="s">
        <v>267</v>
      </c>
      <c r="C40" s="54">
        <f>C35</f>
        <v>635596.44740802317</v>
      </c>
      <c r="E40" s="140">
        <v>0.03</v>
      </c>
      <c r="F40" s="212">
        <v>1070.2981994089457</v>
      </c>
      <c r="G40" s="213">
        <v>987.94224281978825</v>
      </c>
      <c r="H40" s="213">
        <v>931.79045423627156</v>
      </c>
      <c r="I40" s="213">
        <v>878.51824455447377</v>
      </c>
    </row>
    <row r="41" spans="2:9" x14ac:dyDescent="0.3">
      <c r="B41" t="s">
        <v>266</v>
      </c>
      <c r="C41" s="54">
        <f>C40*I21</f>
        <v>351076.44528983789</v>
      </c>
      <c r="E41" s="141">
        <v>4.4999999999999998E-2</v>
      </c>
      <c r="F41" s="212">
        <v>1216.9534590035419</v>
      </c>
      <c r="G41" s="206">
        <v>1104.9251357021144</v>
      </c>
      <c r="H41" s="213">
        <v>1030.7245579310388</v>
      </c>
      <c r="I41" s="213">
        <v>961.90083362163557</v>
      </c>
    </row>
    <row r="42" spans="2:9" ht="14.4" customHeight="1" thickBot="1" x14ac:dyDescent="0.35">
      <c r="C42" s="54"/>
      <c r="E42" s="140">
        <v>0.05</v>
      </c>
      <c r="F42" s="212">
        <v>1278.0598171679574</v>
      </c>
      <c r="G42" s="213">
        <v>1152.4896086322913</v>
      </c>
      <c r="H42" s="213">
        <v>1070.2981994089459</v>
      </c>
      <c r="I42" s="213">
        <v>994.74852022385073</v>
      </c>
    </row>
    <row r="43" spans="2:9" ht="15" thickBot="1" x14ac:dyDescent="0.35">
      <c r="B43" s="101" t="s">
        <v>268</v>
      </c>
      <c r="C43" s="137">
        <f>SUM(C39,C41)</f>
        <v>475624.37800146959</v>
      </c>
      <c r="E43" s="140">
        <v>0.06</v>
      </c>
      <c r="F43" s="212">
        <v>1426.4609727101083</v>
      </c>
      <c r="G43" s="213">
        <v>1265.2350259482655</v>
      </c>
      <c r="H43" s="213">
        <v>1162.6366961907288</v>
      </c>
      <c r="I43" s="213">
        <v>1070.2981994089457</v>
      </c>
    </row>
    <row r="44" spans="2:9" ht="14.4" customHeight="1" thickTop="1" x14ac:dyDescent="0.3"/>
    <row r="45" spans="2:9" x14ac:dyDescent="0.3">
      <c r="B45" s="292" t="s">
        <v>270</v>
      </c>
      <c r="C45" s="292"/>
    </row>
    <row r="46" spans="2:9" ht="3.6" customHeight="1" x14ac:dyDescent="0.3"/>
    <row r="47" spans="2:9" x14ac:dyDescent="0.3">
      <c r="B47" t="str">
        <f>B43</f>
        <v>Enterprise Value</v>
      </c>
      <c r="C47" s="54">
        <f>C43</f>
        <v>475624.37800146959</v>
      </c>
    </row>
    <row r="48" spans="2:9" x14ac:dyDescent="0.3">
      <c r="B48" t="str">
        <f>"Add:"&amp;'Data Sheet'!A69</f>
        <v>Add:Cash &amp; Bank</v>
      </c>
      <c r="C48">
        <f>'Data Sheet'!K69</f>
        <v>24455</v>
      </c>
    </row>
    <row r="49" spans="2:9" ht="15" thickBot="1" x14ac:dyDescent="0.35">
      <c r="B49" t="str">
        <f>"Less:"&amp; "Debt"</f>
        <v>Less:Debt</v>
      </c>
      <c r="C49">
        <f>SUM('Data Sheet'!K59:K60)</f>
        <v>51977</v>
      </c>
    </row>
    <row r="50" spans="2:9" x14ac:dyDescent="0.3">
      <c r="B50" s="39" t="s">
        <v>271</v>
      </c>
      <c r="C50" s="138">
        <f>SUM(C47,C48)-C49</f>
        <v>448102.37800146959</v>
      </c>
      <c r="E50" s="54"/>
    </row>
    <row r="51" spans="2:9" ht="3.6" customHeight="1" x14ac:dyDescent="0.3"/>
    <row r="52" spans="2:9" ht="15" thickBot="1" x14ac:dyDescent="0.35">
      <c r="B52" t="s">
        <v>272</v>
      </c>
      <c r="C52" s="54">
        <f>'Data Sheet'!B6</f>
        <v>405.53910883521854</v>
      </c>
    </row>
    <row r="53" spans="2:9" ht="14.4" customHeight="1" thickBot="1" x14ac:dyDescent="0.35">
      <c r="B53" s="101" t="s">
        <v>273</v>
      </c>
      <c r="C53" s="137">
        <f>C50/C52</f>
        <v>1104.9547830010783</v>
      </c>
    </row>
    <row r="54" spans="2:9" ht="14.4" customHeight="1" thickTop="1" x14ac:dyDescent="0.3"/>
    <row r="55" spans="2:9" ht="14.4" customHeight="1" x14ac:dyDescent="0.3">
      <c r="B55" t="s">
        <v>275</v>
      </c>
      <c r="C55" s="115">
        <v>1250</v>
      </c>
    </row>
    <row r="56" spans="2:9" x14ac:dyDescent="0.3">
      <c r="B56" t="s">
        <v>274</v>
      </c>
      <c r="C56" s="179">
        <f>C53-C55</f>
        <v>-145.04521699892166</v>
      </c>
    </row>
    <row r="58" spans="2:9" ht="9" customHeight="1" x14ac:dyDescent="0.3">
      <c r="B58" s="121"/>
      <c r="C58" s="121"/>
      <c r="D58" s="121"/>
      <c r="E58" s="121"/>
      <c r="F58" s="121"/>
      <c r="G58" s="121"/>
      <c r="H58" s="121"/>
      <c r="I58" s="121"/>
    </row>
    <row r="59" spans="2:9" ht="3.6" customHeight="1" x14ac:dyDescent="0.3"/>
    <row r="60" spans="2:9" x14ac:dyDescent="0.3">
      <c r="B60" s="77" t="s">
        <v>192</v>
      </c>
    </row>
    <row r="61" spans="2:9" x14ac:dyDescent="0.3">
      <c r="B61" s="282" t="s">
        <v>193</v>
      </c>
      <c r="C61" s="282"/>
    </row>
    <row r="62" spans="2:9" x14ac:dyDescent="0.3">
      <c r="B62" s="282" t="s">
        <v>362</v>
      </c>
      <c r="C62" s="282"/>
    </row>
    <row r="63" spans="2:9" x14ac:dyDescent="0.3">
      <c r="B63" s="282" t="s">
        <v>364</v>
      </c>
      <c r="C63" s="282"/>
      <c r="D63" s="282"/>
      <c r="E63" s="282"/>
      <c r="F63" s="282"/>
    </row>
    <row r="64" spans="2:9" x14ac:dyDescent="0.3">
      <c r="B64" s="282" t="s">
        <v>363</v>
      </c>
      <c r="C64" s="282"/>
      <c r="D64" s="282"/>
      <c r="E64" s="282"/>
      <c r="F64" s="282"/>
      <c r="G64" s="282"/>
      <c r="H64" s="282"/>
    </row>
    <row r="65" spans="2:2" x14ac:dyDescent="0.3">
      <c r="B65" s="77"/>
    </row>
  </sheetData>
  <mergeCells count="10">
    <mergeCell ref="B10:I10"/>
    <mergeCell ref="E37:I37"/>
    <mergeCell ref="B64:H64"/>
    <mergeCell ref="B63:F63"/>
    <mergeCell ref="B62:C62"/>
    <mergeCell ref="B61:C61"/>
    <mergeCell ref="B29:C29"/>
    <mergeCell ref="B37:C37"/>
    <mergeCell ref="B45:C45"/>
    <mergeCell ref="E29:I29"/>
  </mergeCells>
  <pageMargins left="0.5" right="0.3" top="0.5" bottom="0.3" header="0.3" footer="0.3"/>
  <pageSetup scale="65" orientation="landscape" r:id="rId1"/>
  <ignoredErrors>
    <ignoredError sqref="G12 D17" formula="1"/>
    <ignoredError sqref="C49"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4213E-A2C8-4C74-8F21-7CD03F5E94B9}">
  <dimension ref="A2:P44"/>
  <sheetViews>
    <sheetView showGridLines="0" topLeftCell="A14" zoomScaleNormal="100" workbookViewId="0">
      <selection activeCell="B17" sqref="B17"/>
    </sheetView>
  </sheetViews>
  <sheetFormatPr defaultRowHeight="14.4" x14ac:dyDescent="0.3"/>
  <cols>
    <col min="1" max="1" width="2.33203125" customWidth="1"/>
    <col min="2" max="2" width="28.5546875" customWidth="1"/>
    <col min="3" max="3" width="10.6640625" customWidth="1"/>
    <col min="4" max="8" width="11.33203125" customWidth="1"/>
    <col min="9" max="9" width="3.88671875" customWidth="1"/>
    <col min="10" max="12" width="11.33203125" customWidth="1"/>
    <col min="13" max="13" width="3.88671875" customWidth="1"/>
    <col min="14" max="16" width="11.33203125" customWidth="1"/>
  </cols>
  <sheetData>
    <row r="2" spans="2:16" ht="9" customHeight="1" x14ac:dyDescent="0.3">
      <c r="B2" s="121"/>
      <c r="C2" s="121"/>
      <c r="D2" s="121"/>
      <c r="E2" s="121"/>
      <c r="F2" s="121"/>
      <c r="G2" s="121"/>
      <c r="H2" s="121"/>
      <c r="I2" s="121"/>
      <c r="J2" s="121"/>
      <c r="K2" s="121"/>
      <c r="L2" s="121"/>
      <c r="M2" s="184"/>
      <c r="N2" s="185"/>
      <c r="O2" s="185"/>
      <c r="P2" s="185"/>
    </row>
    <row r="3" spans="2:16" ht="3.6" customHeight="1" x14ac:dyDescent="0.3">
      <c r="M3" s="2"/>
      <c r="N3" s="24"/>
      <c r="O3" s="24"/>
    </row>
    <row r="4" spans="2:16" ht="23.4" x14ac:dyDescent="0.45">
      <c r="B4" s="181" t="str">
        <f>'Data Sheet'!$B$1</f>
        <v>INFOSYS LTD</v>
      </c>
      <c r="M4" s="2"/>
      <c r="N4" s="24"/>
      <c r="O4" s="24"/>
    </row>
    <row r="5" spans="2:16" x14ac:dyDescent="0.3">
      <c r="B5" t="s">
        <v>393</v>
      </c>
      <c r="M5" s="2"/>
      <c r="N5" s="24"/>
      <c r="O5" s="24"/>
    </row>
    <row r="6" spans="2:16" ht="15.6" x14ac:dyDescent="0.3">
      <c r="B6" s="228">
        <v>1250</v>
      </c>
      <c r="M6" s="2"/>
      <c r="N6" s="24"/>
      <c r="O6" s="24"/>
    </row>
    <row r="7" spans="2:16" x14ac:dyDescent="0.3">
      <c r="B7" t="s">
        <v>394</v>
      </c>
      <c r="M7" s="2"/>
      <c r="N7" s="24"/>
      <c r="O7" s="24"/>
    </row>
    <row r="8" spans="2:16" ht="3.6" customHeight="1" thickBot="1" x14ac:dyDescent="0.35">
      <c r="B8" s="189"/>
      <c r="C8" s="189"/>
      <c r="D8" s="189"/>
      <c r="E8" s="189"/>
      <c r="F8" s="189"/>
      <c r="G8" s="189"/>
      <c r="H8" s="189"/>
      <c r="I8" s="189"/>
      <c r="J8" s="189"/>
      <c r="K8" s="189"/>
      <c r="L8" s="189"/>
      <c r="M8" s="190"/>
      <c r="N8" s="191"/>
      <c r="O8" s="191"/>
      <c r="P8" s="191"/>
    </row>
    <row r="10" spans="2:16" x14ac:dyDescent="0.3">
      <c r="B10" s="281" t="str">
        <f xml:space="preserve"> "Comparable Company Valuation"</f>
        <v>Comparable Company Valuation</v>
      </c>
      <c r="C10" s="281"/>
      <c r="D10" s="281"/>
      <c r="E10" s="281"/>
      <c r="F10" s="281"/>
      <c r="G10" s="281"/>
      <c r="H10" s="281"/>
      <c r="I10" s="281"/>
      <c r="J10" s="281"/>
      <c r="K10" s="281"/>
      <c r="L10" s="281"/>
      <c r="M10" s="281"/>
      <c r="N10" s="281"/>
      <c r="O10" s="281"/>
      <c r="P10" s="281"/>
    </row>
    <row r="11" spans="2:16" x14ac:dyDescent="0.3">
      <c r="B11" s="77" t="s">
        <v>315</v>
      </c>
    </row>
    <row r="12" spans="2:16" ht="3.6" customHeight="1" x14ac:dyDescent="0.3"/>
    <row r="13" spans="2:16" ht="14.4" customHeight="1" thickBot="1" x14ac:dyDescent="0.35">
      <c r="B13" s="56"/>
      <c r="C13" s="56"/>
      <c r="D13" s="304" t="s">
        <v>283</v>
      </c>
      <c r="E13" s="304"/>
      <c r="F13" s="304"/>
      <c r="G13" s="304"/>
      <c r="H13" s="304"/>
      <c r="I13" s="56"/>
      <c r="J13" s="304" t="s">
        <v>286</v>
      </c>
      <c r="K13" s="304"/>
      <c r="L13" s="304"/>
      <c r="M13" s="56"/>
      <c r="N13" s="304" t="s">
        <v>287</v>
      </c>
      <c r="O13" s="304"/>
      <c r="P13" s="304"/>
    </row>
    <row r="14" spans="2:16" ht="28.8" x14ac:dyDescent="0.3">
      <c r="B14" s="56" t="s">
        <v>278</v>
      </c>
      <c r="C14" s="56" t="s">
        <v>279</v>
      </c>
      <c r="D14" s="154" t="s">
        <v>281</v>
      </c>
      <c r="E14" s="154" t="s">
        <v>280</v>
      </c>
      <c r="F14" s="154" t="s">
        <v>271</v>
      </c>
      <c r="G14" s="154" t="s">
        <v>282</v>
      </c>
      <c r="H14" s="154" t="s">
        <v>268</v>
      </c>
      <c r="I14" s="57"/>
      <c r="J14" s="57" t="s">
        <v>284</v>
      </c>
      <c r="K14" s="57" t="s">
        <v>64</v>
      </c>
      <c r="L14" s="57" t="s">
        <v>285</v>
      </c>
      <c r="M14" s="57"/>
      <c r="N14" s="57" t="s">
        <v>305</v>
      </c>
      <c r="O14" s="57" t="s">
        <v>304</v>
      </c>
      <c r="P14" s="57" t="s">
        <v>303</v>
      </c>
    </row>
    <row r="15" spans="2:16" ht="3.6" customHeight="1" x14ac:dyDescent="0.3"/>
    <row r="16" spans="2:16" s="13" customFormat="1" ht="14.4" customHeight="1" x14ac:dyDescent="0.3">
      <c r="B16" s="163" t="str">
        <f>'Raw Comp_val.'!C4</f>
        <v>Infosys</v>
      </c>
      <c r="C16" s="163" t="s">
        <v>310</v>
      </c>
      <c r="D16" s="164">
        <f>'Raw Comp_val.'!D4</f>
        <v>1255.9000000000001</v>
      </c>
      <c r="E16" s="165">
        <f>'Raw Comp_val.'!E4</f>
        <v>405.54</v>
      </c>
      <c r="F16" s="164">
        <f>D16*E16</f>
        <v>509317.68600000005</v>
      </c>
      <c r="G16" s="174">
        <f>'Raw Comp_val.'!I4</f>
        <v>-15659</v>
      </c>
      <c r="H16" s="164">
        <f>F16+G16</f>
        <v>493658.68600000005</v>
      </c>
      <c r="I16" s="164"/>
      <c r="J16" s="164">
        <f>'Raw Comp_val.'!K4</f>
        <v>173173</v>
      </c>
      <c r="K16" s="164">
        <f>'Raw Comp_val.'!M4</f>
        <v>44918.897725204733</v>
      </c>
      <c r="L16" s="164">
        <f>'Raw Comp_val.'!N4</f>
        <v>28003</v>
      </c>
      <c r="M16" s="166"/>
      <c r="N16" s="167">
        <f t="shared" ref="N16:O22" si="0">$H$16/J16</f>
        <v>2.850667748436535</v>
      </c>
      <c r="O16" s="167">
        <f t="shared" si="0"/>
        <v>10.99</v>
      </c>
      <c r="P16" s="167">
        <f t="shared" ref="P16:P22" si="1">F16/L16</f>
        <v>18.187968646216479</v>
      </c>
    </row>
    <row r="17" spans="1:16" s="55" customFormat="1" x14ac:dyDescent="0.3">
      <c r="A17" s="55" t="s">
        <v>302</v>
      </c>
      <c r="B17" s="168" t="str">
        <f>'Raw Comp_val.'!C3</f>
        <v>TCS</v>
      </c>
      <c r="C17" s="168" t="s">
        <v>194</v>
      </c>
      <c r="D17" s="169">
        <f>'Raw Comp_val.'!D3</f>
        <v>2390.6</v>
      </c>
      <c r="E17" s="170">
        <f>'Raw Comp_val.'!E3</f>
        <v>361.81</v>
      </c>
      <c r="F17" s="169">
        <f>D17*E17</f>
        <v>864942.98599999992</v>
      </c>
      <c r="G17" s="175">
        <f>'Raw Comp_val.'!I3</f>
        <v>-4531</v>
      </c>
      <c r="H17" s="169">
        <f>F17+G17</f>
        <v>860411.98599999992</v>
      </c>
      <c r="I17" s="169"/>
      <c r="J17" s="169">
        <f>'Raw Comp_val.'!K3</f>
        <v>260802</v>
      </c>
      <c r="K17" s="169">
        <f>'Raw Comp_val.'!M3</f>
        <v>74688.540451388879</v>
      </c>
      <c r="L17" s="169">
        <f>'Raw Comp_val.'!N3</f>
        <v>47963</v>
      </c>
      <c r="M17" s="169"/>
      <c r="N17" s="171">
        <f t="shared" si="0"/>
        <v>1.892848544106257</v>
      </c>
      <c r="O17" s="171">
        <f t="shared" si="0"/>
        <v>6.6095639708115375</v>
      </c>
      <c r="P17" s="172">
        <f t="shared" si="1"/>
        <v>18.033546400350268</v>
      </c>
    </row>
    <row r="18" spans="1:16" x14ac:dyDescent="0.3">
      <c r="B18" s="168" t="str">
        <f>'Raw Comp_val.'!C5</f>
        <v>HCL Technologies</v>
      </c>
      <c r="C18" s="168" t="s">
        <v>311</v>
      </c>
      <c r="D18" s="169">
        <f>'Raw Comp_val.'!D5</f>
        <v>1333.7</v>
      </c>
      <c r="E18" s="170">
        <f>'Raw Comp_val.'!E5</f>
        <v>271.37</v>
      </c>
      <c r="F18" s="169">
        <f t="shared" ref="F18:F22" si="2">D18*E18</f>
        <v>361926.16899999999</v>
      </c>
      <c r="G18" s="175">
        <f>'Raw Comp_val.'!I5</f>
        <v>-14509</v>
      </c>
      <c r="H18" s="169">
        <f t="shared" ref="H18:H22" si="3">F18+G18</f>
        <v>347417.16899999999</v>
      </c>
      <c r="I18" s="169"/>
      <c r="J18" s="169">
        <f>'Raw Comp_val.'!K5</f>
        <v>126409</v>
      </c>
      <c r="K18" s="169">
        <f>'Raw Comp_val.'!M5</f>
        <v>28383.755637254901</v>
      </c>
      <c r="L18" s="169">
        <f>'Raw Comp_val.'!N5</f>
        <v>16471</v>
      </c>
      <c r="M18" s="169"/>
      <c r="N18" s="171">
        <f t="shared" si="0"/>
        <v>3.9052495154617159</v>
      </c>
      <c r="O18" s="171">
        <f t="shared" si="0"/>
        <v>17.392296224254824</v>
      </c>
      <c r="P18" s="172">
        <f t="shared" si="1"/>
        <v>21.973539493655515</v>
      </c>
    </row>
    <row r="19" spans="1:16" x14ac:dyDescent="0.3">
      <c r="B19" s="168" t="str">
        <f>'Raw Comp_val.'!C6</f>
        <v>Wipro</v>
      </c>
      <c r="C19" s="168" t="s">
        <v>312</v>
      </c>
      <c r="D19" s="169">
        <f>'Raw Comp_val.'!D6</f>
        <v>190.9</v>
      </c>
      <c r="E19" s="170">
        <f>'Raw Comp_val.'!E6</f>
        <v>1048.8399999999999</v>
      </c>
      <c r="F19" s="169">
        <f t="shared" si="2"/>
        <v>200223.55599999998</v>
      </c>
      <c r="G19" s="175">
        <f>'Raw Comp_val.'!I6</f>
        <v>3966.3000000000011</v>
      </c>
      <c r="H19" s="169">
        <f t="shared" si="3"/>
        <v>204189.85599999997</v>
      </c>
      <c r="I19" s="169"/>
      <c r="J19" s="169">
        <f>'Raw Comp_val.'!K6</f>
        <v>90891.9</v>
      </c>
      <c r="K19" s="169">
        <f>'Raw Comp_val.'!M6</f>
        <v>21885.300750267954</v>
      </c>
      <c r="L19" s="169">
        <f>'Raw Comp_val.'!N6</f>
        <v>13332</v>
      </c>
      <c r="M19" s="169"/>
      <c r="N19" s="171">
        <f t="shared" si="0"/>
        <v>5.4312725996485947</v>
      </c>
      <c r="O19" s="171">
        <f t="shared" si="0"/>
        <v>22.556632491968653</v>
      </c>
      <c r="P19" s="172">
        <f t="shared" si="1"/>
        <v>15.018268526852683</v>
      </c>
    </row>
    <row r="20" spans="1:16" x14ac:dyDescent="0.3">
      <c r="B20" s="168" t="str">
        <f>'Raw Comp_val.'!C7</f>
        <v>Tech Mahindra</v>
      </c>
      <c r="C20" s="168" t="s">
        <v>313</v>
      </c>
      <c r="D20" s="169">
        <f>'Raw Comp_val.'!D7</f>
        <v>1384.8</v>
      </c>
      <c r="E20" s="170">
        <f>'Raw Comp_val.'!E7</f>
        <v>97.98</v>
      </c>
      <c r="F20" s="169">
        <f t="shared" si="2"/>
        <v>135682.704</v>
      </c>
      <c r="G20" s="175">
        <f>'Raw Comp_val.'!I7</f>
        <v>-2587.7999999999997</v>
      </c>
      <c r="H20" s="169">
        <f t="shared" si="3"/>
        <v>133094.90400000001</v>
      </c>
      <c r="I20" s="169"/>
      <c r="J20" s="169">
        <f>'Raw Comp_val.'!K7</f>
        <v>55123.3</v>
      </c>
      <c r="K20" s="169">
        <f>'Raw Comp_val.'!M7</f>
        <v>8699.0133333333324</v>
      </c>
      <c r="L20" s="169">
        <f>'Raw Comp_val.'!N7</f>
        <v>4591</v>
      </c>
      <c r="M20" s="169"/>
      <c r="N20" s="171">
        <f t="shared" si="0"/>
        <v>8.9555357897658521</v>
      </c>
      <c r="O20" s="171">
        <f t="shared" si="0"/>
        <v>56.748813581923478</v>
      </c>
      <c r="P20" s="172">
        <f t="shared" si="1"/>
        <v>29.554063167065998</v>
      </c>
    </row>
    <row r="21" spans="1:16" x14ac:dyDescent="0.3">
      <c r="B21" s="168" t="str">
        <f>'Raw Comp_val.'!C8</f>
        <v>LTIMindtree</v>
      </c>
      <c r="C21" s="168" t="s">
        <v>56</v>
      </c>
      <c r="D21" s="169">
        <f>'Raw Comp_val.'!D8</f>
        <v>4298.8</v>
      </c>
      <c r="E21" s="170">
        <f>'Raw Comp_val.'!E8</f>
        <v>29.65</v>
      </c>
      <c r="F21" s="169">
        <f t="shared" si="2"/>
        <v>127459.42</v>
      </c>
      <c r="G21" s="175">
        <f>'Raw Comp_val.'!I8</f>
        <v>-1205.5999999999999</v>
      </c>
      <c r="H21" s="169">
        <f t="shared" si="3"/>
        <v>126253.81999999999</v>
      </c>
      <c r="I21" s="169"/>
      <c r="J21" s="169">
        <f>'Raw Comp_val.'!K8</f>
        <v>40787.599999999999</v>
      </c>
      <c r="K21" s="169">
        <f>'Raw Comp_val.'!M8</f>
        <v>8311.6405529953918</v>
      </c>
      <c r="L21" s="169">
        <f>'Raw Comp_val.'!N8</f>
        <v>4724</v>
      </c>
      <c r="M21" s="169"/>
      <c r="N21" s="171">
        <f t="shared" si="0"/>
        <v>12.103156008198571</v>
      </c>
      <c r="O21" s="171">
        <f t="shared" si="0"/>
        <v>59.39365193338309</v>
      </c>
      <c r="P21" s="172">
        <f t="shared" si="1"/>
        <v>26.981248941574936</v>
      </c>
    </row>
    <row r="22" spans="1:16" x14ac:dyDescent="0.3">
      <c r="B22" s="168" t="str">
        <f>'Raw Comp_val.'!C9</f>
        <v>Persistent Systems</v>
      </c>
      <c r="C22" s="168" t="s">
        <v>314</v>
      </c>
      <c r="D22" s="169">
        <f>'Raw Comp_val.'!D9</f>
        <v>4716.7</v>
      </c>
      <c r="E22" s="170">
        <f>'Raw Comp_val.'!E9</f>
        <v>15.78</v>
      </c>
      <c r="F22" s="169">
        <f t="shared" si="2"/>
        <v>74429.525999999998</v>
      </c>
      <c r="G22" s="175">
        <f>'Raw Comp_val.'!I9</f>
        <v>-621.53</v>
      </c>
      <c r="H22" s="169">
        <f t="shared" si="3"/>
        <v>73807.995999999999</v>
      </c>
      <c r="I22" s="169"/>
      <c r="J22" s="169">
        <f>'Raw Comp_val.'!K9</f>
        <v>13934.63</v>
      </c>
      <c r="K22" s="169">
        <f>'Raw Comp_val.'!M9</f>
        <v>2785.2073962264149</v>
      </c>
      <c r="L22" s="169">
        <f>'Raw Comp_val.'!N9</f>
        <v>1731.62</v>
      </c>
      <c r="M22" s="169"/>
      <c r="N22" s="171">
        <f t="shared" si="0"/>
        <v>35.426752342903981</v>
      </c>
      <c r="O22" s="171">
        <f t="shared" si="0"/>
        <v>177.24306156476601</v>
      </c>
      <c r="P22" s="172">
        <f t="shared" si="1"/>
        <v>42.982597798593225</v>
      </c>
    </row>
    <row r="23" spans="1:16" ht="3.6" customHeight="1" x14ac:dyDescent="0.3"/>
    <row r="24" spans="1:16" ht="14.4" customHeight="1" x14ac:dyDescent="0.3">
      <c r="B24" s="204" t="s">
        <v>306</v>
      </c>
      <c r="C24" s="204"/>
      <c r="D24" s="204"/>
      <c r="E24" s="204"/>
      <c r="F24" s="204"/>
      <c r="G24" s="204"/>
      <c r="H24" s="204"/>
      <c r="I24" s="204"/>
      <c r="J24" s="204"/>
      <c r="K24" s="204"/>
      <c r="L24" s="204"/>
      <c r="M24" s="204"/>
      <c r="N24" s="205">
        <f>MAX(N16:N22)</f>
        <v>35.426752342903981</v>
      </c>
      <c r="O24" s="205">
        <f>MAX(O16:O22)</f>
        <v>177.24306156476601</v>
      </c>
      <c r="P24" s="205">
        <f>MAX(P16:P22)</f>
        <v>42.982597798593225</v>
      </c>
    </row>
    <row r="25" spans="1:16" ht="16.2" x14ac:dyDescent="0.3">
      <c r="B25" s="204" t="s">
        <v>320</v>
      </c>
      <c r="C25" s="204"/>
      <c r="D25" s="204"/>
      <c r="E25" s="204"/>
      <c r="F25" s="204"/>
      <c r="G25" s="204"/>
      <c r="H25" s="204"/>
      <c r="I25" s="204"/>
      <c r="J25" s="204"/>
      <c r="K25" s="204"/>
      <c r="L25" s="204"/>
      <c r="M25" s="204"/>
      <c r="N25" s="206">
        <f>QUARTILE(N16:N22,)</f>
        <v>1.892848544106257</v>
      </c>
      <c r="O25" s="206">
        <f>QUARTILE(O16:O22,)</f>
        <v>6.6095639708115375</v>
      </c>
      <c r="P25" s="206">
        <f>QUARTILE(P16:P22,)</f>
        <v>15.018268526852683</v>
      </c>
    </row>
    <row r="26" spans="1:16" x14ac:dyDescent="0.3">
      <c r="B26" s="207" t="s">
        <v>168</v>
      </c>
      <c r="C26" s="207"/>
      <c r="D26" s="207"/>
      <c r="E26" s="207"/>
      <c r="F26" s="207"/>
      <c r="G26" s="207"/>
      <c r="H26" s="207"/>
      <c r="I26" s="207"/>
      <c r="J26" s="207"/>
      <c r="K26" s="207"/>
      <c r="L26" s="207"/>
      <c r="M26" s="207"/>
      <c r="N26" s="208">
        <f>AVERAGE(N16:N22)</f>
        <v>10.080783221217358</v>
      </c>
      <c r="O26" s="208">
        <f>AVERAGE(O16:O22)</f>
        <v>50.133431395301088</v>
      </c>
      <c r="P26" s="208">
        <f>AVERAGE(P16:P22)</f>
        <v>24.675890424901301</v>
      </c>
    </row>
    <row r="27" spans="1:16" x14ac:dyDescent="0.3">
      <c r="B27" s="207" t="s">
        <v>115</v>
      </c>
      <c r="C27" s="207"/>
      <c r="D27" s="207"/>
      <c r="E27" s="207"/>
      <c r="F27" s="207"/>
      <c r="G27" s="207"/>
      <c r="H27" s="207"/>
      <c r="I27" s="207"/>
      <c r="J27" s="207"/>
      <c r="K27" s="207"/>
      <c r="L27" s="207"/>
      <c r="M27" s="207"/>
      <c r="N27" s="208">
        <f>MEDIAN(N16:N22)</f>
        <v>5.4312725996485947</v>
      </c>
      <c r="O27" s="208">
        <f>MEDIAN(O16:O22)</f>
        <v>22.556632491968653</v>
      </c>
      <c r="P27" s="208">
        <f>MEDIAN(P16:P22)</f>
        <v>21.973539493655515</v>
      </c>
    </row>
    <row r="28" spans="1:16" ht="16.2" x14ac:dyDescent="0.3">
      <c r="B28" s="204" t="s">
        <v>321</v>
      </c>
      <c r="C28" s="204"/>
      <c r="D28" s="204"/>
      <c r="E28" s="204"/>
      <c r="F28" s="204"/>
      <c r="G28" s="204"/>
      <c r="H28" s="204"/>
      <c r="I28" s="204"/>
      <c r="J28" s="204"/>
      <c r="K28" s="204"/>
      <c r="L28" s="204"/>
      <c r="M28" s="204"/>
      <c r="N28" s="206">
        <f>QUARTILE(N16:N22,1)</f>
        <v>3.3779586319491255</v>
      </c>
      <c r="O28" s="206">
        <f>QUARTILE(O16:O22,1)</f>
        <v>14.191148112127411</v>
      </c>
      <c r="P28" s="206">
        <f>QUARTILE(P16:P22,1)</f>
        <v>18.110757523283375</v>
      </c>
    </row>
    <row r="29" spans="1:16" x14ac:dyDescent="0.3">
      <c r="B29" s="204" t="s">
        <v>307</v>
      </c>
      <c r="C29" s="204"/>
      <c r="D29" s="204"/>
      <c r="E29" s="204"/>
      <c r="F29" s="204"/>
      <c r="G29" s="204"/>
      <c r="H29" s="204"/>
      <c r="I29" s="204"/>
      <c r="J29" s="204"/>
      <c r="K29" s="204"/>
      <c r="L29" s="204"/>
      <c r="M29" s="204"/>
      <c r="N29" s="205">
        <f>MIN(N16:N22)</f>
        <v>1.892848544106257</v>
      </c>
      <c r="O29" s="205">
        <f>MIN(O16:O22)</f>
        <v>6.6095639708115375</v>
      </c>
      <c r="P29" s="205">
        <f>MIN(P16:P22)</f>
        <v>15.018268526852683</v>
      </c>
    </row>
    <row r="31" spans="1:16" x14ac:dyDescent="0.3">
      <c r="B31" s="56" t="s">
        <v>308</v>
      </c>
      <c r="C31" s="56"/>
      <c r="D31" s="56"/>
      <c r="E31" s="56"/>
      <c r="F31" s="56"/>
      <c r="G31" s="56"/>
      <c r="H31" s="56"/>
      <c r="I31" s="56"/>
      <c r="J31" s="56"/>
      <c r="K31" s="56"/>
      <c r="L31" s="56"/>
      <c r="M31" s="56"/>
      <c r="N31" s="57" t="s">
        <v>305</v>
      </c>
      <c r="O31" s="57" t="s">
        <v>304</v>
      </c>
      <c r="P31" s="57" t="s">
        <v>303</v>
      </c>
    </row>
    <row r="32" spans="1:16" ht="3.6" customHeight="1" x14ac:dyDescent="0.3"/>
    <row r="33" spans="2:16" ht="14.4" customHeight="1" x14ac:dyDescent="0.3">
      <c r="B33" t="s">
        <v>309</v>
      </c>
      <c r="N33" s="54">
        <f>N27*J16</f>
        <v>940549.76989894605</v>
      </c>
      <c r="O33" s="54">
        <f>O27*K16</f>
        <v>1013219.0679317699</v>
      </c>
      <c r="P33" s="54">
        <f>P34+P35</f>
        <v>599666.02644083544</v>
      </c>
    </row>
    <row r="34" spans="2:16" x14ac:dyDescent="0.3">
      <c r="B34" t="s">
        <v>282</v>
      </c>
      <c r="N34" s="176">
        <f>$G$16</f>
        <v>-15659</v>
      </c>
      <c r="O34" s="176">
        <f>$G$16</f>
        <v>-15659</v>
      </c>
      <c r="P34" s="176">
        <f>$G$16</f>
        <v>-15659</v>
      </c>
    </row>
    <row r="35" spans="2:16" x14ac:dyDescent="0.3">
      <c r="B35" t="s">
        <v>316</v>
      </c>
      <c r="N35" s="173">
        <f>N33-N34</f>
        <v>956208.76989894605</v>
      </c>
      <c r="O35" s="173">
        <f>O33-O34</f>
        <v>1028878.0679317699</v>
      </c>
      <c r="P35" s="173">
        <f>P27*L16</f>
        <v>615325.02644083544</v>
      </c>
    </row>
    <row r="36" spans="2:16" x14ac:dyDescent="0.3">
      <c r="B36" t="s">
        <v>280</v>
      </c>
      <c r="N36" s="54">
        <f>$E$16</f>
        <v>405.54</v>
      </c>
      <c r="O36" s="54">
        <f>$E$16</f>
        <v>405.54</v>
      </c>
      <c r="P36" s="54">
        <f>$E$16</f>
        <v>405.54</v>
      </c>
    </row>
    <row r="37" spans="2:16" ht="3.6" customHeight="1" thickBot="1" x14ac:dyDescent="0.35"/>
    <row r="38" spans="2:16" ht="14.4" customHeight="1" thickBot="1" x14ac:dyDescent="0.35">
      <c r="B38" s="177" t="s">
        <v>317</v>
      </c>
      <c r="C38" s="177"/>
      <c r="D38" s="177"/>
      <c r="E38" s="177"/>
      <c r="F38" s="177"/>
      <c r="G38" s="177"/>
      <c r="H38" s="177"/>
      <c r="I38" s="177"/>
      <c r="J38" s="177"/>
      <c r="K38" s="177"/>
      <c r="L38" s="177"/>
      <c r="M38" s="177"/>
      <c r="N38" s="178">
        <f>N35/N36</f>
        <v>2357.8654877421363</v>
      </c>
      <c r="O38" s="178">
        <f>O35/O36</f>
        <v>2537.0569313304973</v>
      </c>
      <c r="P38" s="178">
        <f>P35/P36</f>
        <v>1517.2979889550609</v>
      </c>
    </row>
    <row r="39" spans="2:16" ht="3.6" customHeight="1" thickTop="1" x14ac:dyDescent="0.3"/>
    <row r="40" spans="2:16" ht="14.4" customHeight="1" x14ac:dyDescent="0.3">
      <c r="N40" s="180" t="str">
        <f>IF(N38&gt;$D$16, "Undervalued","Overvalued")</f>
        <v>Undervalued</v>
      </c>
      <c r="O40" s="180" t="str">
        <f t="shared" ref="O40:P40" si="4">IF(O38&gt;$D$16, "Undervalued","Overvalued")</f>
        <v>Undervalued</v>
      </c>
      <c r="P40" s="180" t="str">
        <f t="shared" si="4"/>
        <v>Undervalued</v>
      </c>
    </row>
    <row r="42" spans="2:16" ht="7.8" customHeight="1" x14ac:dyDescent="0.3">
      <c r="B42" s="121"/>
      <c r="C42" s="121"/>
      <c r="D42" s="121"/>
      <c r="E42" s="121"/>
      <c r="F42" s="121"/>
      <c r="G42" s="121"/>
      <c r="H42" s="121"/>
      <c r="I42" s="121"/>
      <c r="J42" s="121"/>
      <c r="K42" s="121"/>
      <c r="L42" s="121"/>
      <c r="M42" s="121"/>
      <c r="N42" s="121"/>
      <c r="O42" s="121"/>
      <c r="P42" s="121"/>
    </row>
    <row r="43" spans="2:16" ht="3.6" customHeight="1" x14ac:dyDescent="0.3"/>
    <row r="44" spans="2:16" x14ac:dyDescent="0.3">
      <c r="B44" s="77" t="s">
        <v>318</v>
      </c>
    </row>
  </sheetData>
  <mergeCells count="4">
    <mergeCell ref="B10:P10"/>
    <mergeCell ref="D13:H13"/>
    <mergeCell ref="J13:L13"/>
    <mergeCell ref="N13:P13"/>
  </mergeCells>
  <pageMargins left="0.4" right="0.5" top="0.5" bottom="0.3" header="0.3" footer="0.3"/>
  <pageSetup scale="73"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0C09-299E-4EE7-B8E5-A85E41E09A43}">
  <sheetPr>
    <pageSetUpPr fitToPage="1"/>
  </sheetPr>
  <dimension ref="B2:N5012"/>
  <sheetViews>
    <sheetView showGridLines="0" topLeftCell="A7" zoomScale="96" zoomScaleNormal="96" workbookViewId="0">
      <selection activeCell="Q33" sqref="Q33"/>
    </sheetView>
  </sheetViews>
  <sheetFormatPr defaultRowHeight="14.4" x14ac:dyDescent="0.3"/>
  <cols>
    <col min="1" max="1" width="2.33203125" customWidth="1"/>
    <col min="2" max="2" width="12.5546875" customWidth="1"/>
    <col min="5" max="5" width="13.5546875" customWidth="1"/>
    <col min="6" max="6" width="2.33203125" customWidth="1"/>
    <col min="7" max="7" width="10.33203125" bestFit="1" customWidth="1"/>
    <col min="8" max="8" width="16.44140625" bestFit="1" customWidth="1"/>
    <col min="9" max="9" width="2.33203125" customWidth="1"/>
    <col min="10" max="10" width="10.77734375" customWidth="1"/>
    <col min="11" max="11" width="10.5546875" bestFit="1" customWidth="1"/>
    <col min="13" max="13" width="10.88671875" customWidth="1"/>
  </cols>
  <sheetData>
    <row r="2" spans="2:14" ht="9" customHeight="1" x14ac:dyDescent="0.3">
      <c r="B2" s="121"/>
      <c r="C2" s="121"/>
      <c r="D2" s="121"/>
      <c r="E2" s="121"/>
      <c r="F2" s="121"/>
      <c r="G2" s="121"/>
      <c r="H2" s="121"/>
      <c r="I2" s="121"/>
      <c r="J2" s="121"/>
      <c r="K2" s="121"/>
      <c r="L2" s="121"/>
      <c r="M2" s="121"/>
      <c r="N2" s="121"/>
    </row>
    <row r="3" spans="2:14" ht="3.6" customHeight="1" x14ac:dyDescent="0.3"/>
    <row r="4" spans="2:14" ht="23.4" customHeight="1" x14ac:dyDescent="0.45">
      <c r="B4" s="181" t="str">
        <f>'Data Sheet'!$B$1</f>
        <v>INFOSYS LTD</v>
      </c>
    </row>
    <row r="5" spans="2:14" x14ac:dyDescent="0.3">
      <c r="B5" t="s">
        <v>393</v>
      </c>
    </row>
    <row r="6" spans="2:14" ht="15.6" x14ac:dyDescent="0.3">
      <c r="B6" s="228">
        <v>1250</v>
      </c>
    </row>
    <row r="7" spans="2:14" x14ac:dyDescent="0.3">
      <c r="B7" t="s">
        <v>394</v>
      </c>
    </row>
    <row r="8" spans="2:14" ht="3.6" customHeight="1" thickBot="1" x14ac:dyDescent="0.35">
      <c r="B8" s="189"/>
      <c r="C8" s="189"/>
      <c r="D8" s="189"/>
      <c r="E8" s="189"/>
      <c r="F8" s="189"/>
      <c r="G8" s="189"/>
      <c r="H8" s="189"/>
      <c r="I8" s="189"/>
      <c r="J8" s="189"/>
      <c r="K8" s="189"/>
      <c r="L8" s="189"/>
      <c r="M8" s="190"/>
      <c r="N8" s="191"/>
    </row>
    <row r="10" spans="2:14" x14ac:dyDescent="0.3">
      <c r="B10" s="281" t="s">
        <v>354</v>
      </c>
      <c r="C10" s="281"/>
      <c r="D10" s="281"/>
      <c r="E10" s="281"/>
      <c r="F10" s="281"/>
      <c r="G10" s="281"/>
      <c r="H10" s="281"/>
      <c r="I10" s="281"/>
      <c r="J10" s="281"/>
      <c r="K10" s="281"/>
      <c r="L10" s="281"/>
      <c r="M10" s="281"/>
      <c r="N10" s="281"/>
    </row>
    <row r="11" spans="2:14" ht="15" thickBot="1" x14ac:dyDescent="0.35"/>
    <row r="12" spans="2:14" ht="15" thickBot="1" x14ac:dyDescent="0.35">
      <c r="B12" s="94" t="s">
        <v>1128</v>
      </c>
      <c r="C12" s="69" t="s">
        <v>1127</v>
      </c>
      <c r="D12" s="69" t="s">
        <v>1211</v>
      </c>
      <c r="E12" s="69" t="s">
        <v>1212</v>
      </c>
      <c r="G12" s="94" t="s">
        <v>1222</v>
      </c>
      <c r="H12" s="92" t="s">
        <v>1223</v>
      </c>
      <c r="J12" s="305" t="s">
        <v>1225</v>
      </c>
      <c r="K12" s="305"/>
      <c r="L12" s="305"/>
      <c r="M12" s="305"/>
      <c r="N12" s="305"/>
    </row>
    <row r="13" spans="2:14" x14ac:dyDescent="0.3">
      <c r="B13" s="269">
        <v>45474</v>
      </c>
      <c r="C13" s="67">
        <v>1868.25</v>
      </c>
      <c r="D13">
        <f t="shared" ref="D13:D47" si="0">C13/C14-1</f>
        <v>0.19243657252273816</v>
      </c>
      <c r="E13" s="270">
        <v>0.19243657252273816</v>
      </c>
      <c r="F13" s="67"/>
      <c r="G13" s="24">
        <v>1</v>
      </c>
      <c r="H13">
        <f ca="1">_xlfn.NORM.INV(RAND(),N$13,N$14)</f>
        <v>-7.4219351444645351E-2</v>
      </c>
      <c r="J13" s="256" t="s">
        <v>114</v>
      </c>
      <c r="K13" s="235"/>
      <c r="L13" s="235"/>
      <c r="M13" s="235"/>
      <c r="N13" s="256">
        <f>AVERAGE(E13:E47)</f>
        <v>2.2391813744212191E-3</v>
      </c>
    </row>
    <row r="14" spans="2:14" x14ac:dyDescent="0.3">
      <c r="B14" s="269">
        <v>45444</v>
      </c>
      <c r="C14" s="67">
        <v>1566.75</v>
      </c>
      <c r="D14">
        <f t="shared" si="0"/>
        <v>-5.1368681089132284E-2</v>
      </c>
      <c r="E14" s="270">
        <v>0.11361859407207331</v>
      </c>
      <c r="F14" s="67"/>
      <c r="G14" s="24">
        <v>2</v>
      </c>
      <c r="H14">
        <f t="shared" ref="H14:H77" ca="1" si="1">_xlfn.NORM.INV(RAND(),N$13,N$14)</f>
        <v>-0.11432755699482114</v>
      </c>
      <c r="J14" s="297" t="s">
        <v>1213</v>
      </c>
      <c r="K14" s="297"/>
      <c r="L14" s="200"/>
      <c r="M14" s="200"/>
      <c r="N14" s="259">
        <f>_xlfn.STDEV.S(E13:E47)</f>
        <v>7.0432301674334744E-2</v>
      </c>
    </row>
    <row r="15" spans="2:14" x14ac:dyDescent="0.3">
      <c r="B15" s="269">
        <v>45292</v>
      </c>
      <c r="C15" s="67">
        <v>1651.59</v>
      </c>
      <c r="D15">
        <f t="shared" si="0"/>
        <v>0.14139696888022724</v>
      </c>
      <c r="E15" s="270">
        <v>7.6480364999185202E-2</v>
      </c>
      <c r="F15" s="67"/>
      <c r="G15" s="24">
        <v>3</v>
      </c>
      <c r="H15">
        <f t="shared" ca="1" si="1"/>
        <v>-1.5491517484099302E-2</v>
      </c>
      <c r="J15" s="200" t="s">
        <v>1215</v>
      </c>
      <c r="K15" s="200"/>
      <c r="L15" s="200"/>
      <c r="M15" s="200"/>
      <c r="N15" s="259">
        <f>MIN(E13:E47)</f>
        <v>-0.20773918342474107</v>
      </c>
    </row>
    <row r="16" spans="2:14" x14ac:dyDescent="0.3">
      <c r="B16" s="269">
        <v>45231</v>
      </c>
      <c r="C16" s="67">
        <v>1446.99</v>
      </c>
      <c r="D16">
        <f>C16/C17-1</f>
        <v>-5.6874694476128362E-2</v>
      </c>
      <c r="E16" s="270">
        <v>6.3392443761804307E-2</v>
      </c>
      <c r="F16" s="67"/>
      <c r="G16" s="24">
        <v>4</v>
      </c>
      <c r="H16">
        <f t="shared" ca="1" si="1"/>
        <v>8.2527366303301708E-2</v>
      </c>
      <c r="J16" s="200" t="s">
        <v>1214</v>
      </c>
      <c r="K16" s="200"/>
      <c r="L16" s="200"/>
      <c r="M16" s="200"/>
      <c r="N16" s="259">
        <f>MAX(E13:E47)</f>
        <v>0.19243657252273816</v>
      </c>
    </row>
    <row r="17" spans="2:14" x14ac:dyDescent="0.3">
      <c r="B17" s="269">
        <v>45261</v>
      </c>
      <c r="C17" s="67">
        <v>1534.25</v>
      </c>
      <c r="D17">
        <f t="shared" si="0"/>
        <v>7.4848852116770948E-2</v>
      </c>
      <c r="E17" s="270">
        <v>6.0304494156835808E-2</v>
      </c>
      <c r="F17" s="67"/>
      <c r="G17" s="24">
        <v>5</v>
      </c>
      <c r="H17">
        <f t="shared" ca="1" si="1"/>
        <v>-8.1649744350454398E-2</v>
      </c>
      <c r="J17" s="200" t="s">
        <v>1217</v>
      </c>
      <c r="K17" s="200"/>
      <c r="L17" s="200"/>
      <c r="M17" s="200"/>
      <c r="N17" s="271">
        <v>1300.8</v>
      </c>
    </row>
    <row r="18" spans="2:14" ht="15" thickBot="1" x14ac:dyDescent="0.35">
      <c r="B18" s="269">
        <v>45139</v>
      </c>
      <c r="C18" s="67">
        <v>1427.41</v>
      </c>
      <c r="D18">
        <f t="shared" si="0"/>
        <v>-0.23168716527168498</v>
      </c>
      <c r="E18" s="270">
        <v>5.8830947259105537E-2</v>
      </c>
      <c r="F18" s="67"/>
      <c r="G18" s="24">
        <v>6</v>
      </c>
      <c r="H18">
        <f t="shared" ca="1" si="1"/>
        <v>6.0144681193948092E-2</v>
      </c>
      <c r="N18" s="277"/>
    </row>
    <row r="19" spans="2:14" ht="15" thickBot="1" x14ac:dyDescent="0.35">
      <c r="B19" s="269">
        <v>45597</v>
      </c>
      <c r="C19" s="67">
        <v>1857.85</v>
      </c>
      <c r="D19">
        <f t="shared" si="0"/>
        <v>0.19085315043907447</v>
      </c>
      <c r="E19" s="270">
        <v>5.7248541755583915E-2</v>
      </c>
      <c r="F19" s="67"/>
      <c r="G19" s="24">
        <v>7</v>
      </c>
      <c r="H19">
        <f t="shared" ca="1" si="1"/>
        <v>-3.0420137489732598E-2</v>
      </c>
      <c r="J19" s="305" t="s">
        <v>1224</v>
      </c>
      <c r="K19" s="305"/>
      <c r="L19" s="305"/>
      <c r="M19" s="305"/>
      <c r="N19" s="305"/>
    </row>
    <row r="20" spans="2:14" x14ac:dyDescent="0.3">
      <c r="B20" s="269">
        <v>45962</v>
      </c>
      <c r="C20" s="67">
        <v>1560.1</v>
      </c>
      <c r="D20">
        <f t="shared" si="0"/>
        <v>-1.6637870352596007E-3</v>
      </c>
      <c r="E20" s="270">
        <v>5.2486001484179923E-2</v>
      </c>
      <c r="F20" s="67"/>
      <c r="G20" s="24">
        <v>8</v>
      </c>
      <c r="H20">
        <f t="shared" ca="1" si="1"/>
        <v>-4.8435705272514125E-2</v>
      </c>
      <c r="J20" s="256" t="s">
        <v>114</v>
      </c>
      <c r="K20" s="235"/>
      <c r="L20" s="235"/>
      <c r="M20" s="235"/>
      <c r="N20" s="256">
        <f ca="1">AVERAGE(H13:H5012)</f>
        <v>2.6887793349233686E-3</v>
      </c>
    </row>
    <row r="21" spans="2:14" x14ac:dyDescent="0.3">
      <c r="B21" s="269">
        <v>45778</v>
      </c>
      <c r="C21" s="67">
        <v>1562.7</v>
      </c>
      <c r="D21">
        <f t="shared" si="0"/>
        <v>-0.1960179039975305</v>
      </c>
      <c r="E21" s="270">
        <v>4.1730551296580431E-2</v>
      </c>
      <c r="F21" s="67"/>
      <c r="G21" s="24">
        <v>9</v>
      </c>
      <c r="H21">
        <f t="shared" ca="1" si="1"/>
        <v>-0.13608487425333318</v>
      </c>
      <c r="J21" s="297" t="s">
        <v>1213</v>
      </c>
      <c r="K21" s="297"/>
      <c r="L21" s="200"/>
      <c r="M21" s="200"/>
      <c r="N21" s="259">
        <f ca="1">_xlfn.STDEV.S(H13:H5012)</f>
        <v>6.950355015644083E-2</v>
      </c>
    </row>
    <row r="22" spans="2:14" x14ac:dyDescent="0.3">
      <c r="B22" s="269">
        <v>45505</v>
      </c>
      <c r="C22" s="67">
        <v>1943.7</v>
      </c>
      <c r="D22">
        <f t="shared" si="0"/>
        <v>0.49423431734317358</v>
      </c>
      <c r="E22" s="270">
        <v>4.038538739462072E-2</v>
      </c>
      <c r="F22" s="67"/>
      <c r="G22" s="24">
        <v>10</v>
      </c>
      <c r="H22">
        <f t="shared" ca="1" si="1"/>
        <v>-1.9893311797626833E-2</v>
      </c>
      <c r="J22" s="200" t="s">
        <v>1215</v>
      </c>
      <c r="K22" s="200"/>
      <c r="L22" s="200"/>
      <c r="M22" s="200"/>
      <c r="N22" s="259">
        <f ca="1">MIN(H13:H5012)</f>
        <v>-0.22430754520368831</v>
      </c>
    </row>
    <row r="23" spans="2:14" x14ac:dyDescent="0.3">
      <c r="B23" s="269">
        <v>46113</v>
      </c>
      <c r="C23" s="67">
        <v>1300.8</v>
      </c>
      <c r="D23">
        <f t="shared" si="0"/>
        <v>-0.19475052618546496</v>
      </c>
      <c r="E23" s="270">
        <v>4.0140732448424865E-2</v>
      </c>
      <c r="F23" s="67"/>
      <c r="G23" s="24">
        <v>11</v>
      </c>
      <c r="H23">
        <f t="shared" ca="1" si="1"/>
        <v>2.9808442537401381E-2</v>
      </c>
      <c r="J23" s="200" t="s">
        <v>1214</v>
      </c>
      <c r="K23" s="200"/>
      <c r="L23" s="200"/>
      <c r="M23" s="200"/>
      <c r="N23" s="259">
        <f ca="1">MAX(H13:H5012)</f>
        <v>0.24288054869362996</v>
      </c>
    </row>
    <row r="24" spans="2:14" x14ac:dyDescent="0.3">
      <c r="B24" s="269">
        <v>45992</v>
      </c>
      <c r="C24" s="67">
        <v>1615.4</v>
      </c>
      <c r="D24">
        <f t="shared" si="0"/>
        <v>8.9792889428590872E-2</v>
      </c>
      <c r="E24" s="270">
        <v>3.5446445740657806E-2</v>
      </c>
      <c r="F24" s="67"/>
      <c r="G24" s="24">
        <v>12</v>
      </c>
      <c r="H24">
        <f t="shared" ca="1" si="1"/>
        <v>0.11893873871903848</v>
      </c>
      <c r="J24" s="200" t="s">
        <v>1217</v>
      </c>
      <c r="K24" s="200"/>
      <c r="L24" s="200"/>
      <c r="M24" s="200"/>
      <c r="N24" s="271">
        <v>1300.8</v>
      </c>
    </row>
    <row r="25" spans="2:14" ht="15" thickBot="1" x14ac:dyDescent="0.35">
      <c r="B25" s="269">
        <v>45931</v>
      </c>
      <c r="C25" s="67">
        <v>1482.3</v>
      </c>
      <c r="D25">
        <f t="shared" si="0"/>
        <v>-7.4603570982644474E-2</v>
      </c>
      <c r="E25" s="270">
        <v>2.8089887640449396E-2</v>
      </c>
      <c r="F25" s="67"/>
      <c r="G25" s="24">
        <v>13</v>
      </c>
      <c r="H25">
        <f t="shared" ca="1" si="1"/>
        <v>3.3269479427441385E-2</v>
      </c>
      <c r="N25" s="277"/>
    </row>
    <row r="26" spans="2:14" ht="15" thickBot="1" x14ac:dyDescent="0.35">
      <c r="B26" s="269">
        <v>45809</v>
      </c>
      <c r="C26" s="67">
        <v>1601.8</v>
      </c>
      <c r="D26">
        <f t="shared" si="0"/>
        <v>-2.3887873248019553E-2</v>
      </c>
      <c r="E26" s="270">
        <v>2.5020797337940603E-2</v>
      </c>
      <c r="F26" s="67"/>
      <c r="G26" s="24">
        <v>14</v>
      </c>
      <c r="H26">
        <f t="shared" ca="1" si="1"/>
        <v>-4.8837735093510637E-2</v>
      </c>
      <c r="J26" s="278" t="s">
        <v>1216</v>
      </c>
      <c r="K26" s="279" t="s">
        <v>1221</v>
      </c>
      <c r="L26" s="279" t="s">
        <v>1218</v>
      </c>
      <c r="M26" s="279" t="s">
        <v>1219</v>
      </c>
      <c r="N26" s="279" t="s">
        <v>1220</v>
      </c>
    </row>
    <row r="27" spans="2:14" x14ac:dyDescent="0.3">
      <c r="B27" s="269">
        <v>46023</v>
      </c>
      <c r="C27" s="67">
        <v>1641</v>
      </c>
      <c r="D27">
        <f t="shared" si="0"/>
        <v>0.21726874860915379</v>
      </c>
      <c r="E27" s="270">
        <v>1.5847468119351227E-2</v>
      </c>
      <c r="F27" s="67"/>
      <c r="G27" s="24">
        <v>15</v>
      </c>
      <c r="H27">
        <f t="shared" ca="1" si="1"/>
        <v>8.4715424229110201E-2</v>
      </c>
      <c r="J27" s="275">
        <v>0.05</v>
      </c>
      <c r="K27" s="276">
        <f>100%-J27</f>
        <v>0.95</v>
      </c>
      <c r="L27" s="256">
        <f ca="1">_xlfn.PERCENTILE.INC($H$13:$H$5012,J27)</f>
        <v>-0.11153256934268026</v>
      </c>
      <c r="M27" s="262">
        <f ca="1">$N$17*(1-L27)</f>
        <v>1445.8815662009586</v>
      </c>
      <c r="N27" s="262">
        <f ca="1">$N$17-M27</f>
        <v>-145.0815662009586</v>
      </c>
    </row>
    <row r="28" spans="2:14" x14ac:dyDescent="0.3">
      <c r="B28" s="269">
        <v>45108</v>
      </c>
      <c r="C28" s="67">
        <v>1348.1</v>
      </c>
      <c r="D28">
        <f t="shared" si="0"/>
        <v>1.5120254213038864E-2</v>
      </c>
      <c r="E28" s="270">
        <v>1.5120254213038864E-2</v>
      </c>
      <c r="F28" s="67"/>
      <c r="G28" s="24">
        <v>16</v>
      </c>
      <c r="H28">
        <f t="shared" ca="1" si="1"/>
        <v>-2.146671932418534E-2</v>
      </c>
      <c r="J28" s="272">
        <v>0.01</v>
      </c>
      <c r="K28" s="273">
        <f t="shared" ref="K28:K30" si="2">100%-J28</f>
        <v>0.99</v>
      </c>
      <c r="L28" s="256">
        <f t="shared" ref="L28:L30" ca="1" si="3">_xlfn.PERCENTILE.INC($H$13:$H$5012,J28)</f>
        <v>-0.15733138125179921</v>
      </c>
      <c r="M28" s="265">
        <f ca="1">$N$17*(1-L28)</f>
        <v>1505.4566607323402</v>
      </c>
      <c r="N28" s="265">
        <f ca="1">$N$17-M28</f>
        <v>-204.65666073234024</v>
      </c>
    </row>
    <row r="29" spans="2:14" x14ac:dyDescent="0.3">
      <c r="B29" s="269">
        <v>45078</v>
      </c>
      <c r="C29" s="67">
        <v>1328.02</v>
      </c>
      <c r="D29">
        <f t="shared" si="0"/>
        <v>-0.29360638297872343</v>
      </c>
      <c r="E29" s="270">
        <v>1.3052002044381394E-2</v>
      </c>
      <c r="F29" s="67"/>
      <c r="G29" s="24">
        <v>17</v>
      </c>
      <c r="H29">
        <f t="shared" ca="1" si="1"/>
        <v>-0.14079480073083306</v>
      </c>
      <c r="J29" s="272">
        <v>5.0000000000000001E-3</v>
      </c>
      <c r="K29" s="273">
        <f t="shared" si="2"/>
        <v>0.995</v>
      </c>
      <c r="L29" s="256">
        <f t="shared" ca="1" si="3"/>
        <v>-0.17572909937338424</v>
      </c>
      <c r="M29" s="265">
        <f ca="1">$N$17*(1-L29)</f>
        <v>1529.3884124648982</v>
      </c>
      <c r="N29" s="265">
        <f ca="1">$N$17-M29</f>
        <v>-228.58841246489828</v>
      </c>
    </row>
    <row r="30" spans="2:14" x14ac:dyDescent="0.3">
      <c r="B30" s="269">
        <v>45627</v>
      </c>
      <c r="C30" s="67">
        <v>1880</v>
      </c>
      <c r="D30">
        <f t="shared" si="0"/>
        <v>0.12945473770216043</v>
      </c>
      <c r="E30" s="270">
        <v>1.1922383400166936E-2</v>
      </c>
      <c r="F30" s="67"/>
      <c r="G30" s="24">
        <v>18</v>
      </c>
      <c r="H30">
        <f t="shared" ca="1" si="1"/>
        <v>-4.6275174749150272E-2</v>
      </c>
      <c r="J30" s="274">
        <v>0.1</v>
      </c>
      <c r="K30" s="273">
        <f t="shared" si="2"/>
        <v>0.9</v>
      </c>
      <c r="L30" s="256">
        <f t="shared" ca="1" si="3"/>
        <v>-8.5488792597289531E-2</v>
      </c>
      <c r="M30" s="265">
        <f ca="1">$N$17*(1-L30)</f>
        <v>1412.0038214105543</v>
      </c>
      <c r="N30" s="265">
        <f ca="1">$N$17-M30</f>
        <v>-111.20382141055438</v>
      </c>
    </row>
    <row r="31" spans="2:14" x14ac:dyDescent="0.3">
      <c r="B31" s="269">
        <v>45323</v>
      </c>
      <c r="C31" s="67">
        <v>1664.52</v>
      </c>
      <c r="D31">
        <f t="shared" si="0"/>
        <v>0.16611204909591493</v>
      </c>
      <c r="E31" s="270">
        <v>7.8288195012079509E-3</v>
      </c>
      <c r="F31" s="67"/>
      <c r="G31" s="24">
        <v>19</v>
      </c>
      <c r="H31">
        <f t="shared" ca="1" si="1"/>
        <v>5.8584897500210831E-3</v>
      </c>
    </row>
    <row r="32" spans="2:14" x14ac:dyDescent="0.3">
      <c r="B32" s="269">
        <v>45170</v>
      </c>
      <c r="C32" s="67">
        <v>1427.41</v>
      </c>
      <c r="D32">
        <f t="shared" si="0"/>
        <v>-0.2406585807000744</v>
      </c>
      <c r="E32" s="270">
        <v>0</v>
      </c>
      <c r="F32" s="67"/>
      <c r="G32" s="24">
        <v>20</v>
      </c>
      <c r="H32">
        <f t="shared" ca="1" si="1"/>
        <v>3.6433081774614601E-2</v>
      </c>
    </row>
    <row r="33" spans="2:8" x14ac:dyDescent="0.3">
      <c r="B33" s="269">
        <v>45658</v>
      </c>
      <c r="C33" s="67">
        <v>1879.8</v>
      </c>
      <c r="D33">
        <f t="shared" si="0"/>
        <v>0.33612907811500459</v>
      </c>
      <c r="E33" s="270">
        <v>-1.0638297872345159E-4</v>
      </c>
      <c r="F33" s="67"/>
      <c r="G33" s="24">
        <v>21</v>
      </c>
      <c r="H33">
        <f t="shared" ca="1" si="1"/>
        <v>8.3726285018317234E-2</v>
      </c>
    </row>
    <row r="34" spans="2:8" x14ac:dyDescent="0.3">
      <c r="B34" s="269">
        <v>45413</v>
      </c>
      <c r="C34" s="67">
        <v>1406.9</v>
      </c>
      <c r="D34">
        <f t="shared" si="0"/>
        <v>-2.4205853793868637E-2</v>
      </c>
      <c r="E34" s="270">
        <v>-4.028061928797344E-3</v>
      </c>
      <c r="F34" s="67"/>
      <c r="G34" s="24">
        <v>22</v>
      </c>
      <c r="H34">
        <f t="shared" ca="1" si="1"/>
        <v>-0.12740363235923696</v>
      </c>
    </row>
    <row r="35" spans="2:8" x14ac:dyDescent="0.3">
      <c r="B35" s="269">
        <v>45901</v>
      </c>
      <c r="C35" s="67">
        <v>1441.8</v>
      </c>
      <c r="D35">
        <f t="shared" si="0"/>
        <v>-1.8916712030484506E-2</v>
      </c>
      <c r="E35" s="270">
        <v>-1.8916712030484506E-2</v>
      </c>
      <c r="F35" s="67"/>
      <c r="G35" s="24">
        <v>23</v>
      </c>
      <c r="H35">
        <f t="shared" ca="1" si="1"/>
        <v>4.1183411197045203E-2</v>
      </c>
    </row>
    <row r="36" spans="2:8" x14ac:dyDescent="0.3">
      <c r="B36" s="269">
        <v>45870</v>
      </c>
      <c r="C36" s="67">
        <v>1469.6</v>
      </c>
      <c r="D36">
        <f t="shared" si="0"/>
        <v>-0.21646406483258696</v>
      </c>
      <c r="E36" s="270">
        <v>-2.6110006626905324E-2</v>
      </c>
      <c r="F36" s="67"/>
      <c r="G36" s="24">
        <v>24</v>
      </c>
      <c r="H36">
        <f t="shared" ca="1" si="1"/>
        <v>3.2728204837734073E-2</v>
      </c>
    </row>
    <row r="37" spans="2:8" x14ac:dyDescent="0.3">
      <c r="B37" s="269">
        <v>45536</v>
      </c>
      <c r="C37" s="67">
        <v>1875.6</v>
      </c>
      <c r="D37">
        <f t="shared" si="0"/>
        <v>0.49976011514473062</v>
      </c>
      <c r="E37" s="270">
        <v>-3.5036271029479926E-2</v>
      </c>
      <c r="F37" s="67"/>
      <c r="G37" s="24">
        <v>25</v>
      </c>
      <c r="H37">
        <f t="shared" ca="1" si="1"/>
        <v>6.4124204986084815E-2</v>
      </c>
    </row>
    <row r="38" spans="2:8" x14ac:dyDescent="0.3">
      <c r="B38" s="269">
        <v>46082</v>
      </c>
      <c r="C38" s="67">
        <v>1250.5999999999999</v>
      </c>
      <c r="D38">
        <f t="shared" si="0"/>
        <v>-0.16632224518365446</v>
      </c>
      <c r="E38" s="270">
        <v>-3.8073994308130188E-2</v>
      </c>
      <c r="F38" s="67"/>
      <c r="G38" s="24">
        <v>26</v>
      </c>
      <c r="H38">
        <f t="shared" ca="1" si="1"/>
        <v>-5.7865814017510717E-2</v>
      </c>
    </row>
    <row r="39" spans="2:8" x14ac:dyDescent="0.3">
      <c r="B39" s="269">
        <v>45748</v>
      </c>
      <c r="C39" s="67">
        <v>1500.1</v>
      </c>
      <c r="D39">
        <f t="shared" si="0"/>
        <v>0.10242296414424601</v>
      </c>
      <c r="E39" s="270">
        <v>-4.4917709228663449E-2</v>
      </c>
      <c r="F39" s="67"/>
      <c r="G39" s="24">
        <v>27</v>
      </c>
      <c r="H39">
        <f t="shared" ca="1" si="1"/>
        <v>8.2851496743682446E-2</v>
      </c>
    </row>
    <row r="40" spans="2:8" x14ac:dyDescent="0.3">
      <c r="B40" s="269">
        <v>45200</v>
      </c>
      <c r="C40" s="67">
        <v>1360.73</v>
      </c>
      <c r="D40">
        <f t="shared" si="0"/>
        <v>-3.6712705031183734E-2</v>
      </c>
      <c r="E40" s="270">
        <v>-4.6713978464491657E-2</v>
      </c>
      <c r="F40" s="67"/>
      <c r="G40" s="24">
        <v>28</v>
      </c>
      <c r="H40">
        <f t="shared" ca="1" si="1"/>
        <v>-6.7805795965835705E-2</v>
      </c>
    </row>
    <row r="41" spans="2:8" x14ac:dyDescent="0.3">
      <c r="B41" s="269">
        <v>45383</v>
      </c>
      <c r="C41" s="67">
        <v>1412.59</v>
      </c>
      <c r="D41">
        <f t="shared" si="0"/>
        <v>-6.3889993373094867E-2</v>
      </c>
      <c r="E41" s="270">
        <v>-5.1736637890525516E-2</v>
      </c>
      <c r="F41" s="67"/>
      <c r="G41" s="24">
        <v>29</v>
      </c>
      <c r="H41">
        <f t="shared" ca="1" si="1"/>
        <v>-2.1904124742136623E-2</v>
      </c>
    </row>
    <row r="42" spans="2:8" x14ac:dyDescent="0.3">
      <c r="B42" s="269">
        <v>45839</v>
      </c>
      <c r="C42" s="67">
        <v>1509</v>
      </c>
      <c r="D42">
        <f t="shared" si="0"/>
        <v>-0.14127187366623983</v>
      </c>
      <c r="E42" s="270">
        <v>-5.7934823323760765E-2</v>
      </c>
      <c r="F42" s="67"/>
      <c r="G42" s="24">
        <v>30</v>
      </c>
      <c r="H42">
        <f t="shared" ca="1" si="1"/>
        <v>0.12859801773565879</v>
      </c>
    </row>
    <row r="43" spans="2:8" x14ac:dyDescent="0.3">
      <c r="B43" s="269">
        <v>45566</v>
      </c>
      <c r="C43" s="67">
        <v>1757.25</v>
      </c>
      <c r="D43">
        <f t="shared" si="0"/>
        <v>0.11880431668417524</v>
      </c>
      <c r="E43" s="270">
        <v>-6.3099808061420348E-2</v>
      </c>
      <c r="F43" s="67"/>
      <c r="G43" s="24">
        <v>31</v>
      </c>
      <c r="H43">
        <f t="shared" ca="1" si="1"/>
        <v>-9.4695335821182683E-2</v>
      </c>
    </row>
    <row r="44" spans="2:8" x14ac:dyDescent="0.3">
      <c r="B44" s="269">
        <v>45717</v>
      </c>
      <c r="C44" s="67">
        <v>1570.65</v>
      </c>
      <c r="D44">
        <f t="shared" si="0"/>
        <v>-6.9354743141553543E-2</v>
      </c>
      <c r="E44" s="270">
        <v>-6.9354743141553543E-2</v>
      </c>
      <c r="F44" s="67"/>
      <c r="G44" s="24">
        <v>32</v>
      </c>
      <c r="H44">
        <f t="shared" ca="1" si="1"/>
        <v>-8.8536914727988039E-2</v>
      </c>
    </row>
    <row r="45" spans="2:8" x14ac:dyDescent="0.3">
      <c r="B45" s="269">
        <v>45689</v>
      </c>
      <c r="C45" s="67">
        <v>1687.7</v>
      </c>
      <c r="D45">
        <f t="shared" si="0"/>
        <v>0.13294308768443797</v>
      </c>
      <c r="E45" s="270">
        <v>-0.1021917225236727</v>
      </c>
      <c r="F45" s="67"/>
      <c r="G45" s="24">
        <v>33</v>
      </c>
      <c r="H45">
        <f t="shared" ca="1" si="1"/>
        <v>0.1777613487377547</v>
      </c>
    </row>
    <row r="46" spans="2:8" x14ac:dyDescent="0.3">
      <c r="B46" s="269">
        <v>45352</v>
      </c>
      <c r="C46" s="67">
        <v>1489.66</v>
      </c>
      <c r="D46">
        <f t="shared" si="0"/>
        <v>0.14580416891008396</v>
      </c>
      <c r="E46" s="270">
        <v>-0.1050513060822339</v>
      </c>
      <c r="F46" s="67"/>
      <c r="G46" s="24">
        <v>34</v>
      </c>
      <c r="H46">
        <f t="shared" ca="1" si="1"/>
        <v>4.5497108342031543E-2</v>
      </c>
    </row>
    <row r="47" spans="2:8" x14ac:dyDescent="0.3">
      <c r="B47" s="269">
        <v>46054</v>
      </c>
      <c r="C47" s="67">
        <v>1300.0999999999999</v>
      </c>
      <c r="D47" t="e">
        <f t="shared" si="0"/>
        <v>#DIV/0!</v>
      </c>
      <c r="E47" s="270">
        <v>-0.20773918342474107</v>
      </c>
      <c r="F47" s="67"/>
      <c r="G47" s="24">
        <v>35</v>
      </c>
      <c r="H47">
        <f t="shared" ca="1" si="1"/>
        <v>8.2940731104980528E-2</v>
      </c>
    </row>
    <row r="48" spans="2:8" x14ac:dyDescent="0.3">
      <c r="G48" s="24">
        <v>36</v>
      </c>
      <c r="H48">
        <f t="shared" ca="1" si="1"/>
        <v>-5.9682517129564412E-3</v>
      </c>
    </row>
    <row r="49" spans="7:8" x14ac:dyDescent="0.3">
      <c r="G49" s="24">
        <v>37</v>
      </c>
      <c r="H49">
        <f t="shared" ca="1" si="1"/>
        <v>0.11828314913793536</v>
      </c>
    </row>
    <row r="50" spans="7:8" x14ac:dyDescent="0.3">
      <c r="G50" s="24">
        <v>38</v>
      </c>
      <c r="H50">
        <f t="shared" ca="1" si="1"/>
        <v>-7.1006974260417272E-2</v>
      </c>
    </row>
    <row r="51" spans="7:8" x14ac:dyDescent="0.3">
      <c r="G51" s="24">
        <v>39</v>
      </c>
      <c r="H51">
        <f t="shared" ca="1" si="1"/>
        <v>-0.11711573314641696</v>
      </c>
    </row>
    <row r="52" spans="7:8" x14ac:dyDescent="0.3">
      <c r="G52" s="24">
        <v>40</v>
      </c>
      <c r="H52">
        <f t="shared" ca="1" si="1"/>
        <v>6.0990244200354336E-2</v>
      </c>
    </row>
    <row r="53" spans="7:8" x14ac:dyDescent="0.3">
      <c r="G53" s="24">
        <v>41</v>
      </c>
      <c r="H53">
        <f t="shared" ca="1" si="1"/>
        <v>-9.9987609764905908E-2</v>
      </c>
    </row>
    <row r="54" spans="7:8" x14ac:dyDescent="0.3">
      <c r="G54" s="24">
        <v>42</v>
      </c>
      <c r="H54">
        <f t="shared" ca="1" si="1"/>
        <v>6.6477313894327664E-2</v>
      </c>
    </row>
    <row r="55" spans="7:8" x14ac:dyDescent="0.3">
      <c r="G55" s="24">
        <v>43</v>
      </c>
      <c r="H55">
        <f t="shared" ca="1" si="1"/>
        <v>-3.7770756105280656E-3</v>
      </c>
    </row>
    <row r="56" spans="7:8" x14ac:dyDescent="0.3">
      <c r="G56" s="24">
        <v>44</v>
      </c>
      <c r="H56">
        <f t="shared" ca="1" si="1"/>
        <v>8.9712193937237589E-2</v>
      </c>
    </row>
    <row r="57" spans="7:8" x14ac:dyDescent="0.3">
      <c r="G57" s="24">
        <v>45</v>
      </c>
      <c r="H57">
        <f t="shared" ca="1" si="1"/>
        <v>-4.9588681594804347E-2</v>
      </c>
    </row>
    <row r="58" spans="7:8" x14ac:dyDescent="0.3">
      <c r="G58" s="24">
        <v>46</v>
      </c>
      <c r="H58">
        <f t="shared" ca="1" si="1"/>
        <v>-6.0006751158265134E-2</v>
      </c>
    </row>
    <row r="59" spans="7:8" x14ac:dyDescent="0.3">
      <c r="G59" s="24">
        <v>47</v>
      </c>
      <c r="H59">
        <f t="shared" ca="1" si="1"/>
        <v>4.499802862828E-2</v>
      </c>
    </row>
    <row r="60" spans="7:8" x14ac:dyDescent="0.3">
      <c r="G60" s="24">
        <v>48</v>
      </c>
      <c r="H60">
        <f t="shared" ca="1" si="1"/>
        <v>1.9992032996236399E-2</v>
      </c>
    </row>
    <row r="61" spans="7:8" x14ac:dyDescent="0.3">
      <c r="G61" s="24">
        <v>49</v>
      </c>
      <c r="H61">
        <f t="shared" ca="1" si="1"/>
        <v>6.316849667536277E-2</v>
      </c>
    </row>
    <row r="62" spans="7:8" x14ac:dyDescent="0.3">
      <c r="G62" s="24">
        <v>50</v>
      </c>
      <c r="H62">
        <f t="shared" ca="1" si="1"/>
        <v>5.5059668211512869E-2</v>
      </c>
    </row>
    <row r="63" spans="7:8" x14ac:dyDescent="0.3">
      <c r="G63" s="24">
        <v>51</v>
      </c>
      <c r="H63">
        <f t="shared" ca="1" si="1"/>
        <v>-6.4073620936475149E-3</v>
      </c>
    </row>
    <row r="64" spans="7:8" x14ac:dyDescent="0.3">
      <c r="G64" s="24">
        <v>52</v>
      </c>
      <c r="H64">
        <f t="shared" ca="1" si="1"/>
        <v>8.5372714365805642E-3</v>
      </c>
    </row>
    <row r="65" spans="7:8" x14ac:dyDescent="0.3">
      <c r="G65" s="24">
        <v>53</v>
      </c>
      <c r="H65">
        <f t="shared" ca="1" si="1"/>
        <v>-1.5205940847363257E-2</v>
      </c>
    </row>
    <row r="66" spans="7:8" x14ac:dyDescent="0.3">
      <c r="G66" s="24">
        <v>54</v>
      </c>
      <c r="H66">
        <f t="shared" ca="1" si="1"/>
        <v>-6.0603835620563491E-2</v>
      </c>
    </row>
    <row r="67" spans="7:8" x14ac:dyDescent="0.3">
      <c r="G67" s="24">
        <v>55</v>
      </c>
      <c r="H67">
        <f t="shared" ca="1" si="1"/>
        <v>-1.9735121857825458E-2</v>
      </c>
    </row>
    <row r="68" spans="7:8" x14ac:dyDescent="0.3">
      <c r="G68" s="24">
        <v>56</v>
      </c>
      <c r="H68">
        <f t="shared" ca="1" si="1"/>
        <v>2.4786578535180341E-2</v>
      </c>
    </row>
    <row r="69" spans="7:8" x14ac:dyDescent="0.3">
      <c r="G69" s="24">
        <v>57</v>
      </c>
      <c r="H69">
        <f t="shared" ca="1" si="1"/>
        <v>-5.1743625278840077E-2</v>
      </c>
    </row>
    <row r="70" spans="7:8" x14ac:dyDescent="0.3">
      <c r="G70" s="24">
        <v>58</v>
      </c>
      <c r="H70">
        <f t="shared" ca="1" si="1"/>
        <v>-4.627351273004681E-2</v>
      </c>
    </row>
    <row r="71" spans="7:8" x14ac:dyDescent="0.3">
      <c r="G71" s="24">
        <v>59</v>
      </c>
      <c r="H71">
        <f t="shared" ca="1" si="1"/>
        <v>-0.11206367303921337</v>
      </c>
    </row>
    <row r="72" spans="7:8" x14ac:dyDescent="0.3">
      <c r="G72" s="24">
        <v>60</v>
      </c>
      <c r="H72">
        <f t="shared" ca="1" si="1"/>
        <v>5.5380701944114992E-2</v>
      </c>
    </row>
    <row r="73" spans="7:8" x14ac:dyDescent="0.3">
      <c r="G73" s="24">
        <v>61</v>
      </c>
      <c r="H73">
        <f t="shared" ca="1" si="1"/>
        <v>-9.9118571472761985E-2</v>
      </c>
    </row>
    <row r="74" spans="7:8" x14ac:dyDescent="0.3">
      <c r="G74" s="24">
        <v>62</v>
      </c>
      <c r="H74">
        <f t="shared" ca="1" si="1"/>
        <v>2.9738253833855793E-2</v>
      </c>
    </row>
    <row r="75" spans="7:8" x14ac:dyDescent="0.3">
      <c r="G75" s="24">
        <v>63</v>
      </c>
      <c r="H75">
        <f t="shared" ca="1" si="1"/>
        <v>4.2181627848774758E-2</v>
      </c>
    </row>
    <row r="76" spans="7:8" x14ac:dyDescent="0.3">
      <c r="G76" s="24">
        <v>64</v>
      </c>
      <c r="H76">
        <f t="shared" ca="1" si="1"/>
        <v>-3.5596967339930796E-3</v>
      </c>
    </row>
    <row r="77" spans="7:8" x14ac:dyDescent="0.3">
      <c r="G77" s="24">
        <v>65</v>
      </c>
      <c r="H77">
        <f t="shared" ca="1" si="1"/>
        <v>8.1339100395281541E-2</v>
      </c>
    </row>
    <row r="78" spans="7:8" x14ac:dyDescent="0.3">
      <c r="G78" s="24">
        <v>66</v>
      </c>
      <c r="H78">
        <f t="shared" ref="H78:H141" ca="1" si="4">_xlfn.NORM.INV(RAND(),N$13,N$14)</f>
        <v>-2.3495311087977605E-3</v>
      </c>
    </row>
    <row r="79" spans="7:8" x14ac:dyDescent="0.3">
      <c r="G79" s="24">
        <v>67</v>
      </c>
      <c r="H79">
        <f t="shared" ca="1" si="4"/>
        <v>-6.6891719313028994E-2</v>
      </c>
    </row>
    <row r="80" spans="7:8" x14ac:dyDescent="0.3">
      <c r="G80" s="24">
        <v>68</v>
      </c>
      <c r="H80">
        <f t="shared" ca="1" si="4"/>
        <v>3.1237552851031122E-2</v>
      </c>
    </row>
    <row r="81" spans="7:8" x14ac:dyDescent="0.3">
      <c r="G81" s="24">
        <v>69</v>
      </c>
      <c r="H81">
        <f t="shared" ca="1" si="4"/>
        <v>2.8034900292480758E-3</v>
      </c>
    </row>
    <row r="82" spans="7:8" x14ac:dyDescent="0.3">
      <c r="G82" s="24">
        <v>70</v>
      </c>
      <c r="H82">
        <f t="shared" ca="1" si="4"/>
        <v>0.14118692537136332</v>
      </c>
    </row>
    <row r="83" spans="7:8" x14ac:dyDescent="0.3">
      <c r="G83" s="24">
        <v>71</v>
      </c>
      <c r="H83">
        <f t="shared" ca="1" si="4"/>
        <v>-2.794212803255846E-2</v>
      </c>
    </row>
    <row r="84" spans="7:8" x14ac:dyDescent="0.3">
      <c r="G84" s="24">
        <v>72</v>
      </c>
      <c r="H84">
        <f t="shared" ca="1" si="4"/>
        <v>4.3982730508513368E-2</v>
      </c>
    </row>
    <row r="85" spans="7:8" x14ac:dyDescent="0.3">
      <c r="G85" s="24">
        <v>73</v>
      </c>
      <c r="H85">
        <f t="shared" ca="1" si="4"/>
        <v>6.7132443527038966E-4</v>
      </c>
    </row>
    <row r="86" spans="7:8" x14ac:dyDescent="0.3">
      <c r="G86" s="24">
        <v>74</v>
      </c>
      <c r="H86">
        <f t="shared" ca="1" si="4"/>
        <v>-8.175529849311608E-2</v>
      </c>
    </row>
    <row r="87" spans="7:8" x14ac:dyDescent="0.3">
      <c r="G87" s="24">
        <v>75</v>
      </c>
      <c r="H87">
        <f t="shared" ca="1" si="4"/>
        <v>-6.8524088862516125E-2</v>
      </c>
    </row>
    <row r="88" spans="7:8" x14ac:dyDescent="0.3">
      <c r="G88" s="24">
        <v>76</v>
      </c>
      <c r="H88">
        <f t="shared" ca="1" si="4"/>
        <v>5.0556264867567542E-2</v>
      </c>
    </row>
    <row r="89" spans="7:8" x14ac:dyDescent="0.3">
      <c r="G89" s="24">
        <v>77</v>
      </c>
      <c r="H89">
        <f t="shared" ca="1" si="4"/>
        <v>0.11549229467116097</v>
      </c>
    </row>
    <row r="90" spans="7:8" x14ac:dyDescent="0.3">
      <c r="G90" s="24">
        <v>78</v>
      </c>
      <c r="H90">
        <f t="shared" ca="1" si="4"/>
        <v>8.4013812102606403E-2</v>
      </c>
    </row>
    <row r="91" spans="7:8" x14ac:dyDescent="0.3">
      <c r="G91" s="24">
        <v>79</v>
      </c>
      <c r="H91">
        <f t="shared" ca="1" si="4"/>
        <v>6.1425069967410068E-2</v>
      </c>
    </row>
    <row r="92" spans="7:8" x14ac:dyDescent="0.3">
      <c r="G92" s="24">
        <v>80</v>
      </c>
      <c r="H92">
        <f t="shared" ca="1" si="4"/>
        <v>5.2761740090807162E-2</v>
      </c>
    </row>
    <row r="93" spans="7:8" x14ac:dyDescent="0.3">
      <c r="G93" s="24">
        <v>81</v>
      </c>
      <c r="H93">
        <f t="shared" ca="1" si="4"/>
        <v>1.5416251240883546E-2</v>
      </c>
    </row>
    <row r="94" spans="7:8" x14ac:dyDescent="0.3">
      <c r="G94" s="24">
        <v>82</v>
      </c>
      <c r="H94">
        <f t="shared" ca="1" si="4"/>
        <v>9.9075930840599513E-2</v>
      </c>
    </row>
    <row r="95" spans="7:8" x14ac:dyDescent="0.3">
      <c r="G95" s="24">
        <v>83</v>
      </c>
      <c r="H95">
        <f t="shared" ca="1" si="4"/>
        <v>2.5144641828276658E-2</v>
      </c>
    </row>
    <row r="96" spans="7:8" x14ac:dyDescent="0.3">
      <c r="G96" s="24">
        <v>84</v>
      </c>
      <c r="H96">
        <f t="shared" ca="1" si="4"/>
        <v>8.4518824477495622E-3</v>
      </c>
    </row>
    <row r="97" spans="7:8" x14ac:dyDescent="0.3">
      <c r="G97" s="24">
        <v>85</v>
      </c>
      <c r="H97">
        <f t="shared" ca="1" si="4"/>
        <v>-6.3197776670285269E-2</v>
      </c>
    </row>
    <row r="98" spans="7:8" x14ac:dyDescent="0.3">
      <c r="G98" s="24">
        <v>86</v>
      </c>
      <c r="H98">
        <f t="shared" ca="1" si="4"/>
        <v>3.3816418857320001E-2</v>
      </c>
    </row>
    <row r="99" spans="7:8" x14ac:dyDescent="0.3">
      <c r="G99" s="24">
        <v>87</v>
      </c>
      <c r="H99">
        <f t="shared" ca="1" si="4"/>
        <v>2.4051742577365233E-2</v>
      </c>
    </row>
    <row r="100" spans="7:8" x14ac:dyDescent="0.3">
      <c r="G100" s="24">
        <v>88</v>
      </c>
      <c r="H100">
        <f t="shared" ca="1" si="4"/>
        <v>5.2804608807531447E-2</v>
      </c>
    </row>
    <row r="101" spans="7:8" x14ac:dyDescent="0.3">
      <c r="G101" s="24">
        <v>89</v>
      </c>
      <c r="H101">
        <f t="shared" ca="1" si="4"/>
        <v>6.3533778357151169E-2</v>
      </c>
    </row>
    <row r="102" spans="7:8" x14ac:dyDescent="0.3">
      <c r="G102" s="24">
        <v>90</v>
      </c>
      <c r="H102">
        <f t="shared" ca="1" si="4"/>
        <v>5.4570660812283266E-4</v>
      </c>
    </row>
    <row r="103" spans="7:8" x14ac:dyDescent="0.3">
      <c r="G103" s="24">
        <v>91</v>
      </c>
      <c r="H103">
        <f t="shared" ca="1" si="4"/>
        <v>-1.9164684787789703E-2</v>
      </c>
    </row>
    <row r="104" spans="7:8" x14ac:dyDescent="0.3">
      <c r="G104" s="24">
        <v>92</v>
      </c>
      <c r="H104">
        <f t="shared" ca="1" si="4"/>
        <v>-3.4793038687499313E-2</v>
      </c>
    </row>
    <row r="105" spans="7:8" x14ac:dyDescent="0.3">
      <c r="G105" s="24">
        <v>93</v>
      </c>
      <c r="H105">
        <f t="shared" ca="1" si="4"/>
        <v>-1.0253102541656891E-2</v>
      </c>
    </row>
    <row r="106" spans="7:8" x14ac:dyDescent="0.3">
      <c r="G106" s="24">
        <v>94</v>
      </c>
      <c r="H106">
        <f t="shared" ca="1" si="4"/>
        <v>6.7654747465086592E-3</v>
      </c>
    </row>
    <row r="107" spans="7:8" x14ac:dyDescent="0.3">
      <c r="G107" s="24">
        <v>95</v>
      </c>
      <c r="H107">
        <f t="shared" ca="1" si="4"/>
        <v>-6.2590039704574704E-2</v>
      </c>
    </row>
    <row r="108" spans="7:8" x14ac:dyDescent="0.3">
      <c r="G108" s="24">
        <v>96</v>
      </c>
      <c r="H108">
        <f t="shared" ca="1" si="4"/>
        <v>2.2684870793212828E-2</v>
      </c>
    </row>
    <row r="109" spans="7:8" x14ac:dyDescent="0.3">
      <c r="G109" s="24">
        <v>97</v>
      </c>
      <c r="H109">
        <f t="shared" ca="1" si="4"/>
        <v>-5.1911382681754513E-2</v>
      </c>
    </row>
    <row r="110" spans="7:8" x14ac:dyDescent="0.3">
      <c r="G110" s="24">
        <v>98</v>
      </c>
      <c r="H110">
        <f t="shared" ca="1" si="4"/>
        <v>6.913282495985687E-2</v>
      </c>
    </row>
    <row r="111" spans="7:8" x14ac:dyDescent="0.3">
      <c r="G111" s="24">
        <v>99</v>
      </c>
      <c r="H111">
        <f t="shared" ca="1" si="4"/>
        <v>-2.5951618095047931E-2</v>
      </c>
    </row>
    <row r="112" spans="7:8" x14ac:dyDescent="0.3">
      <c r="G112" s="24">
        <v>100</v>
      </c>
      <c r="H112">
        <f t="shared" ca="1" si="4"/>
        <v>2.1928768804263771E-2</v>
      </c>
    </row>
    <row r="113" spans="7:8" x14ac:dyDescent="0.3">
      <c r="G113" s="24">
        <v>101</v>
      </c>
      <c r="H113">
        <f t="shared" ca="1" si="4"/>
        <v>-6.1194952842737162E-2</v>
      </c>
    </row>
    <row r="114" spans="7:8" x14ac:dyDescent="0.3">
      <c r="G114" s="24">
        <v>102</v>
      </c>
      <c r="H114">
        <f t="shared" ca="1" si="4"/>
        <v>7.1290456984979215E-3</v>
      </c>
    </row>
    <row r="115" spans="7:8" x14ac:dyDescent="0.3">
      <c r="G115" s="24">
        <v>103</v>
      </c>
      <c r="H115">
        <f t="shared" ca="1" si="4"/>
        <v>1.8193780003548717E-2</v>
      </c>
    </row>
    <row r="116" spans="7:8" x14ac:dyDescent="0.3">
      <c r="G116" s="24">
        <v>104</v>
      </c>
      <c r="H116">
        <f t="shared" ca="1" si="4"/>
        <v>1.3658740826563659E-2</v>
      </c>
    </row>
    <row r="117" spans="7:8" x14ac:dyDescent="0.3">
      <c r="G117" s="24">
        <v>105</v>
      </c>
      <c r="H117">
        <f t="shared" ca="1" si="4"/>
        <v>-7.2937163969094887E-2</v>
      </c>
    </row>
    <row r="118" spans="7:8" x14ac:dyDescent="0.3">
      <c r="G118" s="24">
        <v>106</v>
      </c>
      <c r="H118">
        <f t="shared" ca="1" si="4"/>
        <v>-3.1498520167675841E-2</v>
      </c>
    </row>
    <row r="119" spans="7:8" x14ac:dyDescent="0.3">
      <c r="G119" s="24">
        <v>107</v>
      </c>
      <c r="H119">
        <f t="shared" ca="1" si="4"/>
        <v>3.4795855781653111E-2</v>
      </c>
    </row>
    <row r="120" spans="7:8" x14ac:dyDescent="0.3">
      <c r="G120" s="24">
        <v>108</v>
      </c>
      <c r="H120">
        <f t="shared" ca="1" si="4"/>
        <v>-7.633919034249325E-3</v>
      </c>
    </row>
    <row r="121" spans="7:8" x14ac:dyDescent="0.3">
      <c r="G121" s="24">
        <v>109</v>
      </c>
      <c r="H121">
        <f t="shared" ca="1" si="4"/>
        <v>-0.19469871749983075</v>
      </c>
    </row>
    <row r="122" spans="7:8" x14ac:dyDescent="0.3">
      <c r="G122" s="24">
        <v>110</v>
      </c>
      <c r="H122">
        <f t="shared" ca="1" si="4"/>
        <v>8.7048531749327251E-2</v>
      </c>
    </row>
    <row r="123" spans="7:8" x14ac:dyDescent="0.3">
      <c r="G123" s="24">
        <v>111</v>
      </c>
      <c r="H123">
        <f t="shared" ca="1" si="4"/>
        <v>-7.6080039625841145E-2</v>
      </c>
    </row>
    <row r="124" spans="7:8" x14ac:dyDescent="0.3">
      <c r="G124" s="24">
        <v>112</v>
      </c>
      <c r="H124">
        <f t="shared" ca="1" si="4"/>
        <v>1.3651666221579258E-3</v>
      </c>
    </row>
    <row r="125" spans="7:8" x14ac:dyDescent="0.3">
      <c r="G125" s="24">
        <v>113</v>
      </c>
      <c r="H125">
        <f t="shared" ca="1" si="4"/>
        <v>0.1331598786843331</v>
      </c>
    </row>
    <row r="126" spans="7:8" x14ac:dyDescent="0.3">
      <c r="G126" s="24">
        <v>114</v>
      </c>
      <c r="H126">
        <f t="shared" ca="1" si="4"/>
        <v>3.2735174661650067E-2</v>
      </c>
    </row>
    <row r="127" spans="7:8" x14ac:dyDescent="0.3">
      <c r="G127" s="24">
        <v>115</v>
      </c>
      <c r="H127">
        <f t="shared" ca="1" si="4"/>
        <v>8.9653125585237733E-2</v>
      </c>
    </row>
    <row r="128" spans="7:8" x14ac:dyDescent="0.3">
      <c r="G128" s="24">
        <v>116</v>
      </c>
      <c r="H128">
        <f t="shared" ca="1" si="4"/>
        <v>7.879144175855278E-2</v>
      </c>
    </row>
    <row r="129" spans="7:8" x14ac:dyDescent="0.3">
      <c r="G129" s="24">
        <v>117</v>
      </c>
      <c r="H129">
        <f t="shared" ca="1" si="4"/>
        <v>0.17103210362421947</v>
      </c>
    </row>
    <row r="130" spans="7:8" x14ac:dyDescent="0.3">
      <c r="G130" s="24">
        <v>118</v>
      </c>
      <c r="H130">
        <f t="shared" ca="1" si="4"/>
        <v>4.7277117672974163E-2</v>
      </c>
    </row>
    <row r="131" spans="7:8" x14ac:dyDescent="0.3">
      <c r="G131" s="24">
        <v>119</v>
      </c>
      <c r="H131">
        <f t="shared" ca="1" si="4"/>
        <v>9.7940512503390767E-2</v>
      </c>
    </row>
    <row r="132" spans="7:8" x14ac:dyDescent="0.3">
      <c r="G132" s="24">
        <v>120</v>
      </c>
      <c r="H132">
        <f t="shared" ca="1" si="4"/>
        <v>0.12878165253315579</v>
      </c>
    </row>
    <row r="133" spans="7:8" x14ac:dyDescent="0.3">
      <c r="G133" s="24">
        <v>121</v>
      </c>
      <c r="H133">
        <f t="shared" ca="1" si="4"/>
        <v>7.9627595351195402E-2</v>
      </c>
    </row>
    <row r="134" spans="7:8" x14ac:dyDescent="0.3">
      <c r="G134" s="24">
        <v>122</v>
      </c>
      <c r="H134">
        <f t="shared" ca="1" si="4"/>
        <v>0.12298125025871209</v>
      </c>
    </row>
    <row r="135" spans="7:8" x14ac:dyDescent="0.3">
      <c r="G135" s="24">
        <v>123</v>
      </c>
      <c r="H135">
        <f t="shared" ca="1" si="4"/>
        <v>-1.5376332394053699E-2</v>
      </c>
    </row>
    <row r="136" spans="7:8" x14ac:dyDescent="0.3">
      <c r="G136" s="24">
        <v>124</v>
      </c>
      <c r="H136">
        <f t="shared" ca="1" si="4"/>
        <v>-3.3386805560395846E-2</v>
      </c>
    </row>
    <row r="137" spans="7:8" x14ac:dyDescent="0.3">
      <c r="G137" s="24">
        <v>125</v>
      </c>
      <c r="H137">
        <f t="shared" ca="1" si="4"/>
        <v>-8.2035252159156136E-2</v>
      </c>
    </row>
    <row r="138" spans="7:8" x14ac:dyDescent="0.3">
      <c r="G138" s="24">
        <v>126</v>
      </c>
      <c r="H138">
        <f t="shared" ca="1" si="4"/>
        <v>1.4601344579768806E-2</v>
      </c>
    </row>
    <row r="139" spans="7:8" x14ac:dyDescent="0.3">
      <c r="G139" s="24">
        <v>127</v>
      </c>
      <c r="H139">
        <f t="shared" ca="1" si="4"/>
        <v>3.4766654568625294E-2</v>
      </c>
    </row>
    <row r="140" spans="7:8" x14ac:dyDescent="0.3">
      <c r="G140" s="24">
        <v>128</v>
      </c>
      <c r="H140">
        <f t="shared" ca="1" si="4"/>
        <v>-6.965291560605899E-2</v>
      </c>
    </row>
    <row r="141" spans="7:8" x14ac:dyDescent="0.3">
      <c r="G141" s="24">
        <v>129</v>
      </c>
      <c r="H141">
        <f t="shared" ca="1" si="4"/>
        <v>-1.8383623734104366E-2</v>
      </c>
    </row>
    <row r="142" spans="7:8" x14ac:dyDescent="0.3">
      <c r="G142" s="24">
        <v>130</v>
      </c>
      <c r="H142">
        <f t="shared" ref="H142:H205" ca="1" si="5">_xlfn.NORM.INV(RAND(),N$13,N$14)</f>
        <v>-3.403401511373437E-2</v>
      </c>
    </row>
    <row r="143" spans="7:8" x14ac:dyDescent="0.3">
      <c r="G143" s="24">
        <v>131</v>
      </c>
      <c r="H143">
        <f t="shared" ca="1" si="5"/>
        <v>7.2505729526053039E-2</v>
      </c>
    </row>
    <row r="144" spans="7:8" x14ac:dyDescent="0.3">
      <c r="G144" s="24">
        <v>132</v>
      </c>
      <c r="H144">
        <f t="shared" ca="1" si="5"/>
        <v>6.9901019003938327E-3</v>
      </c>
    </row>
    <row r="145" spans="7:8" x14ac:dyDescent="0.3">
      <c r="G145" s="24">
        <v>133</v>
      </c>
      <c r="H145">
        <f t="shared" ca="1" si="5"/>
        <v>-0.11017810313019527</v>
      </c>
    </row>
    <row r="146" spans="7:8" x14ac:dyDescent="0.3">
      <c r="G146" s="24">
        <v>134</v>
      </c>
      <c r="H146">
        <f t="shared" ca="1" si="5"/>
        <v>1.2854089433197666E-2</v>
      </c>
    </row>
    <row r="147" spans="7:8" x14ac:dyDescent="0.3">
      <c r="G147" s="24">
        <v>135</v>
      </c>
      <c r="H147">
        <f t="shared" ca="1" si="5"/>
        <v>-7.4678043408682018E-2</v>
      </c>
    </row>
    <row r="148" spans="7:8" x14ac:dyDescent="0.3">
      <c r="G148" s="24">
        <v>136</v>
      </c>
      <c r="H148">
        <f t="shared" ca="1" si="5"/>
        <v>8.7819726239700024E-2</v>
      </c>
    </row>
    <row r="149" spans="7:8" x14ac:dyDescent="0.3">
      <c r="G149" s="24">
        <v>137</v>
      </c>
      <c r="H149">
        <f t="shared" ca="1" si="5"/>
        <v>6.3184657741840219E-2</v>
      </c>
    </row>
    <row r="150" spans="7:8" x14ac:dyDescent="0.3">
      <c r="G150" s="24">
        <v>138</v>
      </c>
      <c r="H150">
        <f t="shared" ca="1" si="5"/>
        <v>1.4590207005541136E-2</v>
      </c>
    </row>
    <row r="151" spans="7:8" x14ac:dyDescent="0.3">
      <c r="G151" s="24">
        <v>139</v>
      </c>
      <c r="H151">
        <f t="shared" ca="1" si="5"/>
        <v>-3.835188526659998E-3</v>
      </c>
    </row>
    <row r="152" spans="7:8" x14ac:dyDescent="0.3">
      <c r="G152" s="24">
        <v>140</v>
      </c>
      <c r="H152">
        <f t="shared" ca="1" si="5"/>
        <v>5.5293019202035422E-2</v>
      </c>
    </row>
    <row r="153" spans="7:8" x14ac:dyDescent="0.3">
      <c r="G153" s="24">
        <v>141</v>
      </c>
      <c r="H153">
        <f t="shared" ca="1" si="5"/>
        <v>5.901960508410406E-2</v>
      </c>
    </row>
    <row r="154" spans="7:8" x14ac:dyDescent="0.3">
      <c r="G154" s="24">
        <v>142</v>
      </c>
      <c r="H154">
        <f t="shared" ca="1" si="5"/>
        <v>5.5826616292416628E-2</v>
      </c>
    </row>
    <row r="155" spans="7:8" x14ac:dyDescent="0.3">
      <c r="G155" s="24">
        <v>143</v>
      </c>
      <c r="H155">
        <f t="shared" ca="1" si="5"/>
        <v>-8.537667808034502E-2</v>
      </c>
    </row>
    <row r="156" spans="7:8" x14ac:dyDescent="0.3">
      <c r="G156" s="24">
        <v>144</v>
      </c>
      <c r="H156">
        <f t="shared" ca="1" si="5"/>
        <v>-3.1107734672483251E-2</v>
      </c>
    </row>
    <row r="157" spans="7:8" x14ac:dyDescent="0.3">
      <c r="G157" s="24">
        <v>145</v>
      </c>
      <c r="H157">
        <f t="shared" ca="1" si="5"/>
        <v>1.2989009636194463E-2</v>
      </c>
    </row>
    <row r="158" spans="7:8" x14ac:dyDescent="0.3">
      <c r="G158" s="24">
        <v>146</v>
      </c>
      <c r="H158">
        <f t="shared" ca="1" si="5"/>
        <v>-4.7201628404174162E-2</v>
      </c>
    </row>
    <row r="159" spans="7:8" x14ac:dyDescent="0.3">
      <c r="G159" s="24">
        <v>147</v>
      </c>
      <c r="H159">
        <f t="shared" ca="1" si="5"/>
        <v>-9.1735945244032557E-2</v>
      </c>
    </row>
    <row r="160" spans="7:8" x14ac:dyDescent="0.3">
      <c r="G160" s="24">
        <v>148</v>
      </c>
      <c r="H160">
        <f t="shared" ca="1" si="5"/>
        <v>-3.4721020554596096E-2</v>
      </c>
    </row>
    <row r="161" spans="7:8" x14ac:dyDescent="0.3">
      <c r="G161" s="24">
        <v>149</v>
      </c>
      <c r="H161">
        <f t="shared" ca="1" si="5"/>
        <v>1.8014952206281434E-2</v>
      </c>
    </row>
    <row r="162" spans="7:8" x14ac:dyDescent="0.3">
      <c r="G162" s="24">
        <v>150</v>
      </c>
      <c r="H162">
        <f t="shared" ca="1" si="5"/>
        <v>7.4939615675940624E-2</v>
      </c>
    </row>
    <row r="163" spans="7:8" x14ac:dyDescent="0.3">
      <c r="G163" s="24">
        <v>151</v>
      </c>
      <c r="H163">
        <f t="shared" ca="1" si="5"/>
        <v>8.092776589142156E-2</v>
      </c>
    </row>
    <row r="164" spans="7:8" x14ac:dyDescent="0.3">
      <c r="G164" s="24">
        <v>152</v>
      </c>
      <c r="H164">
        <f t="shared" ca="1" si="5"/>
        <v>-3.2151003010747324E-2</v>
      </c>
    </row>
    <row r="165" spans="7:8" x14ac:dyDescent="0.3">
      <c r="G165" s="24">
        <v>153</v>
      </c>
      <c r="H165">
        <f t="shared" ca="1" si="5"/>
        <v>-4.3890722335174395E-2</v>
      </c>
    </row>
    <row r="166" spans="7:8" x14ac:dyDescent="0.3">
      <c r="G166" s="24">
        <v>154</v>
      </c>
      <c r="H166">
        <f t="shared" ca="1" si="5"/>
        <v>-0.18698717383412475</v>
      </c>
    </row>
    <row r="167" spans="7:8" x14ac:dyDescent="0.3">
      <c r="G167" s="24">
        <v>155</v>
      </c>
      <c r="H167">
        <f t="shared" ca="1" si="5"/>
        <v>4.236885312427973E-2</v>
      </c>
    </row>
    <row r="168" spans="7:8" x14ac:dyDescent="0.3">
      <c r="G168" s="24">
        <v>156</v>
      </c>
      <c r="H168">
        <f t="shared" ca="1" si="5"/>
        <v>-6.2426116317667736E-2</v>
      </c>
    </row>
    <row r="169" spans="7:8" x14ac:dyDescent="0.3">
      <c r="G169" s="24">
        <v>157</v>
      </c>
      <c r="H169">
        <f t="shared" ca="1" si="5"/>
        <v>-1.2757265226580062E-2</v>
      </c>
    </row>
    <row r="170" spans="7:8" x14ac:dyDescent="0.3">
      <c r="G170" s="24">
        <v>158</v>
      </c>
      <c r="H170">
        <f t="shared" ca="1" si="5"/>
        <v>-1.7353081046471555E-2</v>
      </c>
    </row>
    <row r="171" spans="7:8" x14ac:dyDescent="0.3">
      <c r="G171" s="24">
        <v>159</v>
      </c>
      <c r="H171">
        <f t="shared" ca="1" si="5"/>
        <v>1.8316600156469163E-2</v>
      </c>
    </row>
    <row r="172" spans="7:8" x14ac:dyDescent="0.3">
      <c r="G172" s="24">
        <v>160</v>
      </c>
      <c r="H172">
        <f t="shared" ca="1" si="5"/>
        <v>0.24065287049341427</v>
      </c>
    </row>
    <row r="173" spans="7:8" x14ac:dyDescent="0.3">
      <c r="G173" s="24">
        <v>161</v>
      </c>
      <c r="H173">
        <f t="shared" ca="1" si="5"/>
        <v>-3.0175731077868831E-3</v>
      </c>
    </row>
    <row r="174" spans="7:8" x14ac:dyDescent="0.3">
      <c r="G174" s="24">
        <v>162</v>
      </c>
      <c r="H174">
        <f t="shared" ca="1" si="5"/>
        <v>-0.10361358483820073</v>
      </c>
    </row>
    <row r="175" spans="7:8" x14ac:dyDescent="0.3">
      <c r="G175" s="24">
        <v>163</v>
      </c>
      <c r="H175">
        <f t="shared" ca="1" si="5"/>
        <v>-9.8789006048727313E-3</v>
      </c>
    </row>
    <row r="176" spans="7:8" x14ac:dyDescent="0.3">
      <c r="G176" s="24">
        <v>164</v>
      </c>
      <c r="H176">
        <f t="shared" ca="1" si="5"/>
        <v>-1.0684569531848015E-2</v>
      </c>
    </row>
    <row r="177" spans="7:8" x14ac:dyDescent="0.3">
      <c r="G177" s="24">
        <v>165</v>
      </c>
      <c r="H177">
        <f t="shared" ca="1" si="5"/>
        <v>-5.2087357995249245E-2</v>
      </c>
    </row>
    <row r="178" spans="7:8" x14ac:dyDescent="0.3">
      <c r="G178" s="24">
        <v>166</v>
      </c>
      <c r="H178">
        <f t="shared" ca="1" si="5"/>
        <v>-3.4150915502125012E-2</v>
      </c>
    </row>
    <row r="179" spans="7:8" x14ac:dyDescent="0.3">
      <c r="G179" s="24">
        <v>167</v>
      </c>
      <c r="H179">
        <f t="shared" ca="1" si="5"/>
        <v>4.0520239591678574E-2</v>
      </c>
    </row>
    <row r="180" spans="7:8" x14ac:dyDescent="0.3">
      <c r="G180" s="24">
        <v>168</v>
      </c>
      <c r="H180">
        <f t="shared" ca="1" si="5"/>
        <v>2.9672932664344228E-2</v>
      </c>
    </row>
    <row r="181" spans="7:8" x14ac:dyDescent="0.3">
      <c r="G181" s="24">
        <v>169</v>
      </c>
      <c r="H181">
        <f t="shared" ca="1" si="5"/>
        <v>-2.6812548590642686E-2</v>
      </c>
    </row>
    <row r="182" spans="7:8" x14ac:dyDescent="0.3">
      <c r="G182" s="24">
        <v>170</v>
      </c>
      <c r="H182">
        <f t="shared" ca="1" si="5"/>
        <v>-1.9050723535503789E-4</v>
      </c>
    </row>
    <row r="183" spans="7:8" x14ac:dyDescent="0.3">
      <c r="G183" s="24">
        <v>171</v>
      </c>
      <c r="H183">
        <f t="shared" ca="1" si="5"/>
        <v>2.4614511506687739E-2</v>
      </c>
    </row>
    <row r="184" spans="7:8" x14ac:dyDescent="0.3">
      <c r="G184" s="24">
        <v>172</v>
      </c>
      <c r="H184">
        <f t="shared" ca="1" si="5"/>
        <v>-3.5965469300535256E-2</v>
      </c>
    </row>
    <row r="185" spans="7:8" x14ac:dyDescent="0.3">
      <c r="G185" s="24">
        <v>173</v>
      </c>
      <c r="H185">
        <f t="shared" ca="1" si="5"/>
        <v>1.0446263974363226E-2</v>
      </c>
    </row>
    <row r="186" spans="7:8" x14ac:dyDescent="0.3">
      <c r="G186" s="24">
        <v>174</v>
      </c>
      <c r="H186">
        <f t="shared" ca="1" si="5"/>
        <v>6.56942438057702E-2</v>
      </c>
    </row>
    <row r="187" spans="7:8" x14ac:dyDescent="0.3">
      <c r="G187" s="24">
        <v>175</v>
      </c>
      <c r="H187">
        <f t="shared" ca="1" si="5"/>
        <v>-0.13724941283807143</v>
      </c>
    </row>
    <row r="188" spans="7:8" x14ac:dyDescent="0.3">
      <c r="G188" s="24">
        <v>176</v>
      </c>
      <c r="H188">
        <f t="shared" ca="1" si="5"/>
        <v>-2.3259117008503711E-2</v>
      </c>
    </row>
    <row r="189" spans="7:8" x14ac:dyDescent="0.3">
      <c r="G189" s="24">
        <v>177</v>
      </c>
      <c r="H189">
        <f t="shared" ca="1" si="5"/>
        <v>1.4806432539539021E-2</v>
      </c>
    </row>
    <row r="190" spans="7:8" x14ac:dyDescent="0.3">
      <c r="G190" s="24">
        <v>178</v>
      </c>
      <c r="H190">
        <f t="shared" ca="1" si="5"/>
        <v>-4.6841129347065878E-2</v>
      </c>
    </row>
    <row r="191" spans="7:8" x14ac:dyDescent="0.3">
      <c r="G191" s="24">
        <v>179</v>
      </c>
      <c r="H191">
        <f t="shared" ca="1" si="5"/>
        <v>2.6585788789655215E-2</v>
      </c>
    </row>
    <row r="192" spans="7:8" x14ac:dyDescent="0.3">
      <c r="G192" s="24">
        <v>180</v>
      </c>
      <c r="H192">
        <f t="shared" ca="1" si="5"/>
        <v>1.2406747703003904E-2</v>
      </c>
    </row>
    <row r="193" spans="7:8" x14ac:dyDescent="0.3">
      <c r="G193" s="24">
        <v>181</v>
      </c>
      <c r="H193">
        <f t="shared" ca="1" si="5"/>
        <v>-6.8025318255538939E-2</v>
      </c>
    </row>
    <row r="194" spans="7:8" x14ac:dyDescent="0.3">
      <c r="G194" s="24">
        <v>182</v>
      </c>
      <c r="H194">
        <f t="shared" ca="1" si="5"/>
        <v>-5.465413372595581E-2</v>
      </c>
    </row>
    <row r="195" spans="7:8" x14ac:dyDescent="0.3">
      <c r="G195" s="24">
        <v>183</v>
      </c>
      <c r="H195">
        <f t="shared" ca="1" si="5"/>
        <v>0.13439830183281021</v>
      </c>
    </row>
    <row r="196" spans="7:8" x14ac:dyDescent="0.3">
      <c r="G196" s="24">
        <v>184</v>
      </c>
      <c r="H196">
        <f t="shared" ca="1" si="5"/>
        <v>7.4083094066093008E-2</v>
      </c>
    </row>
    <row r="197" spans="7:8" x14ac:dyDescent="0.3">
      <c r="G197" s="24">
        <v>185</v>
      </c>
      <c r="H197">
        <f t="shared" ca="1" si="5"/>
        <v>8.1237017350250934E-3</v>
      </c>
    </row>
    <row r="198" spans="7:8" x14ac:dyDescent="0.3">
      <c r="G198" s="24">
        <v>186</v>
      </c>
      <c r="H198">
        <f t="shared" ca="1" si="5"/>
        <v>1.4346270790128778E-2</v>
      </c>
    </row>
    <row r="199" spans="7:8" x14ac:dyDescent="0.3">
      <c r="G199" s="24">
        <v>187</v>
      </c>
      <c r="H199">
        <f t="shared" ca="1" si="5"/>
        <v>3.5953764129912559E-2</v>
      </c>
    </row>
    <row r="200" spans="7:8" x14ac:dyDescent="0.3">
      <c r="G200" s="24">
        <v>188</v>
      </c>
      <c r="H200">
        <f t="shared" ca="1" si="5"/>
        <v>-2.269203495373091E-2</v>
      </c>
    </row>
    <row r="201" spans="7:8" x14ac:dyDescent="0.3">
      <c r="G201" s="24">
        <v>189</v>
      </c>
      <c r="H201">
        <f t="shared" ca="1" si="5"/>
        <v>1.9992202912854726E-2</v>
      </c>
    </row>
    <row r="202" spans="7:8" x14ac:dyDescent="0.3">
      <c r="G202" s="24">
        <v>190</v>
      </c>
      <c r="H202">
        <f t="shared" ca="1" si="5"/>
        <v>-2.4461282125420414E-3</v>
      </c>
    </row>
    <row r="203" spans="7:8" x14ac:dyDescent="0.3">
      <c r="G203" s="24">
        <v>191</v>
      </c>
      <c r="H203">
        <f t="shared" ca="1" si="5"/>
        <v>1.2401652927912194E-2</v>
      </c>
    </row>
    <row r="204" spans="7:8" x14ac:dyDescent="0.3">
      <c r="G204" s="24">
        <v>192</v>
      </c>
      <c r="H204">
        <f t="shared" ca="1" si="5"/>
        <v>5.8816477299330122E-2</v>
      </c>
    </row>
    <row r="205" spans="7:8" x14ac:dyDescent="0.3">
      <c r="G205" s="24">
        <v>193</v>
      </c>
      <c r="H205">
        <f t="shared" ca="1" si="5"/>
        <v>7.3095283990375782E-3</v>
      </c>
    </row>
    <row r="206" spans="7:8" x14ac:dyDescent="0.3">
      <c r="G206" s="24">
        <v>194</v>
      </c>
      <c r="H206">
        <f t="shared" ref="H206:H269" ca="1" si="6">_xlfn.NORM.INV(RAND(),N$13,N$14)</f>
        <v>0.14005596652174843</v>
      </c>
    </row>
    <row r="207" spans="7:8" x14ac:dyDescent="0.3">
      <c r="G207" s="24">
        <v>195</v>
      </c>
      <c r="H207">
        <f t="shared" ca="1" si="6"/>
        <v>3.4342686483723406E-2</v>
      </c>
    </row>
    <row r="208" spans="7:8" x14ac:dyDescent="0.3">
      <c r="G208" s="24">
        <v>196</v>
      </c>
      <c r="H208">
        <f t="shared" ca="1" si="6"/>
        <v>6.960191695602487E-2</v>
      </c>
    </row>
    <row r="209" spans="7:8" x14ac:dyDescent="0.3">
      <c r="G209" s="24">
        <v>197</v>
      </c>
      <c r="H209">
        <f t="shared" ca="1" si="6"/>
        <v>2.3989590589872118E-2</v>
      </c>
    </row>
    <row r="210" spans="7:8" x14ac:dyDescent="0.3">
      <c r="G210" s="24">
        <v>198</v>
      </c>
      <c r="H210">
        <f t="shared" ca="1" si="6"/>
        <v>-5.4798084675542938E-2</v>
      </c>
    </row>
    <row r="211" spans="7:8" x14ac:dyDescent="0.3">
      <c r="G211" s="24">
        <v>199</v>
      </c>
      <c r="H211">
        <f t="shared" ca="1" si="6"/>
        <v>1.6397896577711488E-2</v>
      </c>
    </row>
    <row r="212" spans="7:8" x14ac:dyDescent="0.3">
      <c r="G212" s="24">
        <v>200</v>
      </c>
      <c r="H212">
        <f t="shared" ca="1" si="6"/>
        <v>-0.10098657449492968</v>
      </c>
    </row>
    <row r="213" spans="7:8" x14ac:dyDescent="0.3">
      <c r="G213" s="24">
        <v>201</v>
      </c>
      <c r="H213">
        <f t="shared" ca="1" si="6"/>
        <v>-6.2499638091538252E-2</v>
      </c>
    </row>
    <row r="214" spans="7:8" x14ac:dyDescent="0.3">
      <c r="G214" s="24">
        <v>202</v>
      </c>
      <c r="H214">
        <f t="shared" ca="1" si="6"/>
        <v>8.3478903385058006E-2</v>
      </c>
    </row>
    <row r="215" spans="7:8" x14ac:dyDescent="0.3">
      <c r="G215" s="24">
        <v>203</v>
      </c>
      <c r="H215">
        <f t="shared" ca="1" si="6"/>
        <v>6.5713571129828161E-2</v>
      </c>
    </row>
    <row r="216" spans="7:8" x14ac:dyDescent="0.3">
      <c r="G216" s="24">
        <v>204</v>
      </c>
      <c r="H216">
        <f t="shared" ca="1" si="6"/>
        <v>-7.7095273295044162E-2</v>
      </c>
    </row>
    <row r="217" spans="7:8" x14ac:dyDescent="0.3">
      <c r="G217" s="24">
        <v>205</v>
      </c>
      <c r="H217">
        <f t="shared" ca="1" si="6"/>
        <v>6.6664505480044656E-2</v>
      </c>
    </row>
    <row r="218" spans="7:8" x14ac:dyDescent="0.3">
      <c r="G218" s="24">
        <v>206</v>
      </c>
      <c r="H218">
        <f t="shared" ca="1" si="6"/>
        <v>-1.4247753589613672E-2</v>
      </c>
    </row>
    <row r="219" spans="7:8" x14ac:dyDescent="0.3">
      <c r="G219" s="24">
        <v>207</v>
      </c>
      <c r="H219">
        <f t="shared" ca="1" si="6"/>
        <v>8.1763045513623719E-2</v>
      </c>
    </row>
    <row r="220" spans="7:8" x14ac:dyDescent="0.3">
      <c r="G220" s="24">
        <v>208</v>
      </c>
      <c r="H220">
        <f t="shared" ca="1" si="6"/>
        <v>6.6245813658222213E-2</v>
      </c>
    </row>
    <row r="221" spans="7:8" x14ac:dyDescent="0.3">
      <c r="G221" s="24">
        <v>209</v>
      </c>
      <c r="H221">
        <f t="shared" ca="1" si="6"/>
        <v>-6.7992094141702014E-2</v>
      </c>
    </row>
    <row r="222" spans="7:8" x14ac:dyDescent="0.3">
      <c r="G222" s="24">
        <v>210</v>
      </c>
      <c r="H222">
        <f t="shared" ca="1" si="6"/>
        <v>1.2636079586602286E-2</v>
      </c>
    </row>
    <row r="223" spans="7:8" x14ac:dyDescent="0.3">
      <c r="G223" s="24">
        <v>211</v>
      </c>
      <c r="H223">
        <f t="shared" ca="1" si="6"/>
        <v>8.4124506015792355E-2</v>
      </c>
    </row>
    <row r="224" spans="7:8" x14ac:dyDescent="0.3">
      <c r="G224" s="24">
        <v>212</v>
      </c>
      <c r="H224">
        <f t="shared" ca="1" si="6"/>
        <v>-4.8230193460263089E-2</v>
      </c>
    </row>
    <row r="225" spans="7:8" x14ac:dyDescent="0.3">
      <c r="G225" s="24">
        <v>213</v>
      </c>
      <c r="H225">
        <f t="shared" ca="1" si="6"/>
        <v>-3.0394402708181913E-2</v>
      </c>
    </row>
    <row r="226" spans="7:8" x14ac:dyDescent="0.3">
      <c r="G226" s="24">
        <v>214</v>
      </c>
      <c r="H226">
        <f t="shared" ca="1" si="6"/>
        <v>-7.8874784494050703E-3</v>
      </c>
    </row>
    <row r="227" spans="7:8" x14ac:dyDescent="0.3">
      <c r="G227" s="24">
        <v>215</v>
      </c>
      <c r="H227">
        <f t="shared" ca="1" si="6"/>
        <v>6.7160179774246626E-2</v>
      </c>
    </row>
    <row r="228" spans="7:8" x14ac:dyDescent="0.3">
      <c r="G228" s="24">
        <v>216</v>
      </c>
      <c r="H228">
        <f t="shared" ca="1" si="6"/>
        <v>1.6575547409213701E-2</v>
      </c>
    </row>
    <row r="229" spans="7:8" x14ac:dyDescent="0.3">
      <c r="G229" s="24">
        <v>217</v>
      </c>
      <c r="H229">
        <f t="shared" ca="1" si="6"/>
        <v>-7.2827364721123347E-2</v>
      </c>
    </row>
    <row r="230" spans="7:8" x14ac:dyDescent="0.3">
      <c r="G230" s="24">
        <v>218</v>
      </c>
      <c r="H230">
        <f t="shared" ca="1" si="6"/>
        <v>-5.4380989390927746E-2</v>
      </c>
    </row>
    <row r="231" spans="7:8" x14ac:dyDescent="0.3">
      <c r="G231" s="24">
        <v>219</v>
      </c>
      <c r="H231">
        <f t="shared" ca="1" si="6"/>
        <v>-3.1217655616012644E-2</v>
      </c>
    </row>
    <row r="232" spans="7:8" x14ac:dyDescent="0.3">
      <c r="G232" s="24">
        <v>220</v>
      </c>
      <c r="H232">
        <f t="shared" ca="1" si="6"/>
        <v>6.1944034290339553E-3</v>
      </c>
    </row>
    <row r="233" spans="7:8" x14ac:dyDescent="0.3">
      <c r="G233" s="24">
        <v>221</v>
      </c>
      <c r="H233">
        <f t="shared" ca="1" si="6"/>
        <v>-3.6053765023982963E-2</v>
      </c>
    </row>
    <row r="234" spans="7:8" x14ac:dyDescent="0.3">
      <c r="G234" s="24">
        <v>222</v>
      </c>
      <c r="H234">
        <f t="shared" ca="1" si="6"/>
        <v>9.0165446896256898E-2</v>
      </c>
    </row>
    <row r="235" spans="7:8" x14ac:dyDescent="0.3">
      <c r="G235" s="24">
        <v>223</v>
      </c>
      <c r="H235">
        <f t="shared" ca="1" si="6"/>
        <v>7.208048644650919E-2</v>
      </c>
    </row>
    <row r="236" spans="7:8" x14ac:dyDescent="0.3">
      <c r="G236" s="24">
        <v>224</v>
      </c>
      <c r="H236">
        <f t="shared" ca="1" si="6"/>
        <v>-0.14279190285109114</v>
      </c>
    </row>
    <row r="237" spans="7:8" x14ac:dyDescent="0.3">
      <c r="G237" s="24">
        <v>225</v>
      </c>
      <c r="H237">
        <f t="shared" ca="1" si="6"/>
        <v>-2.7706792135243581E-2</v>
      </c>
    </row>
    <row r="238" spans="7:8" x14ac:dyDescent="0.3">
      <c r="G238" s="24">
        <v>226</v>
      </c>
      <c r="H238">
        <f t="shared" ca="1" si="6"/>
        <v>3.5822200810387082E-2</v>
      </c>
    </row>
    <row r="239" spans="7:8" x14ac:dyDescent="0.3">
      <c r="G239" s="24">
        <v>227</v>
      </c>
      <c r="H239">
        <f t="shared" ca="1" si="6"/>
        <v>0.16982837691972399</v>
      </c>
    </row>
    <row r="240" spans="7:8" x14ac:dyDescent="0.3">
      <c r="G240" s="24">
        <v>228</v>
      </c>
      <c r="H240">
        <f t="shared" ca="1" si="6"/>
        <v>-1.9770664450155972E-2</v>
      </c>
    </row>
    <row r="241" spans="7:8" x14ac:dyDescent="0.3">
      <c r="G241" s="24">
        <v>229</v>
      </c>
      <c r="H241">
        <f t="shared" ca="1" si="6"/>
        <v>-2.6970500019490005E-2</v>
      </c>
    </row>
    <row r="242" spans="7:8" x14ac:dyDescent="0.3">
      <c r="G242" s="24">
        <v>230</v>
      </c>
      <c r="H242">
        <f t="shared" ca="1" si="6"/>
        <v>-7.7138923464210016E-2</v>
      </c>
    </row>
    <row r="243" spans="7:8" x14ac:dyDescent="0.3">
      <c r="G243" s="24">
        <v>231</v>
      </c>
      <c r="H243">
        <f t="shared" ca="1" si="6"/>
        <v>3.6020219030844146E-2</v>
      </c>
    </row>
    <row r="244" spans="7:8" x14ac:dyDescent="0.3">
      <c r="G244" s="24">
        <v>232</v>
      </c>
      <c r="H244">
        <f t="shared" ca="1" si="6"/>
        <v>8.9533481253530306E-2</v>
      </c>
    </row>
    <row r="245" spans="7:8" x14ac:dyDescent="0.3">
      <c r="G245" s="24">
        <v>233</v>
      </c>
      <c r="H245">
        <f t="shared" ca="1" si="6"/>
        <v>0.12594132671074568</v>
      </c>
    </row>
    <row r="246" spans="7:8" x14ac:dyDescent="0.3">
      <c r="G246" s="24">
        <v>234</v>
      </c>
      <c r="H246">
        <f t="shared" ca="1" si="6"/>
        <v>0.13156803715254767</v>
      </c>
    </row>
    <row r="247" spans="7:8" x14ac:dyDescent="0.3">
      <c r="G247" s="24">
        <v>235</v>
      </c>
      <c r="H247">
        <f t="shared" ca="1" si="6"/>
        <v>6.3760247799293499E-2</v>
      </c>
    </row>
    <row r="248" spans="7:8" x14ac:dyDescent="0.3">
      <c r="G248" s="24">
        <v>236</v>
      </c>
      <c r="H248">
        <f t="shared" ca="1" si="6"/>
        <v>8.8841681091739136E-2</v>
      </c>
    </row>
    <row r="249" spans="7:8" x14ac:dyDescent="0.3">
      <c r="G249" s="24">
        <v>237</v>
      </c>
      <c r="H249">
        <f t="shared" ca="1" si="6"/>
        <v>-5.6975560765691324E-2</v>
      </c>
    </row>
    <row r="250" spans="7:8" x14ac:dyDescent="0.3">
      <c r="G250" s="24">
        <v>238</v>
      </c>
      <c r="H250">
        <f t="shared" ca="1" si="6"/>
        <v>-1.6857501102131939E-2</v>
      </c>
    </row>
    <row r="251" spans="7:8" x14ac:dyDescent="0.3">
      <c r="G251" s="24">
        <v>239</v>
      </c>
      <c r="H251">
        <f t="shared" ca="1" si="6"/>
        <v>8.2617632296373547E-2</v>
      </c>
    </row>
    <row r="252" spans="7:8" x14ac:dyDescent="0.3">
      <c r="G252" s="24">
        <v>240</v>
      </c>
      <c r="H252">
        <f t="shared" ca="1" si="6"/>
        <v>7.5465961534761067E-2</v>
      </c>
    </row>
    <row r="253" spans="7:8" x14ac:dyDescent="0.3">
      <c r="G253" s="24">
        <v>241</v>
      </c>
      <c r="H253">
        <f t="shared" ca="1" si="6"/>
        <v>-5.6058907777325008E-2</v>
      </c>
    </row>
    <row r="254" spans="7:8" x14ac:dyDescent="0.3">
      <c r="G254" s="24">
        <v>242</v>
      </c>
      <c r="H254">
        <f t="shared" ca="1" si="6"/>
        <v>6.8996928865351942E-2</v>
      </c>
    </row>
    <row r="255" spans="7:8" x14ac:dyDescent="0.3">
      <c r="G255" s="24">
        <v>243</v>
      </c>
      <c r="H255">
        <f t="shared" ca="1" si="6"/>
        <v>-6.8335086862390069E-3</v>
      </c>
    </row>
    <row r="256" spans="7:8" x14ac:dyDescent="0.3">
      <c r="G256" s="24">
        <v>244</v>
      </c>
      <c r="H256">
        <f t="shared" ca="1" si="6"/>
        <v>2.2483104962091681E-2</v>
      </c>
    </row>
    <row r="257" spans="7:8" x14ac:dyDescent="0.3">
      <c r="G257" s="24">
        <v>245</v>
      </c>
      <c r="H257">
        <f t="shared" ca="1" si="6"/>
        <v>-1.4247135289463874E-2</v>
      </c>
    </row>
    <row r="258" spans="7:8" x14ac:dyDescent="0.3">
      <c r="G258" s="24">
        <v>246</v>
      </c>
      <c r="H258">
        <f t="shared" ca="1" si="6"/>
        <v>4.2216540449050939E-2</v>
      </c>
    </row>
    <row r="259" spans="7:8" x14ac:dyDescent="0.3">
      <c r="G259" s="24">
        <v>247</v>
      </c>
      <c r="H259">
        <f t="shared" ca="1" si="6"/>
        <v>5.3133345486284587E-2</v>
      </c>
    </row>
    <row r="260" spans="7:8" x14ac:dyDescent="0.3">
      <c r="G260" s="24">
        <v>248</v>
      </c>
      <c r="H260">
        <f t="shared" ca="1" si="6"/>
        <v>2.4156693177990119E-2</v>
      </c>
    </row>
    <row r="261" spans="7:8" x14ac:dyDescent="0.3">
      <c r="G261" s="24">
        <v>249</v>
      </c>
      <c r="H261">
        <f t="shared" ca="1" si="6"/>
        <v>4.7214061681401763E-2</v>
      </c>
    </row>
    <row r="262" spans="7:8" x14ac:dyDescent="0.3">
      <c r="G262" s="24">
        <v>250</v>
      </c>
      <c r="H262">
        <f t="shared" ca="1" si="6"/>
        <v>1.039549026413566E-2</v>
      </c>
    </row>
    <row r="263" spans="7:8" x14ac:dyDescent="0.3">
      <c r="G263" s="24">
        <v>251</v>
      </c>
      <c r="H263">
        <f t="shared" ca="1" si="6"/>
        <v>-3.0602603132644738E-2</v>
      </c>
    </row>
    <row r="264" spans="7:8" x14ac:dyDescent="0.3">
      <c r="G264" s="24">
        <v>252</v>
      </c>
      <c r="H264">
        <f t="shared" ca="1" si="6"/>
        <v>6.0738436093063383E-2</v>
      </c>
    </row>
    <row r="265" spans="7:8" x14ac:dyDescent="0.3">
      <c r="G265" s="24">
        <v>253</v>
      </c>
      <c r="H265">
        <f t="shared" ca="1" si="6"/>
        <v>0.13006593163892546</v>
      </c>
    </row>
    <row r="266" spans="7:8" x14ac:dyDescent="0.3">
      <c r="G266" s="24">
        <v>254</v>
      </c>
      <c r="H266">
        <f t="shared" ca="1" si="6"/>
        <v>-9.3811591565913129E-3</v>
      </c>
    </row>
    <row r="267" spans="7:8" x14ac:dyDescent="0.3">
      <c r="G267" s="24">
        <v>255</v>
      </c>
      <c r="H267">
        <f t="shared" ca="1" si="6"/>
        <v>4.0529866347568291E-2</v>
      </c>
    </row>
    <row r="268" spans="7:8" x14ac:dyDescent="0.3">
      <c r="G268" s="24">
        <v>256</v>
      </c>
      <c r="H268">
        <f t="shared" ca="1" si="6"/>
        <v>4.6985707820200756E-2</v>
      </c>
    </row>
    <row r="269" spans="7:8" x14ac:dyDescent="0.3">
      <c r="G269" s="24">
        <v>257</v>
      </c>
      <c r="H269">
        <f t="shared" ca="1" si="6"/>
        <v>-0.15329102566025926</v>
      </c>
    </row>
    <row r="270" spans="7:8" x14ac:dyDescent="0.3">
      <c r="G270" s="24">
        <v>258</v>
      </c>
      <c r="H270">
        <f t="shared" ref="H270:H333" ca="1" si="7">_xlfn.NORM.INV(RAND(),N$13,N$14)</f>
        <v>-1.0266690016733531E-2</v>
      </c>
    </row>
    <row r="271" spans="7:8" x14ac:dyDescent="0.3">
      <c r="G271" s="24">
        <v>259</v>
      </c>
      <c r="H271">
        <f t="shared" ca="1" si="7"/>
        <v>-4.3353474272131293E-2</v>
      </c>
    </row>
    <row r="272" spans="7:8" x14ac:dyDescent="0.3">
      <c r="G272" s="24">
        <v>260</v>
      </c>
      <c r="H272">
        <f t="shared" ca="1" si="7"/>
        <v>-2.8933407272430253E-2</v>
      </c>
    </row>
    <row r="273" spans="7:8" x14ac:dyDescent="0.3">
      <c r="G273" s="24">
        <v>261</v>
      </c>
      <c r="H273">
        <f t="shared" ca="1" si="7"/>
        <v>8.1226398897584817E-2</v>
      </c>
    </row>
    <row r="274" spans="7:8" x14ac:dyDescent="0.3">
      <c r="G274" s="24">
        <v>262</v>
      </c>
      <c r="H274">
        <f t="shared" ca="1" si="7"/>
        <v>3.3045690650402179E-2</v>
      </c>
    </row>
    <row r="275" spans="7:8" x14ac:dyDescent="0.3">
      <c r="G275" s="24">
        <v>263</v>
      </c>
      <c r="H275">
        <f t="shared" ca="1" si="7"/>
        <v>1.5812259943916408E-3</v>
      </c>
    </row>
    <row r="276" spans="7:8" x14ac:dyDescent="0.3">
      <c r="G276" s="24">
        <v>264</v>
      </c>
      <c r="H276">
        <f t="shared" ca="1" si="7"/>
        <v>3.7620565794387155E-2</v>
      </c>
    </row>
    <row r="277" spans="7:8" x14ac:dyDescent="0.3">
      <c r="G277" s="24">
        <v>265</v>
      </c>
      <c r="H277">
        <f t="shared" ca="1" si="7"/>
        <v>-6.0801328855085469E-2</v>
      </c>
    </row>
    <row r="278" spans="7:8" x14ac:dyDescent="0.3">
      <c r="G278" s="24">
        <v>266</v>
      </c>
      <c r="H278">
        <f t="shared" ca="1" si="7"/>
        <v>-6.127640837528988E-2</v>
      </c>
    </row>
    <row r="279" spans="7:8" x14ac:dyDescent="0.3">
      <c r="G279" s="24">
        <v>267</v>
      </c>
      <c r="H279">
        <f t="shared" ca="1" si="7"/>
        <v>3.401114904199478E-2</v>
      </c>
    </row>
    <row r="280" spans="7:8" x14ac:dyDescent="0.3">
      <c r="G280" s="24">
        <v>268</v>
      </c>
      <c r="H280">
        <f t="shared" ca="1" si="7"/>
        <v>-3.384641402601582E-2</v>
      </c>
    </row>
    <row r="281" spans="7:8" x14ac:dyDescent="0.3">
      <c r="G281" s="24">
        <v>269</v>
      </c>
      <c r="H281">
        <f t="shared" ca="1" si="7"/>
        <v>1.9976958795584983E-2</v>
      </c>
    </row>
    <row r="282" spans="7:8" x14ac:dyDescent="0.3">
      <c r="G282" s="24">
        <v>270</v>
      </c>
      <c r="H282">
        <f t="shared" ca="1" si="7"/>
        <v>-7.9729637365387879E-2</v>
      </c>
    </row>
    <row r="283" spans="7:8" x14ac:dyDescent="0.3">
      <c r="G283" s="24">
        <v>271</v>
      </c>
      <c r="H283">
        <f t="shared" ca="1" si="7"/>
        <v>-3.1547499783004279E-2</v>
      </c>
    </row>
    <row r="284" spans="7:8" x14ac:dyDescent="0.3">
      <c r="G284" s="24">
        <v>272</v>
      </c>
      <c r="H284">
        <f t="shared" ca="1" si="7"/>
        <v>-0.10677504872175118</v>
      </c>
    </row>
    <row r="285" spans="7:8" x14ac:dyDescent="0.3">
      <c r="G285" s="24">
        <v>273</v>
      </c>
      <c r="H285">
        <f t="shared" ca="1" si="7"/>
        <v>1.6478438423654963E-3</v>
      </c>
    </row>
    <row r="286" spans="7:8" x14ac:dyDescent="0.3">
      <c r="G286" s="24">
        <v>274</v>
      </c>
      <c r="H286">
        <f t="shared" ca="1" si="7"/>
        <v>-6.4582663289523877E-4</v>
      </c>
    </row>
    <row r="287" spans="7:8" x14ac:dyDescent="0.3">
      <c r="G287" s="24">
        <v>275</v>
      </c>
      <c r="H287">
        <f t="shared" ca="1" si="7"/>
        <v>-1.3458910779240257E-2</v>
      </c>
    </row>
    <row r="288" spans="7:8" x14ac:dyDescent="0.3">
      <c r="G288" s="24">
        <v>276</v>
      </c>
      <c r="H288">
        <f t="shared" ca="1" si="7"/>
        <v>1.5137416556667714E-2</v>
      </c>
    </row>
    <row r="289" spans="7:8" x14ac:dyDescent="0.3">
      <c r="G289" s="24">
        <v>277</v>
      </c>
      <c r="H289">
        <f t="shared" ca="1" si="7"/>
        <v>-1.8963237209239061E-2</v>
      </c>
    </row>
    <row r="290" spans="7:8" x14ac:dyDescent="0.3">
      <c r="G290" s="24">
        <v>278</v>
      </c>
      <c r="H290">
        <f t="shared" ca="1" si="7"/>
        <v>-4.1882162282340554E-2</v>
      </c>
    </row>
    <row r="291" spans="7:8" x14ac:dyDescent="0.3">
      <c r="G291" s="24">
        <v>279</v>
      </c>
      <c r="H291">
        <f t="shared" ca="1" si="7"/>
        <v>-8.9705934984390334E-2</v>
      </c>
    </row>
    <row r="292" spans="7:8" x14ac:dyDescent="0.3">
      <c r="G292" s="24">
        <v>280</v>
      </c>
      <c r="H292">
        <f t="shared" ca="1" si="7"/>
        <v>6.91606702589595E-2</v>
      </c>
    </row>
    <row r="293" spans="7:8" x14ac:dyDescent="0.3">
      <c r="G293" s="24">
        <v>281</v>
      </c>
      <c r="H293">
        <f t="shared" ca="1" si="7"/>
        <v>6.6796940073728092E-2</v>
      </c>
    </row>
    <row r="294" spans="7:8" x14ac:dyDescent="0.3">
      <c r="G294" s="24">
        <v>282</v>
      </c>
      <c r="H294">
        <f t="shared" ca="1" si="7"/>
        <v>3.1337125587743576E-2</v>
      </c>
    </row>
    <row r="295" spans="7:8" x14ac:dyDescent="0.3">
      <c r="G295" s="24">
        <v>283</v>
      </c>
      <c r="H295">
        <f t="shared" ca="1" si="7"/>
        <v>0.10580330301625838</v>
      </c>
    </row>
    <row r="296" spans="7:8" x14ac:dyDescent="0.3">
      <c r="G296" s="24">
        <v>284</v>
      </c>
      <c r="H296">
        <f t="shared" ca="1" si="7"/>
        <v>0.1024668721277569</v>
      </c>
    </row>
    <row r="297" spans="7:8" x14ac:dyDescent="0.3">
      <c r="G297" s="24">
        <v>285</v>
      </c>
      <c r="H297">
        <f t="shared" ca="1" si="7"/>
        <v>-0.10232455737698358</v>
      </c>
    </row>
    <row r="298" spans="7:8" x14ac:dyDescent="0.3">
      <c r="G298" s="24">
        <v>286</v>
      </c>
      <c r="H298">
        <f t="shared" ca="1" si="7"/>
        <v>1.8993128943369936E-2</v>
      </c>
    </row>
    <row r="299" spans="7:8" x14ac:dyDescent="0.3">
      <c r="G299" s="24">
        <v>287</v>
      </c>
      <c r="H299">
        <f t="shared" ca="1" si="7"/>
        <v>-1.9877057216329427E-2</v>
      </c>
    </row>
    <row r="300" spans="7:8" x14ac:dyDescent="0.3">
      <c r="G300" s="24">
        <v>288</v>
      </c>
      <c r="H300">
        <f t="shared" ca="1" si="7"/>
        <v>-6.8179460123699936E-2</v>
      </c>
    </row>
    <row r="301" spans="7:8" x14ac:dyDescent="0.3">
      <c r="G301" s="24">
        <v>289</v>
      </c>
      <c r="H301">
        <f t="shared" ca="1" si="7"/>
        <v>4.2481271437869193E-2</v>
      </c>
    </row>
    <row r="302" spans="7:8" x14ac:dyDescent="0.3">
      <c r="G302" s="24">
        <v>290</v>
      </c>
      <c r="H302">
        <f t="shared" ca="1" si="7"/>
        <v>5.1324887666350794E-2</v>
      </c>
    </row>
    <row r="303" spans="7:8" x14ac:dyDescent="0.3">
      <c r="G303" s="24">
        <v>291</v>
      </c>
      <c r="H303">
        <f t="shared" ca="1" si="7"/>
        <v>7.3390890918379234E-2</v>
      </c>
    </row>
    <row r="304" spans="7:8" x14ac:dyDescent="0.3">
      <c r="G304" s="24">
        <v>292</v>
      </c>
      <c r="H304">
        <f t="shared" ca="1" si="7"/>
        <v>-2.8836231278013075E-2</v>
      </c>
    </row>
    <row r="305" spans="7:8" x14ac:dyDescent="0.3">
      <c r="G305" s="24">
        <v>293</v>
      </c>
      <c r="H305">
        <f t="shared" ca="1" si="7"/>
        <v>-3.8168047235172885E-2</v>
      </c>
    </row>
    <row r="306" spans="7:8" x14ac:dyDescent="0.3">
      <c r="G306" s="24">
        <v>294</v>
      </c>
      <c r="H306">
        <f t="shared" ca="1" si="7"/>
        <v>-4.1303140269116162E-2</v>
      </c>
    </row>
    <row r="307" spans="7:8" x14ac:dyDescent="0.3">
      <c r="G307" s="24">
        <v>295</v>
      </c>
      <c r="H307">
        <f t="shared" ca="1" si="7"/>
        <v>0.10625909117368097</v>
      </c>
    </row>
    <row r="308" spans="7:8" x14ac:dyDescent="0.3">
      <c r="G308" s="24">
        <v>296</v>
      </c>
      <c r="H308">
        <f t="shared" ca="1" si="7"/>
        <v>-5.9016824584856055E-2</v>
      </c>
    </row>
    <row r="309" spans="7:8" x14ac:dyDescent="0.3">
      <c r="G309" s="24">
        <v>297</v>
      </c>
      <c r="H309">
        <f t="shared" ca="1" si="7"/>
        <v>2.0076525121690437E-2</v>
      </c>
    </row>
    <row r="310" spans="7:8" x14ac:dyDescent="0.3">
      <c r="G310" s="24">
        <v>298</v>
      </c>
      <c r="H310">
        <f t="shared" ca="1" si="7"/>
        <v>5.2046154310373557E-2</v>
      </c>
    </row>
    <row r="311" spans="7:8" x14ac:dyDescent="0.3">
      <c r="G311" s="24">
        <v>299</v>
      </c>
      <c r="H311">
        <f t="shared" ca="1" si="7"/>
        <v>-2.1392257951331338E-2</v>
      </c>
    </row>
    <row r="312" spans="7:8" x14ac:dyDescent="0.3">
      <c r="G312" s="24">
        <v>300</v>
      </c>
      <c r="H312">
        <f t="shared" ca="1" si="7"/>
        <v>-8.4757539643846164E-4</v>
      </c>
    </row>
    <row r="313" spans="7:8" x14ac:dyDescent="0.3">
      <c r="G313" s="24">
        <v>301</v>
      </c>
      <c r="H313">
        <f t="shared" ca="1" si="7"/>
        <v>0.11547052705940986</v>
      </c>
    </row>
    <row r="314" spans="7:8" x14ac:dyDescent="0.3">
      <c r="G314" s="24">
        <v>302</v>
      </c>
      <c r="H314">
        <f t="shared" ca="1" si="7"/>
        <v>4.4868127852410941E-2</v>
      </c>
    </row>
    <row r="315" spans="7:8" x14ac:dyDescent="0.3">
      <c r="G315" s="24">
        <v>303</v>
      </c>
      <c r="H315">
        <f t="shared" ca="1" si="7"/>
        <v>-7.2211748347668164E-2</v>
      </c>
    </row>
    <row r="316" spans="7:8" x14ac:dyDescent="0.3">
      <c r="G316" s="24">
        <v>304</v>
      </c>
      <c r="H316">
        <f t="shared" ca="1" si="7"/>
        <v>3.1906471647173099E-2</v>
      </c>
    </row>
    <row r="317" spans="7:8" x14ac:dyDescent="0.3">
      <c r="G317" s="24">
        <v>305</v>
      </c>
      <c r="H317">
        <f t="shared" ca="1" si="7"/>
        <v>-4.1369103033270647E-2</v>
      </c>
    </row>
    <row r="318" spans="7:8" x14ac:dyDescent="0.3">
      <c r="G318" s="24">
        <v>306</v>
      </c>
      <c r="H318">
        <f t="shared" ca="1" si="7"/>
        <v>0.10685604289403954</v>
      </c>
    </row>
    <row r="319" spans="7:8" x14ac:dyDescent="0.3">
      <c r="G319" s="24">
        <v>307</v>
      </c>
      <c r="H319">
        <f t="shared" ca="1" si="7"/>
        <v>-6.0924869997632254E-2</v>
      </c>
    </row>
    <row r="320" spans="7:8" x14ac:dyDescent="0.3">
      <c r="G320" s="24">
        <v>308</v>
      </c>
      <c r="H320">
        <f t="shared" ca="1" si="7"/>
        <v>7.5154088646940287E-2</v>
      </c>
    </row>
    <row r="321" spans="7:8" x14ac:dyDescent="0.3">
      <c r="G321" s="24">
        <v>309</v>
      </c>
      <c r="H321">
        <f t="shared" ca="1" si="7"/>
        <v>-9.0082695397300794E-2</v>
      </c>
    </row>
    <row r="322" spans="7:8" x14ac:dyDescent="0.3">
      <c r="G322" s="24">
        <v>310</v>
      </c>
      <c r="H322">
        <f t="shared" ca="1" si="7"/>
        <v>9.4181998146434243E-2</v>
      </c>
    </row>
    <row r="323" spans="7:8" x14ac:dyDescent="0.3">
      <c r="G323" s="24">
        <v>311</v>
      </c>
      <c r="H323">
        <f t="shared" ca="1" si="7"/>
        <v>-5.6958030676246017E-2</v>
      </c>
    </row>
    <row r="324" spans="7:8" x14ac:dyDescent="0.3">
      <c r="G324" s="24">
        <v>312</v>
      </c>
      <c r="H324">
        <f t="shared" ca="1" si="7"/>
        <v>-5.5205581212610655E-2</v>
      </c>
    </row>
    <row r="325" spans="7:8" x14ac:dyDescent="0.3">
      <c r="G325" s="24">
        <v>313</v>
      </c>
      <c r="H325">
        <f t="shared" ca="1" si="7"/>
        <v>1.0542726853881199E-2</v>
      </c>
    </row>
    <row r="326" spans="7:8" x14ac:dyDescent="0.3">
      <c r="G326" s="24">
        <v>314</v>
      </c>
      <c r="H326">
        <f t="shared" ca="1" si="7"/>
        <v>4.4558959472426489E-2</v>
      </c>
    </row>
    <row r="327" spans="7:8" x14ac:dyDescent="0.3">
      <c r="G327" s="24">
        <v>315</v>
      </c>
      <c r="H327">
        <f t="shared" ca="1" si="7"/>
        <v>8.7216244513131078E-2</v>
      </c>
    </row>
    <row r="328" spans="7:8" x14ac:dyDescent="0.3">
      <c r="G328" s="24">
        <v>316</v>
      </c>
      <c r="H328">
        <f t="shared" ca="1" si="7"/>
        <v>2.3530090905683525E-2</v>
      </c>
    </row>
    <row r="329" spans="7:8" x14ac:dyDescent="0.3">
      <c r="G329" s="24">
        <v>317</v>
      </c>
      <c r="H329">
        <f t="shared" ca="1" si="7"/>
        <v>-1.3981602521819552E-2</v>
      </c>
    </row>
    <row r="330" spans="7:8" x14ac:dyDescent="0.3">
      <c r="G330" s="24">
        <v>318</v>
      </c>
      <c r="H330">
        <f t="shared" ca="1" si="7"/>
        <v>-1.325062640321944E-2</v>
      </c>
    </row>
    <row r="331" spans="7:8" x14ac:dyDescent="0.3">
      <c r="G331" s="24">
        <v>319</v>
      </c>
      <c r="H331">
        <f t="shared" ca="1" si="7"/>
        <v>0.13695516374350986</v>
      </c>
    </row>
    <row r="332" spans="7:8" x14ac:dyDescent="0.3">
      <c r="G332" s="24">
        <v>320</v>
      </c>
      <c r="H332">
        <f t="shared" ca="1" si="7"/>
        <v>0.18673626381005359</v>
      </c>
    </row>
    <row r="333" spans="7:8" x14ac:dyDescent="0.3">
      <c r="G333" s="24">
        <v>321</v>
      </c>
      <c r="H333">
        <f t="shared" ca="1" si="7"/>
        <v>-2.0018039332607752E-2</v>
      </c>
    </row>
    <row r="334" spans="7:8" x14ac:dyDescent="0.3">
      <c r="G334" s="24">
        <v>322</v>
      </c>
      <c r="H334">
        <f t="shared" ref="H334:H397" ca="1" si="8">_xlfn.NORM.INV(RAND(),N$13,N$14)</f>
        <v>-0.12073814664907399</v>
      </c>
    </row>
    <row r="335" spans="7:8" x14ac:dyDescent="0.3">
      <c r="G335" s="24">
        <v>323</v>
      </c>
      <c r="H335">
        <f t="shared" ca="1" si="8"/>
        <v>0.12703020103019827</v>
      </c>
    </row>
    <row r="336" spans="7:8" x14ac:dyDescent="0.3">
      <c r="G336" s="24">
        <v>324</v>
      </c>
      <c r="H336">
        <f t="shared" ca="1" si="8"/>
        <v>6.3719028787533993E-2</v>
      </c>
    </row>
    <row r="337" spans="7:8" x14ac:dyDescent="0.3">
      <c r="G337" s="24">
        <v>325</v>
      </c>
      <c r="H337">
        <f t="shared" ca="1" si="8"/>
        <v>1.1084962119670791E-2</v>
      </c>
    </row>
    <row r="338" spans="7:8" x14ac:dyDescent="0.3">
      <c r="G338" s="24">
        <v>326</v>
      </c>
      <c r="H338">
        <f t="shared" ca="1" si="8"/>
        <v>3.0553055146018103E-2</v>
      </c>
    </row>
    <row r="339" spans="7:8" x14ac:dyDescent="0.3">
      <c r="G339" s="24">
        <v>327</v>
      </c>
      <c r="H339">
        <f t="shared" ca="1" si="8"/>
        <v>-8.6708453672279581E-3</v>
      </c>
    </row>
    <row r="340" spans="7:8" x14ac:dyDescent="0.3">
      <c r="G340" s="24">
        <v>328</v>
      </c>
      <c r="H340">
        <f t="shared" ca="1" si="8"/>
        <v>-0.13875048131930087</v>
      </c>
    </row>
    <row r="341" spans="7:8" x14ac:dyDescent="0.3">
      <c r="G341" s="24">
        <v>329</v>
      </c>
      <c r="H341">
        <f t="shared" ca="1" si="8"/>
        <v>0.18603237448298712</v>
      </c>
    </row>
    <row r="342" spans="7:8" x14ac:dyDescent="0.3">
      <c r="G342" s="24">
        <v>330</v>
      </c>
      <c r="H342">
        <f t="shared" ca="1" si="8"/>
        <v>0.12261187402863323</v>
      </c>
    </row>
    <row r="343" spans="7:8" x14ac:dyDescent="0.3">
      <c r="G343" s="24">
        <v>331</v>
      </c>
      <c r="H343">
        <f t="shared" ca="1" si="8"/>
        <v>0.13760404493208042</v>
      </c>
    </row>
    <row r="344" spans="7:8" x14ac:dyDescent="0.3">
      <c r="G344" s="24">
        <v>332</v>
      </c>
      <c r="H344">
        <f t="shared" ca="1" si="8"/>
        <v>-1.2731394626610585E-2</v>
      </c>
    </row>
    <row r="345" spans="7:8" x14ac:dyDescent="0.3">
      <c r="G345" s="24">
        <v>333</v>
      </c>
      <c r="H345">
        <f t="shared" ca="1" si="8"/>
        <v>-1.9685363275009478E-2</v>
      </c>
    </row>
    <row r="346" spans="7:8" x14ac:dyDescent="0.3">
      <c r="G346" s="24">
        <v>334</v>
      </c>
      <c r="H346">
        <f t="shared" ca="1" si="8"/>
        <v>3.2829638007068812E-2</v>
      </c>
    </row>
    <row r="347" spans="7:8" x14ac:dyDescent="0.3">
      <c r="G347" s="24">
        <v>335</v>
      </c>
      <c r="H347">
        <f t="shared" ca="1" si="8"/>
        <v>2.2043325734735747E-2</v>
      </c>
    </row>
    <row r="348" spans="7:8" x14ac:dyDescent="0.3">
      <c r="G348" s="24">
        <v>336</v>
      </c>
      <c r="H348">
        <f t="shared" ca="1" si="8"/>
        <v>1.8026977414657065E-2</v>
      </c>
    </row>
    <row r="349" spans="7:8" x14ac:dyDescent="0.3">
      <c r="G349" s="24">
        <v>337</v>
      </c>
      <c r="H349">
        <f t="shared" ca="1" si="8"/>
        <v>-2.5860779455419508E-2</v>
      </c>
    </row>
    <row r="350" spans="7:8" x14ac:dyDescent="0.3">
      <c r="G350" s="24">
        <v>338</v>
      </c>
      <c r="H350">
        <f t="shared" ca="1" si="8"/>
        <v>-9.5495002973484275E-2</v>
      </c>
    </row>
    <row r="351" spans="7:8" x14ac:dyDescent="0.3">
      <c r="G351" s="24">
        <v>339</v>
      </c>
      <c r="H351">
        <f t="shared" ca="1" si="8"/>
        <v>3.9440527962096836E-2</v>
      </c>
    </row>
    <row r="352" spans="7:8" x14ac:dyDescent="0.3">
      <c r="G352" s="24">
        <v>340</v>
      </c>
      <c r="H352">
        <f t="shared" ca="1" si="8"/>
        <v>1.1071221408318821E-2</v>
      </c>
    </row>
    <row r="353" spans="7:8" x14ac:dyDescent="0.3">
      <c r="G353" s="24">
        <v>341</v>
      </c>
      <c r="H353">
        <f t="shared" ca="1" si="8"/>
        <v>-4.8783236177880378E-2</v>
      </c>
    </row>
    <row r="354" spans="7:8" x14ac:dyDescent="0.3">
      <c r="G354" s="24">
        <v>342</v>
      </c>
      <c r="H354">
        <f t="shared" ca="1" si="8"/>
        <v>0.10389110640928963</v>
      </c>
    </row>
    <row r="355" spans="7:8" x14ac:dyDescent="0.3">
      <c r="G355" s="24">
        <v>343</v>
      </c>
      <c r="H355">
        <f t="shared" ca="1" si="8"/>
        <v>3.0700829220798184E-2</v>
      </c>
    </row>
    <row r="356" spans="7:8" x14ac:dyDescent="0.3">
      <c r="G356" s="24">
        <v>344</v>
      </c>
      <c r="H356">
        <f t="shared" ca="1" si="8"/>
        <v>0.17649486734222303</v>
      </c>
    </row>
    <row r="357" spans="7:8" x14ac:dyDescent="0.3">
      <c r="G357" s="24">
        <v>345</v>
      </c>
      <c r="H357">
        <f t="shared" ca="1" si="8"/>
        <v>9.7734247421826098E-2</v>
      </c>
    </row>
    <row r="358" spans="7:8" x14ac:dyDescent="0.3">
      <c r="G358" s="24">
        <v>346</v>
      </c>
      <c r="H358">
        <f t="shared" ca="1" si="8"/>
        <v>-0.11567265612540466</v>
      </c>
    </row>
    <row r="359" spans="7:8" x14ac:dyDescent="0.3">
      <c r="G359" s="24">
        <v>347</v>
      </c>
      <c r="H359">
        <f t="shared" ca="1" si="8"/>
        <v>1.5683042707792409E-2</v>
      </c>
    </row>
    <row r="360" spans="7:8" x14ac:dyDescent="0.3">
      <c r="G360" s="24">
        <v>348</v>
      </c>
      <c r="H360">
        <f t="shared" ca="1" si="8"/>
        <v>-4.9807522924031025E-2</v>
      </c>
    </row>
    <row r="361" spans="7:8" x14ac:dyDescent="0.3">
      <c r="G361" s="24">
        <v>349</v>
      </c>
      <c r="H361">
        <f t="shared" ca="1" si="8"/>
        <v>-1.5779968245134956E-2</v>
      </c>
    </row>
    <row r="362" spans="7:8" x14ac:dyDescent="0.3">
      <c r="G362" s="24">
        <v>350</v>
      </c>
      <c r="H362">
        <f t="shared" ca="1" si="8"/>
        <v>-2.0744799901850652E-3</v>
      </c>
    </row>
    <row r="363" spans="7:8" x14ac:dyDescent="0.3">
      <c r="G363" s="24">
        <v>351</v>
      </c>
      <c r="H363">
        <f t="shared" ca="1" si="8"/>
        <v>-0.15665623365587522</v>
      </c>
    </row>
    <row r="364" spans="7:8" x14ac:dyDescent="0.3">
      <c r="G364" s="24">
        <v>352</v>
      </c>
      <c r="H364">
        <f t="shared" ca="1" si="8"/>
        <v>-5.7432195894990573E-2</v>
      </c>
    </row>
    <row r="365" spans="7:8" x14ac:dyDescent="0.3">
      <c r="G365" s="24">
        <v>353</v>
      </c>
      <c r="H365">
        <f t="shared" ca="1" si="8"/>
        <v>7.6247819448339957E-2</v>
      </c>
    </row>
    <row r="366" spans="7:8" x14ac:dyDescent="0.3">
      <c r="G366" s="24">
        <v>354</v>
      </c>
      <c r="H366">
        <f t="shared" ca="1" si="8"/>
        <v>9.2156252459625887E-2</v>
      </c>
    </row>
    <row r="367" spans="7:8" x14ac:dyDescent="0.3">
      <c r="G367" s="24">
        <v>355</v>
      </c>
      <c r="H367">
        <f t="shared" ca="1" si="8"/>
        <v>-5.2623097927651491E-2</v>
      </c>
    </row>
    <row r="368" spans="7:8" x14ac:dyDescent="0.3">
      <c r="G368" s="24">
        <v>356</v>
      </c>
      <c r="H368">
        <f t="shared" ca="1" si="8"/>
        <v>-9.0437536193943707E-2</v>
      </c>
    </row>
    <row r="369" spans="7:8" x14ac:dyDescent="0.3">
      <c r="G369" s="24">
        <v>357</v>
      </c>
      <c r="H369">
        <f t="shared" ca="1" si="8"/>
        <v>5.7945890784523592E-2</v>
      </c>
    </row>
    <row r="370" spans="7:8" x14ac:dyDescent="0.3">
      <c r="G370" s="24">
        <v>358</v>
      </c>
      <c r="H370">
        <f t="shared" ca="1" si="8"/>
        <v>6.1388721785704127E-2</v>
      </c>
    </row>
    <row r="371" spans="7:8" x14ac:dyDescent="0.3">
      <c r="G371" s="24">
        <v>359</v>
      </c>
      <c r="H371">
        <f t="shared" ca="1" si="8"/>
        <v>-1.415341589719293E-2</v>
      </c>
    </row>
    <row r="372" spans="7:8" x14ac:dyDescent="0.3">
      <c r="G372" s="24">
        <v>360</v>
      </c>
      <c r="H372">
        <f t="shared" ca="1" si="8"/>
        <v>-4.0519481032489556E-2</v>
      </c>
    </row>
    <row r="373" spans="7:8" x14ac:dyDescent="0.3">
      <c r="G373" s="24">
        <v>361</v>
      </c>
      <c r="H373">
        <f t="shared" ca="1" si="8"/>
        <v>-2.2392247719013672E-2</v>
      </c>
    </row>
    <row r="374" spans="7:8" x14ac:dyDescent="0.3">
      <c r="G374" s="24">
        <v>362</v>
      </c>
      <c r="H374">
        <f t="shared" ca="1" si="8"/>
        <v>3.236917160338363E-2</v>
      </c>
    </row>
    <row r="375" spans="7:8" x14ac:dyDescent="0.3">
      <c r="G375" s="24">
        <v>363</v>
      </c>
      <c r="H375">
        <f t="shared" ca="1" si="8"/>
        <v>2.7425169142695837E-2</v>
      </c>
    </row>
    <row r="376" spans="7:8" x14ac:dyDescent="0.3">
      <c r="G376" s="24">
        <v>364</v>
      </c>
      <c r="H376">
        <f t="shared" ca="1" si="8"/>
        <v>-5.5532946246777536E-2</v>
      </c>
    </row>
    <row r="377" spans="7:8" x14ac:dyDescent="0.3">
      <c r="G377" s="24">
        <v>365</v>
      </c>
      <c r="H377">
        <f t="shared" ca="1" si="8"/>
        <v>-0.15971281320276612</v>
      </c>
    </row>
    <row r="378" spans="7:8" x14ac:dyDescent="0.3">
      <c r="G378" s="24">
        <v>366</v>
      </c>
      <c r="H378">
        <f t="shared" ca="1" si="8"/>
        <v>-0.10504864612689391</v>
      </c>
    </row>
    <row r="379" spans="7:8" x14ac:dyDescent="0.3">
      <c r="G379" s="24">
        <v>367</v>
      </c>
      <c r="H379">
        <f t="shared" ca="1" si="8"/>
        <v>-4.3876384689406987E-2</v>
      </c>
    </row>
    <row r="380" spans="7:8" x14ac:dyDescent="0.3">
      <c r="G380" s="24">
        <v>368</v>
      </c>
      <c r="H380">
        <f t="shared" ca="1" si="8"/>
        <v>-2.5926614264918851E-2</v>
      </c>
    </row>
    <row r="381" spans="7:8" x14ac:dyDescent="0.3">
      <c r="G381" s="24">
        <v>369</v>
      </c>
      <c r="H381">
        <f t="shared" ca="1" si="8"/>
        <v>-2.1358912375689411E-2</v>
      </c>
    </row>
    <row r="382" spans="7:8" x14ac:dyDescent="0.3">
      <c r="G382" s="24">
        <v>370</v>
      </c>
      <c r="H382">
        <f t="shared" ca="1" si="8"/>
        <v>1.3758014044189146E-2</v>
      </c>
    </row>
    <row r="383" spans="7:8" x14ac:dyDescent="0.3">
      <c r="G383" s="24">
        <v>371</v>
      </c>
      <c r="H383">
        <f t="shared" ca="1" si="8"/>
        <v>6.3005360393380921E-2</v>
      </c>
    </row>
    <row r="384" spans="7:8" x14ac:dyDescent="0.3">
      <c r="G384" s="24">
        <v>372</v>
      </c>
      <c r="H384">
        <f t="shared" ca="1" si="8"/>
        <v>4.9835191618763312E-2</v>
      </c>
    </row>
    <row r="385" spans="7:8" x14ac:dyDescent="0.3">
      <c r="G385" s="24">
        <v>373</v>
      </c>
      <c r="H385">
        <f t="shared" ca="1" si="8"/>
        <v>-4.5507473607658409E-2</v>
      </c>
    </row>
    <row r="386" spans="7:8" x14ac:dyDescent="0.3">
      <c r="G386" s="24">
        <v>374</v>
      </c>
      <c r="H386">
        <f t="shared" ca="1" si="8"/>
        <v>-3.0587273800532385E-2</v>
      </c>
    </row>
    <row r="387" spans="7:8" x14ac:dyDescent="0.3">
      <c r="G387" s="24">
        <v>375</v>
      </c>
      <c r="H387">
        <f t="shared" ca="1" si="8"/>
        <v>-2.0716839177963221E-2</v>
      </c>
    </row>
    <row r="388" spans="7:8" x14ac:dyDescent="0.3">
      <c r="G388" s="24">
        <v>376</v>
      </c>
      <c r="H388">
        <f t="shared" ca="1" si="8"/>
        <v>-4.6600369211761992E-2</v>
      </c>
    </row>
    <row r="389" spans="7:8" x14ac:dyDescent="0.3">
      <c r="G389" s="24">
        <v>377</v>
      </c>
      <c r="H389">
        <f t="shared" ca="1" si="8"/>
        <v>-2.3944669218861077E-2</v>
      </c>
    </row>
    <row r="390" spans="7:8" x14ac:dyDescent="0.3">
      <c r="G390" s="24">
        <v>378</v>
      </c>
      <c r="H390">
        <f t="shared" ca="1" si="8"/>
        <v>0.15590050158356897</v>
      </c>
    </row>
    <row r="391" spans="7:8" x14ac:dyDescent="0.3">
      <c r="G391" s="24">
        <v>379</v>
      </c>
      <c r="H391">
        <f t="shared" ca="1" si="8"/>
        <v>-2.0800198039115157E-3</v>
      </c>
    </row>
    <row r="392" spans="7:8" x14ac:dyDescent="0.3">
      <c r="G392" s="24">
        <v>380</v>
      </c>
      <c r="H392">
        <f t="shared" ca="1" si="8"/>
        <v>6.527704095571106E-2</v>
      </c>
    </row>
    <row r="393" spans="7:8" x14ac:dyDescent="0.3">
      <c r="G393" s="24">
        <v>381</v>
      </c>
      <c r="H393">
        <f t="shared" ca="1" si="8"/>
        <v>-3.0900205456000907E-2</v>
      </c>
    </row>
    <row r="394" spans="7:8" x14ac:dyDescent="0.3">
      <c r="G394" s="24">
        <v>382</v>
      </c>
      <c r="H394">
        <f t="shared" ca="1" si="8"/>
        <v>-5.8885073713878938E-2</v>
      </c>
    </row>
    <row r="395" spans="7:8" x14ac:dyDescent="0.3">
      <c r="G395" s="24">
        <v>383</v>
      </c>
      <c r="H395">
        <f t="shared" ca="1" si="8"/>
        <v>-3.1736558911467358E-2</v>
      </c>
    </row>
    <row r="396" spans="7:8" x14ac:dyDescent="0.3">
      <c r="G396" s="24">
        <v>384</v>
      </c>
      <c r="H396">
        <f t="shared" ca="1" si="8"/>
        <v>4.9375303498408622E-2</v>
      </c>
    </row>
    <row r="397" spans="7:8" x14ac:dyDescent="0.3">
      <c r="G397" s="24">
        <v>385</v>
      </c>
      <c r="H397">
        <f t="shared" ca="1" si="8"/>
        <v>-5.9053307602591795E-2</v>
      </c>
    </row>
    <row r="398" spans="7:8" x14ac:dyDescent="0.3">
      <c r="G398" s="24">
        <v>386</v>
      </c>
      <c r="H398">
        <f t="shared" ref="H398:H461" ca="1" si="9">_xlfn.NORM.INV(RAND(),N$13,N$14)</f>
        <v>-4.7837738639750382E-2</v>
      </c>
    </row>
    <row r="399" spans="7:8" x14ac:dyDescent="0.3">
      <c r="G399" s="24">
        <v>387</v>
      </c>
      <c r="H399">
        <f t="shared" ca="1" si="9"/>
        <v>-3.22568292823033E-2</v>
      </c>
    </row>
    <row r="400" spans="7:8" x14ac:dyDescent="0.3">
      <c r="G400" s="24">
        <v>388</v>
      </c>
      <c r="H400">
        <f t="shared" ca="1" si="9"/>
        <v>3.1352434314077082E-2</v>
      </c>
    </row>
    <row r="401" spans="7:8" x14ac:dyDescent="0.3">
      <c r="G401" s="24">
        <v>389</v>
      </c>
      <c r="H401">
        <f t="shared" ca="1" si="9"/>
        <v>-9.2246685215972082E-3</v>
      </c>
    </row>
    <row r="402" spans="7:8" x14ac:dyDescent="0.3">
      <c r="G402" s="24">
        <v>390</v>
      </c>
      <c r="H402">
        <f t="shared" ca="1" si="9"/>
        <v>-7.9256109433716693E-2</v>
      </c>
    </row>
    <row r="403" spans="7:8" x14ac:dyDescent="0.3">
      <c r="G403" s="24">
        <v>391</v>
      </c>
      <c r="H403">
        <f t="shared" ca="1" si="9"/>
        <v>0.22769580284517915</v>
      </c>
    </row>
    <row r="404" spans="7:8" x14ac:dyDescent="0.3">
      <c r="G404" s="24">
        <v>392</v>
      </c>
      <c r="H404">
        <f t="shared" ca="1" si="9"/>
        <v>-0.12878356832546595</v>
      </c>
    </row>
    <row r="405" spans="7:8" x14ac:dyDescent="0.3">
      <c r="G405" s="24">
        <v>393</v>
      </c>
      <c r="H405">
        <f t="shared" ca="1" si="9"/>
        <v>5.1761936350460211E-2</v>
      </c>
    </row>
    <row r="406" spans="7:8" x14ac:dyDescent="0.3">
      <c r="G406" s="24">
        <v>394</v>
      </c>
      <c r="H406">
        <f t="shared" ca="1" si="9"/>
        <v>3.422145678781216E-2</v>
      </c>
    </row>
    <row r="407" spans="7:8" x14ac:dyDescent="0.3">
      <c r="G407" s="24">
        <v>395</v>
      </c>
      <c r="H407">
        <f t="shared" ca="1" si="9"/>
        <v>-3.5521661628484205E-2</v>
      </c>
    </row>
    <row r="408" spans="7:8" x14ac:dyDescent="0.3">
      <c r="G408" s="24">
        <v>396</v>
      </c>
      <c r="H408">
        <f t="shared" ca="1" si="9"/>
        <v>-0.10563000902327407</v>
      </c>
    </row>
    <row r="409" spans="7:8" x14ac:dyDescent="0.3">
      <c r="G409" s="24">
        <v>397</v>
      </c>
      <c r="H409">
        <f t="shared" ca="1" si="9"/>
        <v>1.7371931317907655E-2</v>
      </c>
    </row>
    <row r="410" spans="7:8" x14ac:dyDescent="0.3">
      <c r="G410" s="24">
        <v>398</v>
      </c>
      <c r="H410">
        <f t="shared" ca="1" si="9"/>
        <v>-2.0455957614858477E-2</v>
      </c>
    </row>
    <row r="411" spans="7:8" x14ac:dyDescent="0.3">
      <c r="G411" s="24">
        <v>399</v>
      </c>
      <c r="H411">
        <f t="shared" ca="1" si="9"/>
        <v>-9.5233881798066577E-2</v>
      </c>
    </row>
    <row r="412" spans="7:8" x14ac:dyDescent="0.3">
      <c r="G412" s="24">
        <v>400</v>
      </c>
      <c r="H412">
        <f t="shared" ca="1" si="9"/>
        <v>3.6567420713589233E-2</v>
      </c>
    </row>
    <row r="413" spans="7:8" x14ac:dyDescent="0.3">
      <c r="G413" s="24">
        <v>401</v>
      </c>
      <c r="H413">
        <f t="shared" ca="1" si="9"/>
        <v>3.7350969195624951E-2</v>
      </c>
    </row>
    <row r="414" spans="7:8" x14ac:dyDescent="0.3">
      <c r="G414" s="24">
        <v>402</v>
      </c>
      <c r="H414">
        <f t="shared" ca="1" si="9"/>
        <v>-1.4187432942582914E-2</v>
      </c>
    </row>
    <row r="415" spans="7:8" x14ac:dyDescent="0.3">
      <c r="G415" s="24">
        <v>403</v>
      </c>
      <c r="H415">
        <f t="shared" ca="1" si="9"/>
        <v>7.2715375309476651E-2</v>
      </c>
    </row>
    <row r="416" spans="7:8" x14ac:dyDescent="0.3">
      <c r="G416" s="24">
        <v>404</v>
      </c>
      <c r="H416">
        <f t="shared" ca="1" si="9"/>
        <v>5.0551266664416721E-2</v>
      </c>
    </row>
    <row r="417" spans="7:8" x14ac:dyDescent="0.3">
      <c r="G417" s="24">
        <v>405</v>
      </c>
      <c r="H417">
        <f t="shared" ca="1" si="9"/>
        <v>2.1483364077039737E-2</v>
      </c>
    </row>
    <row r="418" spans="7:8" x14ac:dyDescent="0.3">
      <c r="G418" s="24">
        <v>406</v>
      </c>
      <c r="H418">
        <f t="shared" ca="1" si="9"/>
        <v>6.924750028079904E-2</v>
      </c>
    </row>
    <row r="419" spans="7:8" x14ac:dyDescent="0.3">
      <c r="G419" s="24">
        <v>407</v>
      </c>
      <c r="H419">
        <f t="shared" ca="1" si="9"/>
        <v>-8.4622429620650155E-2</v>
      </c>
    </row>
    <row r="420" spans="7:8" x14ac:dyDescent="0.3">
      <c r="G420" s="24">
        <v>408</v>
      </c>
      <c r="H420">
        <f t="shared" ca="1" si="9"/>
        <v>1.2836392784312771E-2</v>
      </c>
    </row>
    <row r="421" spans="7:8" x14ac:dyDescent="0.3">
      <c r="G421" s="24">
        <v>409</v>
      </c>
      <c r="H421">
        <f t="shared" ca="1" si="9"/>
        <v>-1.4183442424126148E-2</v>
      </c>
    </row>
    <row r="422" spans="7:8" x14ac:dyDescent="0.3">
      <c r="G422" s="24">
        <v>410</v>
      </c>
      <c r="H422">
        <f t="shared" ca="1" si="9"/>
        <v>0.10325256144236433</v>
      </c>
    </row>
    <row r="423" spans="7:8" x14ac:dyDescent="0.3">
      <c r="G423" s="24">
        <v>411</v>
      </c>
      <c r="H423">
        <f t="shared" ca="1" si="9"/>
        <v>-2.8790462920390215E-2</v>
      </c>
    </row>
    <row r="424" spans="7:8" x14ac:dyDescent="0.3">
      <c r="G424" s="24">
        <v>412</v>
      </c>
      <c r="H424">
        <f t="shared" ca="1" si="9"/>
        <v>-7.8456341279231276E-2</v>
      </c>
    </row>
    <row r="425" spans="7:8" x14ac:dyDescent="0.3">
      <c r="G425" s="24">
        <v>413</v>
      </c>
      <c r="H425">
        <f t="shared" ca="1" si="9"/>
        <v>-3.4244623248081037E-2</v>
      </c>
    </row>
    <row r="426" spans="7:8" x14ac:dyDescent="0.3">
      <c r="G426" s="24">
        <v>414</v>
      </c>
      <c r="H426">
        <f t="shared" ca="1" si="9"/>
        <v>-2.0592948641235009E-2</v>
      </c>
    </row>
    <row r="427" spans="7:8" x14ac:dyDescent="0.3">
      <c r="G427" s="24">
        <v>415</v>
      </c>
      <c r="H427">
        <f t="shared" ca="1" si="9"/>
        <v>1.3295113237913029E-2</v>
      </c>
    </row>
    <row r="428" spans="7:8" x14ac:dyDescent="0.3">
      <c r="G428" s="24">
        <v>416</v>
      </c>
      <c r="H428">
        <f t="shared" ca="1" si="9"/>
        <v>-3.4000419287032124E-2</v>
      </c>
    </row>
    <row r="429" spans="7:8" x14ac:dyDescent="0.3">
      <c r="G429" s="24">
        <v>417</v>
      </c>
      <c r="H429">
        <f t="shared" ca="1" si="9"/>
        <v>6.4753080470914578E-4</v>
      </c>
    </row>
    <row r="430" spans="7:8" x14ac:dyDescent="0.3">
      <c r="G430" s="24">
        <v>418</v>
      </c>
      <c r="H430">
        <f t="shared" ca="1" si="9"/>
        <v>-6.5551911011233165E-3</v>
      </c>
    </row>
    <row r="431" spans="7:8" x14ac:dyDescent="0.3">
      <c r="G431" s="24">
        <v>419</v>
      </c>
      <c r="H431">
        <f t="shared" ca="1" si="9"/>
        <v>-3.2418329305398862E-2</v>
      </c>
    </row>
    <row r="432" spans="7:8" x14ac:dyDescent="0.3">
      <c r="G432" s="24">
        <v>420</v>
      </c>
      <c r="H432">
        <f t="shared" ca="1" si="9"/>
        <v>-8.5984217552515424E-2</v>
      </c>
    </row>
    <row r="433" spans="7:8" x14ac:dyDescent="0.3">
      <c r="G433" s="24">
        <v>421</v>
      </c>
      <c r="H433">
        <f t="shared" ca="1" si="9"/>
        <v>9.4135077426763428E-2</v>
      </c>
    </row>
    <row r="434" spans="7:8" x14ac:dyDescent="0.3">
      <c r="G434" s="24">
        <v>422</v>
      </c>
      <c r="H434">
        <f t="shared" ca="1" si="9"/>
        <v>7.1985206472103061E-2</v>
      </c>
    </row>
    <row r="435" spans="7:8" x14ac:dyDescent="0.3">
      <c r="G435" s="24">
        <v>423</v>
      </c>
      <c r="H435">
        <f t="shared" ca="1" si="9"/>
        <v>0.1144134966562093</v>
      </c>
    </row>
    <row r="436" spans="7:8" x14ac:dyDescent="0.3">
      <c r="G436" s="24">
        <v>424</v>
      </c>
      <c r="H436">
        <f t="shared" ca="1" si="9"/>
        <v>8.3386987783968289E-2</v>
      </c>
    </row>
    <row r="437" spans="7:8" x14ac:dyDescent="0.3">
      <c r="G437" s="24">
        <v>425</v>
      </c>
      <c r="H437">
        <f t="shared" ca="1" si="9"/>
        <v>-1.145115986432841E-2</v>
      </c>
    </row>
    <row r="438" spans="7:8" x14ac:dyDescent="0.3">
      <c r="G438" s="24">
        <v>426</v>
      </c>
      <c r="H438">
        <f t="shared" ca="1" si="9"/>
        <v>7.9764649685011998E-2</v>
      </c>
    </row>
    <row r="439" spans="7:8" x14ac:dyDescent="0.3">
      <c r="G439" s="24">
        <v>427</v>
      </c>
      <c r="H439">
        <f t="shared" ca="1" si="9"/>
        <v>3.0870138793234084E-3</v>
      </c>
    </row>
    <row r="440" spans="7:8" x14ac:dyDescent="0.3">
      <c r="G440" s="24">
        <v>428</v>
      </c>
      <c r="H440">
        <f t="shared" ca="1" si="9"/>
        <v>-0.13874312651365633</v>
      </c>
    </row>
    <row r="441" spans="7:8" x14ac:dyDescent="0.3">
      <c r="G441" s="24">
        <v>429</v>
      </c>
      <c r="H441">
        <f t="shared" ca="1" si="9"/>
        <v>-6.8555718387304912E-2</v>
      </c>
    </row>
    <row r="442" spans="7:8" x14ac:dyDescent="0.3">
      <c r="G442" s="24">
        <v>430</v>
      </c>
      <c r="H442">
        <f t="shared" ca="1" si="9"/>
        <v>-7.3295637680846418E-2</v>
      </c>
    </row>
    <row r="443" spans="7:8" x14ac:dyDescent="0.3">
      <c r="G443" s="24">
        <v>431</v>
      </c>
      <c r="H443">
        <f t="shared" ca="1" si="9"/>
        <v>4.9634829857907396E-2</v>
      </c>
    </row>
    <row r="444" spans="7:8" x14ac:dyDescent="0.3">
      <c r="G444" s="24">
        <v>432</v>
      </c>
      <c r="H444">
        <f t="shared" ca="1" si="9"/>
        <v>-2.8914416372358035E-2</v>
      </c>
    </row>
    <row r="445" spans="7:8" x14ac:dyDescent="0.3">
      <c r="G445" s="24">
        <v>433</v>
      </c>
      <c r="H445">
        <f t="shared" ca="1" si="9"/>
        <v>8.551193313237887E-2</v>
      </c>
    </row>
    <row r="446" spans="7:8" x14ac:dyDescent="0.3">
      <c r="G446" s="24">
        <v>434</v>
      </c>
      <c r="H446">
        <f t="shared" ca="1" si="9"/>
        <v>-6.8177142695937151E-2</v>
      </c>
    </row>
    <row r="447" spans="7:8" x14ac:dyDescent="0.3">
      <c r="G447" s="24">
        <v>435</v>
      </c>
      <c r="H447">
        <f t="shared" ca="1" si="9"/>
        <v>-6.5034257268174897E-2</v>
      </c>
    </row>
    <row r="448" spans="7:8" x14ac:dyDescent="0.3">
      <c r="G448" s="24">
        <v>436</v>
      </c>
      <c r="H448">
        <f t="shared" ca="1" si="9"/>
        <v>3.6020770115145671E-2</v>
      </c>
    </row>
    <row r="449" spans="7:8" x14ac:dyDescent="0.3">
      <c r="G449" s="24">
        <v>437</v>
      </c>
      <c r="H449">
        <f t="shared" ca="1" si="9"/>
        <v>1.0541393823062776E-2</v>
      </c>
    </row>
    <row r="450" spans="7:8" x14ac:dyDescent="0.3">
      <c r="G450" s="24">
        <v>438</v>
      </c>
      <c r="H450">
        <f t="shared" ca="1" si="9"/>
        <v>-1.9920906519050405E-2</v>
      </c>
    </row>
    <row r="451" spans="7:8" x14ac:dyDescent="0.3">
      <c r="G451" s="24">
        <v>439</v>
      </c>
      <c r="H451">
        <f t="shared" ca="1" si="9"/>
        <v>4.5451685919441785E-2</v>
      </c>
    </row>
    <row r="452" spans="7:8" x14ac:dyDescent="0.3">
      <c r="G452" s="24">
        <v>440</v>
      </c>
      <c r="H452">
        <f t="shared" ca="1" si="9"/>
        <v>-3.8435384783846462E-3</v>
      </c>
    </row>
    <row r="453" spans="7:8" x14ac:dyDescent="0.3">
      <c r="G453" s="24">
        <v>441</v>
      </c>
      <c r="H453">
        <f t="shared" ca="1" si="9"/>
        <v>0.1115861525819619</v>
      </c>
    </row>
    <row r="454" spans="7:8" x14ac:dyDescent="0.3">
      <c r="G454" s="24">
        <v>442</v>
      </c>
      <c r="H454">
        <f t="shared" ca="1" si="9"/>
        <v>-6.208811837619984E-2</v>
      </c>
    </row>
    <row r="455" spans="7:8" x14ac:dyDescent="0.3">
      <c r="G455" s="24">
        <v>443</v>
      </c>
      <c r="H455">
        <f t="shared" ca="1" si="9"/>
        <v>-0.1376504003748627</v>
      </c>
    </row>
    <row r="456" spans="7:8" x14ac:dyDescent="0.3">
      <c r="G456" s="24">
        <v>444</v>
      </c>
      <c r="H456">
        <f t="shared" ca="1" si="9"/>
        <v>-2.8366201641210089E-2</v>
      </c>
    </row>
    <row r="457" spans="7:8" x14ac:dyDescent="0.3">
      <c r="G457" s="24">
        <v>445</v>
      </c>
      <c r="H457">
        <f t="shared" ca="1" si="9"/>
        <v>-7.7091986883408709E-2</v>
      </c>
    </row>
    <row r="458" spans="7:8" x14ac:dyDescent="0.3">
      <c r="G458" s="24">
        <v>446</v>
      </c>
      <c r="H458">
        <f t="shared" ca="1" si="9"/>
        <v>0.20691511699937143</v>
      </c>
    </row>
    <row r="459" spans="7:8" x14ac:dyDescent="0.3">
      <c r="G459" s="24">
        <v>447</v>
      </c>
      <c r="H459">
        <f t="shared" ca="1" si="9"/>
        <v>-5.9735054939218268E-2</v>
      </c>
    </row>
    <row r="460" spans="7:8" x14ac:dyDescent="0.3">
      <c r="G460" s="24">
        <v>448</v>
      </c>
      <c r="H460">
        <f t="shared" ca="1" si="9"/>
        <v>3.3850495610720614E-2</v>
      </c>
    </row>
    <row r="461" spans="7:8" x14ac:dyDescent="0.3">
      <c r="G461" s="24">
        <v>449</v>
      </c>
      <c r="H461">
        <f t="shared" ca="1" si="9"/>
        <v>4.5174247231982323E-2</v>
      </c>
    </row>
    <row r="462" spans="7:8" x14ac:dyDescent="0.3">
      <c r="G462" s="24">
        <v>450</v>
      </c>
      <c r="H462">
        <f t="shared" ref="H462:H525" ca="1" si="10">_xlfn.NORM.INV(RAND(),N$13,N$14)</f>
        <v>-0.10543978521159511</v>
      </c>
    </row>
    <row r="463" spans="7:8" x14ac:dyDescent="0.3">
      <c r="G463" s="24">
        <v>451</v>
      </c>
      <c r="H463">
        <f t="shared" ca="1" si="10"/>
        <v>7.9272245496691165E-2</v>
      </c>
    </row>
    <row r="464" spans="7:8" x14ac:dyDescent="0.3">
      <c r="G464" s="24">
        <v>452</v>
      </c>
      <c r="H464">
        <f t="shared" ca="1" si="10"/>
        <v>-7.5498409430302171E-2</v>
      </c>
    </row>
    <row r="465" spans="7:8" x14ac:dyDescent="0.3">
      <c r="G465" s="24">
        <v>453</v>
      </c>
      <c r="H465">
        <f t="shared" ca="1" si="10"/>
        <v>-6.9564879289275197E-2</v>
      </c>
    </row>
    <row r="466" spans="7:8" x14ac:dyDescent="0.3">
      <c r="G466" s="24">
        <v>454</v>
      </c>
      <c r="H466">
        <f t="shared" ca="1" si="10"/>
        <v>-7.9242836703666927E-2</v>
      </c>
    </row>
    <row r="467" spans="7:8" x14ac:dyDescent="0.3">
      <c r="G467" s="24">
        <v>455</v>
      </c>
      <c r="H467">
        <f t="shared" ca="1" si="10"/>
        <v>-9.8351705980163087E-2</v>
      </c>
    </row>
    <row r="468" spans="7:8" x14ac:dyDescent="0.3">
      <c r="G468" s="24">
        <v>456</v>
      </c>
      <c r="H468">
        <f t="shared" ca="1" si="10"/>
        <v>1.5407872050925888E-2</v>
      </c>
    </row>
    <row r="469" spans="7:8" x14ac:dyDescent="0.3">
      <c r="G469" s="24">
        <v>457</v>
      </c>
      <c r="H469">
        <f t="shared" ca="1" si="10"/>
        <v>-4.3048113984140164E-2</v>
      </c>
    </row>
    <row r="470" spans="7:8" x14ac:dyDescent="0.3">
      <c r="G470" s="24">
        <v>458</v>
      </c>
      <c r="H470">
        <f t="shared" ca="1" si="10"/>
        <v>5.2811050653854524E-2</v>
      </c>
    </row>
    <row r="471" spans="7:8" x14ac:dyDescent="0.3">
      <c r="G471" s="24">
        <v>459</v>
      </c>
      <c r="H471">
        <f t="shared" ca="1" si="10"/>
        <v>-4.1105657948722084E-2</v>
      </c>
    </row>
    <row r="472" spans="7:8" x14ac:dyDescent="0.3">
      <c r="G472" s="24">
        <v>460</v>
      </c>
      <c r="H472">
        <f t="shared" ca="1" si="10"/>
        <v>7.0108104515146707E-2</v>
      </c>
    </row>
    <row r="473" spans="7:8" x14ac:dyDescent="0.3">
      <c r="G473" s="24">
        <v>461</v>
      </c>
      <c r="H473">
        <f t="shared" ca="1" si="10"/>
        <v>1.6057009375793869E-2</v>
      </c>
    </row>
    <row r="474" spans="7:8" x14ac:dyDescent="0.3">
      <c r="G474" s="24">
        <v>462</v>
      </c>
      <c r="H474">
        <f t="shared" ca="1" si="10"/>
        <v>0.1023505230836402</v>
      </c>
    </row>
    <row r="475" spans="7:8" x14ac:dyDescent="0.3">
      <c r="G475" s="24">
        <v>463</v>
      </c>
      <c r="H475">
        <f t="shared" ca="1" si="10"/>
        <v>-8.3778025464808031E-2</v>
      </c>
    </row>
    <row r="476" spans="7:8" x14ac:dyDescent="0.3">
      <c r="G476" s="24">
        <v>464</v>
      </c>
      <c r="H476">
        <f t="shared" ca="1" si="10"/>
        <v>-1.6638940410385553E-2</v>
      </c>
    </row>
    <row r="477" spans="7:8" x14ac:dyDescent="0.3">
      <c r="G477" s="24">
        <v>465</v>
      </c>
      <c r="H477">
        <f t="shared" ca="1" si="10"/>
        <v>7.1807245419605759E-2</v>
      </c>
    </row>
    <row r="478" spans="7:8" x14ac:dyDescent="0.3">
      <c r="G478" s="24">
        <v>466</v>
      </c>
      <c r="H478">
        <f t="shared" ca="1" si="10"/>
        <v>-3.3847538957028397E-2</v>
      </c>
    </row>
    <row r="479" spans="7:8" x14ac:dyDescent="0.3">
      <c r="G479" s="24">
        <v>467</v>
      </c>
      <c r="H479">
        <f t="shared" ca="1" si="10"/>
        <v>2.2383039731726409E-2</v>
      </c>
    </row>
    <row r="480" spans="7:8" x14ac:dyDescent="0.3">
      <c r="G480" s="24">
        <v>468</v>
      </c>
      <c r="H480">
        <f t="shared" ca="1" si="10"/>
        <v>9.4924467155607455E-4</v>
      </c>
    </row>
    <row r="481" spans="7:8" x14ac:dyDescent="0.3">
      <c r="G481" s="24">
        <v>469</v>
      </c>
      <c r="H481">
        <f t="shared" ca="1" si="10"/>
        <v>5.0121915150333721E-2</v>
      </c>
    </row>
    <row r="482" spans="7:8" x14ac:dyDescent="0.3">
      <c r="G482" s="24">
        <v>470</v>
      </c>
      <c r="H482">
        <f t="shared" ca="1" si="10"/>
        <v>0.147869146199473</v>
      </c>
    </row>
    <row r="483" spans="7:8" x14ac:dyDescent="0.3">
      <c r="G483" s="24">
        <v>471</v>
      </c>
      <c r="H483">
        <f t="shared" ca="1" si="10"/>
        <v>-0.11657033850933937</v>
      </c>
    </row>
    <row r="484" spans="7:8" x14ac:dyDescent="0.3">
      <c r="G484" s="24">
        <v>472</v>
      </c>
      <c r="H484">
        <f t="shared" ca="1" si="10"/>
        <v>5.7156934821044683E-2</v>
      </c>
    </row>
    <row r="485" spans="7:8" x14ac:dyDescent="0.3">
      <c r="G485" s="24">
        <v>473</v>
      </c>
      <c r="H485">
        <f t="shared" ca="1" si="10"/>
        <v>2.3823242961649727E-2</v>
      </c>
    </row>
    <row r="486" spans="7:8" x14ac:dyDescent="0.3">
      <c r="G486" s="24">
        <v>474</v>
      </c>
      <c r="H486">
        <f t="shared" ca="1" si="10"/>
        <v>-2.6363517239857449E-2</v>
      </c>
    </row>
    <row r="487" spans="7:8" x14ac:dyDescent="0.3">
      <c r="G487" s="24">
        <v>475</v>
      </c>
      <c r="H487">
        <f t="shared" ca="1" si="10"/>
        <v>-4.8518627228572857E-2</v>
      </c>
    </row>
    <row r="488" spans="7:8" x14ac:dyDescent="0.3">
      <c r="G488" s="24">
        <v>476</v>
      </c>
      <c r="H488">
        <f t="shared" ca="1" si="10"/>
        <v>5.7169831865158068E-2</v>
      </c>
    </row>
    <row r="489" spans="7:8" x14ac:dyDescent="0.3">
      <c r="G489" s="24">
        <v>477</v>
      </c>
      <c r="H489">
        <f t="shared" ca="1" si="10"/>
        <v>0.12000251441957929</v>
      </c>
    </row>
    <row r="490" spans="7:8" x14ac:dyDescent="0.3">
      <c r="G490" s="24">
        <v>478</v>
      </c>
      <c r="H490">
        <f t="shared" ca="1" si="10"/>
        <v>1.9966007389227564E-2</v>
      </c>
    </row>
    <row r="491" spans="7:8" x14ac:dyDescent="0.3">
      <c r="G491" s="24">
        <v>479</v>
      </c>
      <c r="H491">
        <f t="shared" ca="1" si="10"/>
        <v>5.128821055030563E-3</v>
      </c>
    </row>
    <row r="492" spans="7:8" x14ac:dyDescent="0.3">
      <c r="G492" s="24">
        <v>480</v>
      </c>
      <c r="H492">
        <f t="shared" ca="1" si="10"/>
        <v>-3.8515529238822559E-2</v>
      </c>
    </row>
    <row r="493" spans="7:8" x14ac:dyDescent="0.3">
      <c r="G493" s="24">
        <v>481</v>
      </c>
      <c r="H493">
        <f t="shared" ca="1" si="10"/>
        <v>-1.0294115116530162E-2</v>
      </c>
    </row>
    <row r="494" spans="7:8" x14ac:dyDescent="0.3">
      <c r="G494" s="24">
        <v>482</v>
      </c>
      <c r="H494">
        <f t="shared" ca="1" si="10"/>
        <v>0.11284349090270096</v>
      </c>
    </row>
    <row r="495" spans="7:8" x14ac:dyDescent="0.3">
      <c r="G495" s="24">
        <v>483</v>
      </c>
      <c r="H495">
        <f t="shared" ca="1" si="10"/>
        <v>1.9466298023271811E-2</v>
      </c>
    </row>
    <row r="496" spans="7:8" x14ac:dyDescent="0.3">
      <c r="G496" s="24">
        <v>484</v>
      </c>
      <c r="H496">
        <f t="shared" ca="1" si="10"/>
        <v>3.1588145594323484E-2</v>
      </c>
    </row>
    <row r="497" spans="7:8" x14ac:dyDescent="0.3">
      <c r="G497" s="24">
        <v>485</v>
      </c>
      <c r="H497">
        <f t="shared" ca="1" si="10"/>
        <v>-6.1076848132312546E-2</v>
      </c>
    </row>
    <row r="498" spans="7:8" x14ac:dyDescent="0.3">
      <c r="G498" s="24">
        <v>486</v>
      </c>
      <c r="H498">
        <f t="shared" ca="1" si="10"/>
        <v>-9.3991842969719255E-2</v>
      </c>
    </row>
    <row r="499" spans="7:8" x14ac:dyDescent="0.3">
      <c r="G499" s="24">
        <v>487</v>
      </c>
      <c r="H499">
        <f t="shared" ca="1" si="10"/>
        <v>4.0915076402873816E-3</v>
      </c>
    </row>
    <row r="500" spans="7:8" x14ac:dyDescent="0.3">
      <c r="G500" s="24">
        <v>488</v>
      </c>
      <c r="H500">
        <f t="shared" ca="1" si="10"/>
        <v>-2.7545056537046995E-2</v>
      </c>
    </row>
    <row r="501" spans="7:8" x14ac:dyDescent="0.3">
      <c r="G501" s="24">
        <v>489</v>
      </c>
      <c r="H501">
        <f t="shared" ca="1" si="10"/>
        <v>-0.11441904217076744</v>
      </c>
    </row>
    <row r="502" spans="7:8" x14ac:dyDescent="0.3">
      <c r="G502" s="24">
        <v>490</v>
      </c>
      <c r="H502">
        <f t="shared" ca="1" si="10"/>
        <v>3.1587345155415315E-2</v>
      </c>
    </row>
    <row r="503" spans="7:8" x14ac:dyDescent="0.3">
      <c r="G503" s="24">
        <v>491</v>
      </c>
      <c r="H503">
        <f t="shared" ca="1" si="10"/>
        <v>7.8972067438318833E-2</v>
      </c>
    </row>
    <row r="504" spans="7:8" x14ac:dyDescent="0.3">
      <c r="G504" s="24">
        <v>492</v>
      </c>
      <c r="H504">
        <f t="shared" ca="1" si="10"/>
        <v>3.9222511704865709E-2</v>
      </c>
    </row>
    <row r="505" spans="7:8" x14ac:dyDescent="0.3">
      <c r="G505" s="24">
        <v>493</v>
      </c>
      <c r="H505">
        <f t="shared" ca="1" si="10"/>
        <v>-0.11340368096458786</v>
      </c>
    </row>
    <row r="506" spans="7:8" x14ac:dyDescent="0.3">
      <c r="G506" s="24">
        <v>494</v>
      </c>
      <c r="H506">
        <f t="shared" ca="1" si="10"/>
        <v>-3.8327199805576369E-2</v>
      </c>
    </row>
    <row r="507" spans="7:8" x14ac:dyDescent="0.3">
      <c r="G507" s="24">
        <v>495</v>
      </c>
      <c r="H507">
        <f t="shared" ca="1" si="10"/>
        <v>1.0713107312704596E-2</v>
      </c>
    </row>
    <row r="508" spans="7:8" x14ac:dyDescent="0.3">
      <c r="G508" s="24">
        <v>496</v>
      </c>
      <c r="H508">
        <f t="shared" ca="1" si="10"/>
        <v>-2.0522568248698097E-3</v>
      </c>
    </row>
    <row r="509" spans="7:8" x14ac:dyDescent="0.3">
      <c r="G509" s="24">
        <v>497</v>
      </c>
      <c r="H509">
        <f t="shared" ca="1" si="10"/>
        <v>-7.3842591718235304E-2</v>
      </c>
    </row>
    <row r="510" spans="7:8" x14ac:dyDescent="0.3">
      <c r="G510" s="24">
        <v>498</v>
      </c>
      <c r="H510">
        <f t="shared" ca="1" si="10"/>
        <v>5.9529972130917849E-4</v>
      </c>
    </row>
    <row r="511" spans="7:8" x14ac:dyDescent="0.3">
      <c r="G511" s="24">
        <v>499</v>
      </c>
      <c r="H511">
        <f t="shared" ca="1" si="10"/>
        <v>0.11672158254053401</v>
      </c>
    </row>
    <row r="512" spans="7:8" x14ac:dyDescent="0.3">
      <c r="G512" s="24">
        <v>500</v>
      </c>
      <c r="H512">
        <f t="shared" ca="1" si="10"/>
        <v>-4.0161204752116354E-2</v>
      </c>
    </row>
    <row r="513" spans="7:8" x14ac:dyDescent="0.3">
      <c r="G513" s="24">
        <v>501</v>
      </c>
      <c r="H513">
        <f t="shared" ca="1" si="10"/>
        <v>6.9125025097001733E-2</v>
      </c>
    </row>
    <row r="514" spans="7:8" x14ac:dyDescent="0.3">
      <c r="G514" s="24">
        <v>502</v>
      </c>
      <c r="H514">
        <f t="shared" ca="1" si="10"/>
        <v>-2.7850955520591043E-2</v>
      </c>
    </row>
    <row r="515" spans="7:8" x14ac:dyDescent="0.3">
      <c r="G515" s="24">
        <v>503</v>
      </c>
      <c r="H515">
        <f t="shared" ca="1" si="10"/>
        <v>1.0254482518358985E-2</v>
      </c>
    </row>
    <row r="516" spans="7:8" x14ac:dyDescent="0.3">
      <c r="G516" s="24">
        <v>504</v>
      </c>
      <c r="H516">
        <f t="shared" ca="1" si="10"/>
        <v>5.021380059159701E-2</v>
      </c>
    </row>
    <row r="517" spans="7:8" x14ac:dyDescent="0.3">
      <c r="G517" s="24">
        <v>505</v>
      </c>
      <c r="H517">
        <f t="shared" ca="1" si="10"/>
        <v>-3.4531113094091577E-2</v>
      </c>
    </row>
    <row r="518" spans="7:8" x14ac:dyDescent="0.3">
      <c r="G518" s="24">
        <v>506</v>
      </c>
      <c r="H518">
        <f t="shared" ca="1" si="10"/>
        <v>-0.15511428872162317</v>
      </c>
    </row>
    <row r="519" spans="7:8" x14ac:dyDescent="0.3">
      <c r="G519" s="24">
        <v>507</v>
      </c>
      <c r="H519">
        <f t="shared" ca="1" si="10"/>
        <v>-4.1892321840763982E-2</v>
      </c>
    </row>
    <row r="520" spans="7:8" x14ac:dyDescent="0.3">
      <c r="G520" s="24">
        <v>508</v>
      </c>
      <c r="H520">
        <f t="shared" ca="1" si="10"/>
        <v>0.10957313364020156</v>
      </c>
    </row>
    <row r="521" spans="7:8" x14ac:dyDescent="0.3">
      <c r="G521" s="24">
        <v>509</v>
      </c>
      <c r="H521">
        <f t="shared" ca="1" si="10"/>
        <v>7.4656044665227933E-3</v>
      </c>
    </row>
    <row r="522" spans="7:8" x14ac:dyDescent="0.3">
      <c r="G522" s="24">
        <v>510</v>
      </c>
      <c r="H522">
        <f t="shared" ca="1" si="10"/>
        <v>-8.1971107118945542E-3</v>
      </c>
    </row>
    <row r="523" spans="7:8" x14ac:dyDescent="0.3">
      <c r="G523" s="24">
        <v>511</v>
      </c>
      <c r="H523">
        <f t="shared" ca="1" si="10"/>
        <v>-4.26554352201515E-3</v>
      </c>
    </row>
    <row r="524" spans="7:8" x14ac:dyDescent="0.3">
      <c r="G524" s="24">
        <v>512</v>
      </c>
      <c r="H524">
        <f t="shared" ca="1" si="10"/>
        <v>-1.6261236048656546E-2</v>
      </c>
    </row>
    <row r="525" spans="7:8" x14ac:dyDescent="0.3">
      <c r="G525" s="24">
        <v>513</v>
      </c>
      <c r="H525">
        <f t="shared" ca="1" si="10"/>
        <v>-1.0308353447035091E-2</v>
      </c>
    </row>
    <row r="526" spans="7:8" x14ac:dyDescent="0.3">
      <c r="G526" s="24">
        <v>514</v>
      </c>
      <c r="H526">
        <f t="shared" ref="H526:H589" ca="1" si="11">_xlfn.NORM.INV(RAND(),N$13,N$14)</f>
        <v>0.14527809107853487</v>
      </c>
    </row>
    <row r="527" spans="7:8" x14ac:dyDescent="0.3">
      <c r="G527" s="24">
        <v>515</v>
      </c>
      <c r="H527">
        <f t="shared" ca="1" si="11"/>
        <v>-0.10144212379512861</v>
      </c>
    </row>
    <row r="528" spans="7:8" x14ac:dyDescent="0.3">
      <c r="G528" s="24">
        <v>516</v>
      </c>
      <c r="H528">
        <f t="shared" ca="1" si="11"/>
        <v>-0.11029694246775472</v>
      </c>
    </row>
    <row r="529" spans="7:8" x14ac:dyDescent="0.3">
      <c r="G529" s="24">
        <v>517</v>
      </c>
      <c r="H529">
        <f t="shared" ca="1" si="11"/>
        <v>3.6018043284664271E-2</v>
      </c>
    </row>
    <row r="530" spans="7:8" x14ac:dyDescent="0.3">
      <c r="G530" s="24">
        <v>518</v>
      </c>
      <c r="H530">
        <f t="shared" ca="1" si="11"/>
        <v>2.721364356550841E-2</v>
      </c>
    </row>
    <row r="531" spans="7:8" x14ac:dyDescent="0.3">
      <c r="G531" s="24">
        <v>519</v>
      </c>
      <c r="H531">
        <f t="shared" ca="1" si="11"/>
        <v>2.0181021278953385E-2</v>
      </c>
    </row>
    <row r="532" spans="7:8" x14ac:dyDescent="0.3">
      <c r="G532" s="24">
        <v>520</v>
      </c>
      <c r="H532">
        <f t="shared" ca="1" si="11"/>
        <v>2.2948346650169017E-2</v>
      </c>
    </row>
    <row r="533" spans="7:8" x14ac:dyDescent="0.3">
      <c r="G533" s="24">
        <v>521</v>
      </c>
      <c r="H533">
        <f t="shared" ca="1" si="11"/>
        <v>-0.17008204299462129</v>
      </c>
    </row>
    <row r="534" spans="7:8" x14ac:dyDescent="0.3">
      <c r="G534" s="24">
        <v>522</v>
      </c>
      <c r="H534">
        <f t="shared" ca="1" si="11"/>
        <v>0.11796047368545316</v>
      </c>
    </row>
    <row r="535" spans="7:8" x14ac:dyDescent="0.3">
      <c r="G535" s="24">
        <v>523</v>
      </c>
      <c r="H535">
        <f t="shared" ca="1" si="11"/>
        <v>1.2606199037938305E-2</v>
      </c>
    </row>
    <row r="536" spans="7:8" x14ac:dyDescent="0.3">
      <c r="G536" s="24">
        <v>524</v>
      </c>
      <c r="H536">
        <f t="shared" ca="1" si="11"/>
        <v>6.0885708050765049E-2</v>
      </c>
    </row>
    <row r="537" spans="7:8" x14ac:dyDescent="0.3">
      <c r="G537" s="24">
        <v>525</v>
      </c>
      <c r="H537">
        <f t="shared" ca="1" si="11"/>
        <v>2.0688541108414463E-2</v>
      </c>
    </row>
    <row r="538" spans="7:8" x14ac:dyDescent="0.3">
      <c r="G538" s="24">
        <v>526</v>
      </c>
      <c r="H538">
        <f t="shared" ca="1" si="11"/>
        <v>6.7170401914061248E-2</v>
      </c>
    </row>
    <row r="539" spans="7:8" x14ac:dyDescent="0.3">
      <c r="G539" s="24">
        <v>527</v>
      </c>
      <c r="H539">
        <f t="shared" ca="1" si="11"/>
        <v>-4.6836056608521776E-2</v>
      </c>
    </row>
    <row r="540" spans="7:8" x14ac:dyDescent="0.3">
      <c r="G540" s="24">
        <v>528</v>
      </c>
      <c r="H540">
        <f t="shared" ca="1" si="11"/>
        <v>9.6281039451624278E-2</v>
      </c>
    </row>
    <row r="541" spans="7:8" x14ac:dyDescent="0.3">
      <c r="G541" s="24">
        <v>529</v>
      </c>
      <c r="H541">
        <f t="shared" ca="1" si="11"/>
        <v>3.4720600809579854E-3</v>
      </c>
    </row>
    <row r="542" spans="7:8" x14ac:dyDescent="0.3">
      <c r="G542" s="24">
        <v>530</v>
      </c>
      <c r="H542">
        <f t="shared" ca="1" si="11"/>
        <v>1.0744930162837219E-2</v>
      </c>
    </row>
    <row r="543" spans="7:8" x14ac:dyDescent="0.3">
      <c r="G543" s="24">
        <v>531</v>
      </c>
      <c r="H543">
        <f t="shared" ca="1" si="11"/>
        <v>-4.2214915173279265E-2</v>
      </c>
    </row>
    <row r="544" spans="7:8" x14ac:dyDescent="0.3">
      <c r="G544" s="24">
        <v>532</v>
      </c>
      <c r="H544">
        <f t="shared" ca="1" si="11"/>
        <v>-4.6031173659888958E-3</v>
      </c>
    </row>
    <row r="545" spans="7:8" x14ac:dyDescent="0.3">
      <c r="G545" s="24">
        <v>533</v>
      </c>
      <c r="H545">
        <f t="shared" ca="1" si="11"/>
        <v>1.5459094613383169E-2</v>
      </c>
    </row>
    <row r="546" spans="7:8" x14ac:dyDescent="0.3">
      <c r="G546" s="24">
        <v>534</v>
      </c>
      <c r="H546">
        <f t="shared" ca="1" si="11"/>
        <v>-3.0802646872348789E-3</v>
      </c>
    </row>
    <row r="547" spans="7:8" x14ac:dyDescent="0.3">
      <c r="G547" s="24">
        <v>535</v>
      </c>
      <c r="H547">
        <f t="shared" ca="1" si="11"/>
        <v>-5.1087184411507822E-2</v>
      </c>
    </row>
    <row r="548" spans="7:8" x14ac:dyDescent="0.3">
      <c r="G548" s="24">
        <v>536</v>
      </c>
      <c r="H548">
        <f t="shared" ca="1" si="11"/>
        <v>-4.8629619419341928E-2</v>
      </c>
    </row>
    <row r="549" spans="7:8" x14ac:dyDescent="0.3">
      <c r="G549" s="24">
        <v>537</v>
      </c>
      <c r="H549">
        <f t="shared" ca="1" si="11"/>
        <v>3.549399826548242E-2</v>
      </c>
    </row>
    <row r="550" spans="7:8" x14ac:dyDescent="0.3">
      <c r="G550" s="24">
        <v>538</v>
      </c>
      <c r="H550">
        <f t="shared" ca="1" si="11"/>
        <v>-1.0797397226673081E-3</v>
      </c>
    </row>
    <row r="551" spans="7:8" x14ac:dyDescent="0.3">
      <c r="G551" s="24">
        <v>539</v>
      </c>
      <c r="H551">
        <f t="shared" ca="1" si="11"/>
        <v>-5.0350751073055873E-2</v>
      </c>
    </row>
    <row r="552" spans="7:8" x14ac:dyDescent="0.3">
      <c r="G552" s="24">
        <v>540</v>
      </c>
      <c r="H552">
        <f t="shared" ca="1" si="11"/>
        <v>-8.3372082081588653E-2</v>
      </c>
    </row>
    <row r="553" spans="7:8" x14ac:dyDescent="0.3">
      <c r="G553" s="24">
        <v>541</v>
      </c>
      <c r="H553">
        <f t="shared" ca="1" si="11"/>
        <v>1.2898568202028799E-2</v>
      </c>
    </row>
    <row r="554" spans="7:8" x14ac:dyDescent="0.3">
      <c r="G554" s="24">
        <v>542</v>
      </c>
      <c r="H554">
        <f t="shared" ca="1" si="11"/>
        <v>-6.8887252360877449E-2</v>
      </c>
    </row>
    <row r="555" spans="7:8" x14ac:dyDescent="0.3">
      <c r="G555" s="24">
        <v>543</v>
      </c>
      <c r="H555">
        <f t="shared" ca="1" si="11"/>
        <v>3.8168948280541473E-3</v>
      </c>
    </row>
    <row r="556" spans="7:8" x14ac:dyDescent="0.3">
      <c r="G556" s="24">
        <v>544</v>
      </c>
      <c r="H556">
        <f t="shared" ca="1" si="11"/>
        <v>-7.2913845791616277E-2</v>
      </c>
    </row>
    <row r="557" spans="7:8" x14ac:dyDescent="0.3">
      <c r="G557" s="24">
        <v>545</v>
      </c>
      <c r="H557">
        <f t="shared" ca="1" si="11"/>
        <v>4.5511040150755973E-2</v>
      </c>
    </row>
    <row r="558" spans="7:8" x14ac:dyDescent="0.3">
      <c r="G558" s="24">
        <v>546</v>
      </c>
      <c r="H558">
        <f t="shared" ca="1" si="11"/>
        <v>-7.7223731405117856E-4</v>
      </c>
    </row>
    <row r="559" spans="7:8" x14ac:dyDescent="0.3">
      <c r="G559" s="24">
        <v>547</v>
      </c>
      <c r="H559">
        <f t="shared" ca="1" si="11"/>
        <v>1.1204040143417124E-2</v>
      </c>
    </row>
    <row r="560" spans="7:8" x14ac:dyDescent="0.3">
      <c r="G560" s="24">
        <v>548</v>
      </c>
      <c r="H560">
        <f t="shared" ca="1" si="11"/>
        <v>-4.3730007322931815E-2</v>
      </c>
    </row>
    <row r="561" spans="7:8" x14ac:dyDescent="0.3">
      <c r="G561" s="24">
        <v>549</v>
      </c>
      <c r="H561">
        <f t="shared" ca="1" si="11"/>
        <v>3.9403565432760579E-2</v>
      </c>
    </row>
    <row r="562" spans="7:8" x14ac:dyDescent="0.3">
      <c r="G562" s="24">
        <v>550</v>
      </c>
      <c r="H562">
        <f t="shared" ca="1" si="11"/>
        <v>0.11821664252323129</v>
      </c>
    </row>
    <row r="563" spans="7:8" x14ac:dyDescent="0.3">
      <c r="G563" s="24">
        <v>551</v>
      </c>
      <c r="H563">
        <f t="shared" ca="1" si="11"/>
        <v>-7.4744287345760579E-2</v>
      </c>
    </row>
    <row r="564" spans="7:8" x14ac:dyDescent="0.3">
      <c r="G564" s="24">
        <v>552</v>
      </c>
      <c r="H564">
        <f t="shared" ca="1" si="11"/>
        <v>2.0922281195109794E-2</v>
      </c>
    </row>
    <row r="565" spans="7:8" x14ac:dyDescent="0.3">
      <c r="G565" s="24">
        <v>553</v>
      </c>
      <c r="H565">
        <f t="shared" ca="1" si="11"/>
        <v>-2.1043560343930501E-2</v>
      </c>
    </row>
    <row r="566" spans="7:8" x14ac:dyDescent="0.3">
      <c r="G566" s="24">
        <v>554</v>
      </c>
      <c r="H566">
        <f t="shared" ca="1" si="11"/>
        <v>-7.7531417772146762E-3</v>
      </c>
    </row>
    <row r="567" spans="7:8" x14ac:dyDescent="0.3">
      <c r="G567" s="24">
        <v>555</v>
      </c>
      <c r="H567">
        <f t="shared" ca="1" si="11"/>
        <v>2.5831886063035228E-2</v>
      </c>
    </row>
    <row r="568" spans="7:8" x14ac:dyDescent="0.3">
      <c r="G568" s="24">
        <v>556</v>
      </c>
      <c r="H568">
        <f t="shared" ca="1" si="11"/>
        <v>9.2939584996282423E-2</v>
      </c>
    </row>
    <row r="569" spans="7:8" x14ac:dyDescent="0.3">
      <c r="G569" s="24">
        <v>557</v>
      </c>
      <c r="H569">
        <f t="shared" ca="1" si="11"/>
        <v>-7.0742375390953384E-3</v>
      </c>
    </row>
    <row r="570" spans="7:8" x14ac:dyDescent="0.3">
      <c r="G570" s="24">
        <v>558</v>
      </c>
      <c r="H570">
        <f t="shared" ca="1" si="11"/>
        <v>6.6753580715701571E-3</v>
      </c>
    </row>
    <row r="571" spans="7:8" x14ac:dyDescent="0.3">
      <c r="G571" s="24">
        <v>559</v>
      </c>
      <c r="H571">
        <f t="shared" ca="1" si="11"/>
        <v>2.50016190029669E-2</v>
      </c>
    </row>
    <row r="572" spans="7:8" x14ac:dyDescent="0.3">
      <c r="G572" s="24">
        <v>560</v>
      </c>
      <c r="H572">
        <f t="shared" ca="1" si="11"/>
        <v>6.1124352776728293E-2</v>
      </c>
    </row>
    <row r="573" spans="7:8" x14ac:dyDescent="0.3">
      <c r="G573" s="24">
        <v>561</v>
      </c>
      <c r="H573">
        <f t="shared" ca="1" si="11"/>
        <v>2.4058923845078989E-2</v>
      </c>
    </row>
    <row r="574" spans="7:8" x14ac:dyDescent="0.3">
      <c r="G574" s="24">
        <v>562</v>
      </c>
      <c r="H574">
        <f t="shared" ca="1" si="11"/>
        <v>7.7132969961493977E-2</v>
      </c>
    </row>
    <row r="575" spans="7:8" x14ac:dyDescent="0.3">
      <c r="G575" s="24">
        <v>563</v>
      </c>
      <c r="H575">
        <f t="shared" ca="1" si="11"/>
        <v>7.7630017954173361E-2</v>
      </c>
    </row>
    <row r="576" spans="7:8" x14ac:dyDescent="0.3">
      <c r="G576" s="24">
        <v>564</v>
      </c>
      <c r="H576">
        <f t="shared" ca="1" si="11"/>
        <v>-8.1430785366095854E-2</v>
      </c>
    </row>
    <row r="577" spans="7:8" x14ac:dyDescent="0.3">
      <c r="G577" s="24">
        <v>565</v>
      </c>
      <c r="H577">
        <f t="shared" ca="1" si="11"/>
        <v>2.931888168845331E-2</v>
      </c>
    </row>
    <row r="578" spans="7:8" x14ac:dyDescent="0.3">
      <c r="G578" s="24">
        <v>566</v>
      </c>
      <c r="H578">
        <f t="shared" ca="1" si="11"/>
        <v>9.3151950155206067E-2</v>
      </c>
    </row>
    <row r="579" spans="7:8" x14ac:dyDescent="0.3">
      <c r="G579" s="24">
        <v>567</v>
      </c>
      <c r="H579">
        <f t="shared" ca="1" si="11"/>
        <v>-0.11958544667655562</v>
      </c>
    </row>
    <row r="580" spans="7:8" x14ac:dyDescent="0.3">
      <c r="G580" s="24">
        <v>568</v>
      </c>
      <c r="H580">
        <f t="shared" ca="1" si="11"/>
        <v>-7.3237229303183465E-2</v>
      </c>
    </row>
    <row r="581" spans="7:8" x14ac:dyDescent="0.3">
      <c r="G581" s="24">
        <v>569</v>
      </c>
      <c r="H581">
        <f t="shared" ca="1" si="11"/>
        <v>-3.2155654904692098E-2</v>
      </c>
    </row>
    <row r="582" spans="7:8" x14ac:dyDescent="0.3">
      <c r="G582" s="24">
        <v>570</v>
      </c>
      <c r="H582">
        <f t="shared" ca="1" si="11"/>
        <v>5.6349639044165553E-3</v>
      </c>
    </row>
    <row r="583" spans="7:8" x14ac:dyDescent="0.3">
      <c r="G583" s="24">
        <v>571</v>
      </c>
      <c r="H583">
        <f t="shared" ca="1" si="11"/>
        <v>-0.11815526233166673</v>
      </c>
    </row>
    <row r="584" spans="7:8" x14ac:dyDescent="0.3">
      <c r="G584" s="24">
        <v>572</v>
      </c>
      <c r="H584">
        <f t="shared" ca="1" si="11"/>
        <v>-0.10327973124412494</v>
      </c>
    </row>
    <row r="585" spans="7:8" x14ac:dyDescent="0.3">
      <c r="G585" s="24">
        <v>573</v>
      </c>
      <c r="H585">
        <f t="shared" ca="1" si="11"/>
        <v>-1.8179244687383869E-2</v>
      </c>
    </row>
    <row r="586" spans="7:8" x14ac:dyDescent="0.3">
      <c r="G586" s="24">
        <v>574</v>
      </c>
      <c r="H586">
        <f t="shared" ca="1" si="11"/>
        <v>1.668117498175728E-2</v>
      </c>
    </row>
    <row r="587" spans="7:8" x14ac:dyDescent="0.3">
      <c r="G587" s="24">
        <v>575</v>
      </c>
      <c r="H587">
        <f t="shared" ca="1" si="11"/>
        <v>-1.5114514950634348E-2</v>
      </c>
    </row>
    <row r="588" spans="7:8" x14ac:dyDescent="0.3">
      <c r="G588" s="24">
        <v>576</v>
      </c>
      <c r="H588">
        <f t="shared" ca="1" si="11"/>
        <v>4.4462910377468606E-2</v>
      </c>
    </row>
    <row r="589" spans="7:8" x14ac:dyDescent="0.3">
      <c r="G589" s="24">
        <v>577</v>
      </c>
      <c r="H589">
        <f t="shared" ca="1" si="11"/>
        <v>-3.7146399118442114E-2</v>
      </c>
    </row>
    <row r="590" spans="7:8" x14ac:dyDescent="0.3">
      <c r="G590" s="24">
        <v>578</v>
      </c>
      <c r="H590">
        <f t="shared" ref="H590:H653" ca="1" si="12">_xlfn.NORM.INV(RAND(),N$13,N$14)</f>
        <v>-6.1584234228837263E-2</v>
      </c>
    </row>
    <row r="591" spans="7:8" x14ac:dyDescent="0.3">
      <c r="G591" s="24">
        <v>579</v>
      </c>
      <c r="H591">
        <f t="shared" ca="1" si="12"/>
        <v>-3.8940475978084366E-2</v>
      </c>
    </row>
    <row r="592" spans="7:8" x14ac:dyDescent="0.3">
      <c r="G592" s="24">
        <v>580</v>
      </c>
      <c r="H592">
        <f t="shared" ca="1" si="12"/>
        <v>1.3720792724377647E-2</v>
      </c>
    </row>
    <row r="593" spans="7:8" x14ac:dyDescent="0.3">
      <c r="G593" s="24">
        <v>581</v>
      </c>
      <c r="H593">
        <f t="shared" ca="1" si="12"/>
        <v>-5.0143370492069357E-2</v>
      </c>
    </row>
    <row r="594" spans="7:8" x14ac:dyDescent="0.3">
      <c r="G594" s="24">
        <v>582</v>
      </c>
      <c r="H594">
        <f t="shared" ca="1" si="12"/>
        <v>-2.0898685571594671E-2</v>
      </c>
    </row>
    <row r="595" spans="7:8" x14ac:dyDescent="0.3">
      <c r="G595" s="24">
        <v>583</v>
      </c>
      <c r="H595">
        <f t="shared" ca="1" si="12"/>
        <v>1.6586059742375557E-2</v>
      </c>
    </row>
    <row r="596" spans="7:8" x14ac:dyDescent="0.3">
      <c r="G596" s="24">
        <v>584</v>
      </c>
      <c r="H596">
        <f t="shared" ca="1" si="12"/>
        <v>0.12918478833625727</v>
      </c>
    </row>
    <row r="597" spans="7:8" x14ac:dyDescent="0.3">
      <c r="G597" s="24">
        <v>585</v>
      </c>
      <c r="H597">
        <f t="shared" ca="1" si="12"/>
        <v>1.5382204967736983E-2</v>
      </c>
    </row>
    <row r="598" spans="7:8" x14ac:dyDescent="0.3">
      <c r="G598" s="24">
        <v>586</v>
      </c>
      <c r="H598">
        <f t="shared" ca="1" si="12"/>
        <v>-2.9834566262662673E-2</v>
      </c>
    </row>
    <row r="599" spans="7:8" x14ac:dyDescent="0.3">
      <c r="G599" s="24">
        <v>587</v>
      </c>
      <c r="H599">
        <f t="shared" ca="1" si="12"/>
        <v>-6.8147199849181272E-2</v>
      </c>
    </row>
    <row r="600" spans="7:8" x14ac:dyDescent="0.3">
      <c r="G600" s="24">
        <v>588</v>
      </c>
      <c r="H600">
        <f t="shared" ca="1" si="12"/>
        <v>7.9765094272404996E-3</v>
      </c>
    </row>
    <row r="601" spans="7:8" x14ac:dyDescent="0.3">
      <c r="G601" s="24">
        <v>589</v>
      </c>
      <c r="H601">
        <f t="shared" ca="1" si="12"/>
        <v>-5.089421523614196E-2</v>
      </c>
    </row>
    <row r="602" spans="7:8" x14ac:dyDescent="0.3">
      <c r="G602" s="24">
        <v>590</v>
      </c>
      <c r="H602">
        <f t="shared" ca="1" si="12"/>
        <v>-2.9828469175704139E-2</v>
      </c>
    </row>
    <row r="603" spans="7:8" x14ac:dyDescent="0.3">
      <c r="G603" s="24">
        <v>591</v>
      </c>
      <c r="H603">
        <f t="shared" ca="1" si="12"/>
        <v>-1.2084156968921608E-2</v>
      </c>
    </row>
    <row r="604" spans="7:8" x14ac:dyDescent="0.3">
      <c r="G604" s="24">
        <v>592</v>
      </c>
      <c r="H604">
        <f t="shared" ca="1" si="12"/>
        <v>3.009646729599658E-2</v>
      </c>
    </row>
    <row r="605" spans="7:8" x14ac:dyDescent="0.3">
      <c r="G605" s="24">
        <v>593</v>
      </c>
      <c r="H605">
        <f t="shared" ca="1" si="12"/>
        <v>-4.8081186102850705E-2</v>
      </c>
    </row>
    <row r="606" spans="7:8" x14ac:dyDescent="0.3">
      <c r="G606" s="24">
        <v>594</v>
      </c>
      <c r="H606">
        <f t="shared" ca="1" si="12"/>
        <v>1.8187146227414434E-3</v>
      </c>
    </row>
    <row r="607" spans="7:8" x14ac:dyDescent="0.3">
      <c r="G607" s="24">
        <v>595</v>
      </c>
      <c r="H607">
        <f t="shared" ca="1" si="12"/>
        <v>8.2569559826074668E-2</v>
      </c>
    </row>
    <row r="608" spans="7:8" x14ac:dyDescent="0.3">
      <c r="G608" s="24">
        <v>596</v>
      </c>
      <c r="H608">
        <f t="shared" ca="1" si="12"/>
        <v>5.4278461902515736E-2</v>
      </c>
    </row>
    <row r="609" spans="7:8" x14ac:dyDescent="0.3">
      <c r="G609" s="24">
        <v>597</v>
      </c>
      <c r="H609">
        <f t="shared" ca="1" si="12"/>
        <v>-3.2591783312310198E-4</v>
      </c>
    </row>
    <row r="610" spans="7:8" x14ac:dyDescent="0.3">
      <c r="G610" s="24">
        <v>598</v>
      </c>
      <c r="H610">
        <f t="shared" ca="1" si="12"/>
        <v>8.0695353971260819E-2</v>
      </c>
    </row>
    <row r="611" spans="7:8" x14ac:dyDescent="0.3">
      <c r="G611" s="24">
        <v>599</v>
      </c>
      <c r="H611">
        <f t="shared" ca="1" si="12"/>
        <v>4.5541623673359517E-2</v>
      </c>
    </row>
    <row r="612" spans="7:8" x14ac:dyDescent="0.3">
      <c r="G612" s="24">
        <v>600</v>
      </c>
      <c r="H612">
        <f t="shared" ca="1" si="12"/>
        <v>3.4787370372918798E-2</v>
      </c>
    </row>
    <row r="613" spans="7:8" x14ac:dyDescent="0.3">
      <c r="G613" s="24">
        <v>601</v>
      </c>
      <c r="H613">
        <f t="shared" ca="1" si="12"/>
        <v>5.7442033591089389E-2</v>
      </c>
    </row>
    <row r="614" spans="7:8" x14ac:dyDescent="0.3">
      <c r="G614" s="24">
        <v>602</v>
      </c>
      <c r="H614">
        <f t="shared" ca="1" si="12"/>
        <v>2.274535074193975E-2</v>
      </c>
    </row>
    <row r="615" spans="7:8" x14ac:dyDescent="0.3">
      <c r="G615" s="24">
        <v>603</v>
      </c>
      <c r="H615">
        <f t="shared" ca="1" si="12"/>
        <v>-2.3006887849568182E-3</v>
      </c>
    </row>
    <row r="616" spans="7:8" x14ac:dyDescent="0.3">
      <c r="G616" s="24">
        <v>604</v>
      </c>
      <c r="H616">
        <f t="shared" ca="1" si="12"/>
        <v>-5.6183303531332419E-2</v>
      </c>
    </row>
    <row r="617" spans="7:8" x14ac:dyDescent="0.3">
      <c r="G617" s="24">
        <v>605</v>
      </c>
      <c r="H617">
        <f t="shared" ca="1" si="12"/>
        <v>-4.5692973735504711E-2</v>
      </c>
    </row>
    <row r="618" spans="7:8" x14ac:dyDescent="0.3">
      <c r="G618" s="24">
        <v>606</v>
      </c>
      <c r="H618">
        <f t="shared" ca="1" si="12"/>
        <v>-8.74431464360571E-3</v>
      </c>
    </row>
    <row r="619" spans="7:8" x14ac:dyDescent="0.3">
      <c r="G619" s="24">
        <v>607</v>
      </c>
      <c r="H619">
        <f t="shared" ca="1" si="12"/>
        <v>0.13906760848803623</v>
      </c>
    </row>
    <row r="620" spans="7:8" x14ac:dyDescent="0.3">
      <c r="G620" s="24">
        <v>608</v>
      </c>
      <c r="H620">
        <f t="shared" ca="1" si="12"/>
        <v>-6.7620078336832243E-2</v>
      </c>
    </row>
    <row r="621" spans="7:8" x14ac:dyDescent="0.3">
      <c r="G621" s="24">
        <v>609</v>
      </c>
      <c r="H621">
        <f t="shared" ca="1" si="12"/>
        <v>-8.1557696087806053E-2</v>
      </c>
    </row>
    <row r="622" spans="7:8" x14ac:dyDescent="0.3">
      <c r="G622" s="24">
        <v>610</v>
      </c>
      <c r="H622">
        <f t="shared" ca="1" si="12"/>
        <v>-8.0185543233880826E-3</v>
      </c>
    </row>
    <row r="623" spans="7:8" x14ac:dyDescent="0.3">
      <c r="G623" s="24">
        <v>611</v>
      </c>
      <c r="H623">
        <f t="shared" ca="1" si="12"/>
        <v>4.6347160341410017E-2</v>
      </c>
    </row>
    <row r="624" spans="7:8" x14ac:dyDescent="0.3">
      <c r="G624" s="24">
        <v>612</v>
      </c>
      <c r="H624">
        <f t="shared" ca="1" si="12"/>
        <v>-8.4468991783717834E-2</v>
      </c>
    </row>
    <row r="625" spans="7:8" x14ac:dyDescent="0.3">
      <c r="G625" s="24">
        <v>613</v>
      </c>
      <c r="H625">
        <f t="shared" ca="1" si="12"/>
        <v>-6.2891289246716511E-2</v>
      </c>
    </row>
    <row r="626" spans="7:8" x14ac:dyDescent="0.3">
      <c r="G626" s="24">
        <v>614</v>
      </c>
      <c r="H626">
        <f t="shared" ca="1" si="12"/>
        <v>7.6819401806911811E-2</v>
      </c>
    </row>
    <row r="627" spans="7:8" x14ac:dyDescent="0.3">
      <c r="G627" s="24">
        <v>615</v>
      </c>
      <c r="H627">
        <f t="shared" ca="1" si="12"/>
        <v>-1.606129903121193E-2</v>
      </c>
    </row>
    <row r="628" spans="7:8" x14ac:dyDescent="0.3">
      <c r="G628" s="24">
        <v>616</v>
      </c>
      <c r="H628">
        <f t="shared" ca="1" si="12"/>
        <v>3.8277724937894116E-2</v>
      </c>
    </row>
    <row r="629" spans="7:8" x14ac:dyDescent="0.3">
      <c r="G629" s="24">
        <v>617</v>
      </c>
      <c r="H629">
        <f t="shared" ca="1" si="12"/>
        <v>-3.5660098175162004E-2</v>
      </c>
    </row>
    <row r="630" spans="7:8" x14ac:dyDescent="0.3">
      <c r="G630" s="24">
        <v>618</v>
      </c>
      <c r="H630">
        <f t="shared" ca="1" si="12"/>
        <v>7.818386962151519E-2</v>
      </c>
    </row>
    <row r="631" spans="7:8" x14ac:dyDescent="0.3">
      <c r="G631" s="24">
        <v>619</v>
      </c>
      <c r="H631">
        <f t="shared" ca="1" si="12"/>
        <v>-3.9797732794868611E-2</v>
      </c>
    </row>
    <row r="632" spans="7:8" x14ac:dyDescent="0.3">
      <c r="G632" s="24">
        <v>620</v>
      </c>
      <c r="H632">
        <f t="shared" ca="1" si="12"/>
        <v>3.8590054206773153E-2</v>
      </c>
    </row>
    <row r="633" spans="7:8" x14ac:dyDescent="0.3">
      <c r="G633" s="24">
        <v>621</v>
      </c>
      <c r="H633">
        <f t="shared" ca="1" si="12"/>
        <v>6.680929352485282E-2</v>
      </c>
    </row>
    <row r="634" spans="7:8" x14ac:dyDescent="0.3">
      <c r="G634" s="24">
        <v>622</v>
      </c>
      <c r="H634">
        <f t="shared" ca="1" si="12"/>
        <v>-1.720978106295629E-2</v>
      </c>
    </row>
    <row r="635" spans="7:8" x14ac:dyDescent="0.3">
      <c r="G635" s="24">
        <v>623</v>
      </c>
      <c r="H635">
        <f t="shared" ca="1" si="12"/>
        <v>4.5788100745010787E-2</v>
      </c>
    </row>
    <row r="636" spans="7:8" x14ac:dyDescent="0.3">
      <c r="G636" s="24">
        <v>624</v>
      </c>
      <c r="H636">
        <f t="shared" ca="1" si="12"/>
        <v>-5.8403432922495412E-2</v>
      </c>
    </row>
    <row r="637" spans="7:8" x14ac:dyDescent="0.3">
      <c r="G637" s="24">
        <v>625</v>
      </c>
      <c r="H637">
        <f t="shared" ca="1" si="12"/>
        <v>0.17192434578887505</v>
      </c>
    </row>
    <row r="638" spans="7:8" x14ac:dyDescent="0.3">
      <c r="G638" s="24">
        <v>626</v>
      </c>
      <c r="H638">
        <f t="shared" ca="1" si="12"/>
        <v>8.5091777375441002E-4</v>
      </c>
    </row>
    <row r="639" spans="7:8" x14ac:dyDescent="0.3">
      <c r="G639" s="24">
        <v>627</v>
      </c>
      <c r="H639">
        <f t="shared" ca="1" si="12"/>
        <v>7.1066275816473942E-2</v>
      </c>
    </row>
    <row r="640" spans="7:8" x14ac:dyDescent="0.3">
      <c r="G640" s="24">
        <v>628</v>
      </c>
      <c r="H640">
        <f t="shared" ca="1" si="12"/>
        <v>-6.0101966031740305E-2</v>
      </c>
    </row>
    <row r="641" spans="7:8" x14ac:dyDescent="0.3">
      <c r="G641" s="24">
        <v>629</v>
      </c>
      <c r="H641">
        <f t="shared" ca="1" si="12"/>
        <v>2.1454989990201973E-2</v>
      </c>
    </row>
    <row r="642" spans="7:8" x14ac:dyDescent="0.3">
      <c r="G642" s="24">
        <v>630</v>
      </c>
      <c r="H642">
        <f t="shared" ca="1" si="12"/>
        <v>6.2627866988677495E-3</v>
      </c>
    </row>
    <row r="643" spans="7:8" x14ac:dyDescent="0.3">
      <c r="G643" s="24">
        <v>631</v>
      </c>
      <c r="H643">
        <f t="shared" ca="1" si="12"/>
        <v>7.0051787472652977E-2</v>
      </c>
    </row>
    <row r="644" spans="7:8" x14ac:dyDescent="0.3">
      <c r="G644" s="24">
        <v>632</v>
      </c>
      <c r="H644">
        <f t="shared" ca="1" si="12"/>
        <v>4.2052660000890599E-2</v>
      </c>
    </row>
    <row r="645" spans="7:8" x14ac:dyDescent="0.3">
      <c r="G645" s="24">
        <v>633</v>
      </c>
      <c r="H645">
        <f t="shared" ca="1" si="12"/>
        <v>0.136106938069251</v>
      </c>
    </row>
    <row r="646" spans="7:8" x14ac:dyDescent="0.3">
      <c r="G646" s="24">
        <v>634</v>
      </c>
      <c r="H646">
        <f t="shared" ca="1" si="12"/>
        <v>1.3742432134710186E-2</v>
      </c>
    </row>
    <row r="647" spans="7:8" x14ac:dyDescent="0.3">
      <c r="G647" s="24">
        <v>635</v>
      </c>
      <c r="H647">
        <f t="shared" ca="1" si="12"/>
        <v>5.9265412037856867E-2</v>
      </c>
    </row>
    <row r="648" spans="7:8" x14ac:dyDescent="0.3">
      <c r="G648" s="24">
        <v>636</v>
      </c>
      <c r="H648">
        <f t="shared" ca="1" si="12"/>
        <v>0.17750269805812038</v>
      </c>
    </row>
    <row r="649" spans="7:8" x14ac:dyDescent="0.3">
      <c r="G649" s="24">
        <v>637</v>
      </c>
      <c r="H649">
        <f t="shared" ca="1" si="12"/>
        <v>-7.7198472013066385E-2</v>
      </c>
    </row>
    <row r="650" spans="7:8" x14ac:dyDescent="0.3">
      <c r="G650" s="24">
        <v>638</v>
      </c>
      <c r="H650">
        <f t="shared" ca="1" si="12"/>
        <v>-3.8423705398066138E-2</v>
      </c>
    </row>
    <row r="651" spans="7:8" x14ac:dyDescent="0.3">
      <c r="G651" s="24">
        <v>639</v>
      </c>
      <c r="H651">
        <f t="shared" ca="1" si="12"/>
        <v>7.4051339312366488E-2</v>
      </c>
    </row>
    <row r="652" spans="7:8" x14ac:dyDescent="0.3">
      <c r="G652" s="24">
        <v>640</v>
      </c>
      <c r="H652">
        <f t="shared" ca="1" si="12"/>
        <v>-3.3158674101630405E-2</v>
      </c>
    </row>
    <row r="653" spans="7:8" x14ac:dyDescent="0.3">
      <c r="G653" s="24">
        <v>641</v>
      </c>
      <c r="H653">
        <f t="shared" ca="1" si="12"/>
        <v>8.3870402536988659E-2</v>
      </c>
    </row>
    <row r="654" spans="7:8" x14ac:dyDescent="0.3">
      <c r="G654" s="24">
        <v>642</v>
      </c>
      <c r="H654">
        <f t="shared" ref="H654:H717" ca="1" si="13">_xlfn.NORM.INV(RAND(),N$13,N$14)</f>
        <v>7.3166416723422098E-2</v>
      </c>
    </row>
    <row r="655" spans="7:8" x14ac:dyDescent="0.3">
      <c r="G655" s="24">
        <v>643</v>
      </c>
      <c r="H655">
        <f t="shared" ca="1" si="13"/>
        <v>-5.7369394149764975E-2</v>
      </c>
    </row>
    <row r="656" spans="7:8" x14ac:dyDescent="0.3">
      <c r="G656" s="24">
        <v>644</v>
      </c>
      <c r="H656">
        <f t="shared" ca="1" si="13"/>
        <v>-2.0463208557405372E-2</v>
      </c>
    </row>
    <row r="657" spans="7:8" x14ac:dyDescent="0.3">
      <c r="G657" s="24">
        <v>645</v>
      </c>
      <c r="H657">
        <f t="shared" ca="1" si="13"/>
        <v>1.9833153128745746E-2</v>
      </c>
    </row>
    <row r="658" spans="7:8" x14ac:dyDescent="0.3">
      <c r="G658" s="24">
        <v>646</v>
      </c>
      <c r="H658">
        <f t="shared" ca="1" si="13"/>
        <v>3.1999463669592339E-2</v>
      </c>
    </row>
    <row r="659" spans="7:8" x14ac:dyDescent="0.3">
      <c r="G659" s="24">
        <v>647</v>
      </c>
      <c r="H659">
        <f t="shared" ca="1" si="13"/>
        <v>-0.1551226413871534</v>
      </c>
    </row>
    <row r="660" spans="7:8" x14ac:dyDescent="0.3">
      <c r="G660" s="24">
        <v>648</v>
      </c>
      <c r="H660">
        <f t="shared" ca="1" si="13"/>
        <v>2.7145285600972367E-2</v>
      </c>
    </row>
    <row r="661" spans="7:8" x14ac:dyDescent="0.3">
      <c r="G661" s="24">
        <v>649</v>
      </c>
      <c r="H661">
        <f t="shared" ca="1" si="13"/>
        <v>-4.1053725600836553E-2</v>
      </c>
    </row>
    <row r="662" spans="7:8" x14ac:dyDescent="0.3">
      <c r="G662" s="24">
        <v>650</v>
      </c>
      <c r="H662">
        <f t="shared" ca="1" si="13"/>
        <v>-2.3744175935722513E-2</v>
      </c>
    </row>
    <row r="663" spans="7:8" x14ac:dyDescent="0.3">
      <c r="G663" s="24">
        <v>651</v>
      </c>
      <c r="H663">
        <f t="shared" ca="1" si="13"/>
        <v>-8.3147925490677482E-2</v>
      </c>
    </row>
    <row r="664" spans="7:8" x14ac:dyDescent="0.3">
      <c r="G664" s="24">
        <v>652</v>
      </c>
      <c r="H664">
        <f t="shared" ca="1" si="13"/>
        <v>5.395613832913821E-2</v>
      </c>
    </row>
    <row r="665" spans="7:8" x14ac:dyDescent="0.3">
      <c r="G665" s="24">
        <v>653</v>
      </c>
      <c r="H665">
        <f t="shared" ca="1" si="13"/>
        <v>0.16811496641718757</v>
      </c>
    </row>
    <row r="666" spans="7:8" x14ac:dyDescent="0.3">
      <c r="G666" s="24">
        <v>654</v>
      </c>
      <c r="H666">
        <f t="shared" ca="1" si="13"/>
        <v>7.8729747788588544E-2</v>
      </c>
    </row>
    <row r="667" spans="7:8" x14ac:dyDescent="0.3">
      <c r="G667" s="24">
        <v>655</v>
      </c>
      <c r="H667">
        <f t="shared" ca="1" si="13"/>
        <v>4.8709600660409545E-2</v>
      </c>
    </row>
    <row r="668" spans="7:8" x14ac:dyDescent="0.3">
      <c r="G668" s="24">
        <v>656</v>
      </c>
      <c r="H668">
        <f t="shared" ca="1" si="13"/>
        <v>-1.1008118082422812E-2</v>
      </c>
    </row>
    <row r="669" spans="7:8" x14ac:dyDescent="0.3">
      <c r="G669" s="24">
        <v>657</v>
      </c>
      <c r="H669">
        <f t="shared" ca="1" si="13"/>
        <v>2.1061975707597179E-2</v>
      </c>
    </row>
    <row r="670" spans="7:8" x14ac:dyDescent="0.3">
      <c r="G670" s="24">
        <v>658</v>
      </c>
      <c r="H670">
        <f t="shared" ca="1" si="13"/>
        <v>-3.732341434101033E-2</v>
      </c>
    </row>
    <row r="671" spans="7:8" x14ac:dyDescent="0.3">
      <c r="G671" s="24">
        <v>659</v>
      </c>
      <c r="H671">
        <f t="shared" ca="1" si="13"/>
        <v>-0.11365461553368672</v>
      </c>
    </row>
    <row r="672" spans="7:8" x14ac:dyDescent="0.3">
      <c r="G672" s="24">
        <v>660</v>
      </c>
      <c r="H672">
        <f t="shared" ca="1" si="13"/>
        <v>-1.0987607078268995E-2</v>
      </c>
    </row>
    <row r="673" spans="7:8" x14ac:dyDescent="0.3">
      <c r="G673" s="24">
        <v>661</v>
      </c>
      <c r="H673">
        <f t="shared" ca="1" si="13"/>
        <v>-4.5006521678240902E-2</v>
      </c>
    </row>
    <row r="674" spans="7:8" x14ac:dyDescent="0.3">
      <c r="G674" s="24">
        <v>662</v>
      </c>
      <c r="H674">
        <f t="shared" ca="1" si="13"/>
        <v>1.0462465409590413E-2</v>
      </c>
    </row>
    <row r="675" spans="7:8" x14ac:dyDescent="0.3">
      <c r="G675" s="24">
        <v>663</v>
      </c>
      <c r="H675">
        <f t="shared" ca="1" si="13"/>
        <v>-1.9846131641824232E-2</v>
      </c>
    </row>
    <row r="676" spans="7:8" x14ac:dyDescent="0.3">
      <c r="G676" s="24">
        <v>664</v>
      </c>
      <c r="H676">
        <f t="shared" ca="1" si="13"/>
        <v>5.488679222995782E-2</v>
      </c>
    </row>
    <row r="677" spans="7:8" x14ac:dyDescent="0.3">
      <c r="G677" s="24">
        <v>665</v>
      </c>
      <c r="H677">
        <f t="shared" ca="1" si="13"/>
        <v>-9.1208329255965184E-3</v>
      </c>
    </row>
    <row r="678" spans="7:8" x14ac:dyDescent="0.3">
      <c r="G678" s="24">
        <v>666</v>
      </c>
      <c r="H678">
        <f t="shared" ca="1" si="13"/>
        <v>-3.8677628571573017E-2</v>
      </c>
    </row>
    <row r="679" spans="7:8" x14ac:dyDescent="0.3">
      <c r="G679" s="24">
        <v>667</v>
      </c>
      <c r="H679">
        <f t="shared" ca="1" si="13"/>
        <v>0.14383616004563535</v>
      </c>
    </row>
    <row r="680" spans="7:8" x14ac:dyDescent="0.3">
      <c r="G680" s="24">
        <v>668</v>
      </c>
      <c r="H680">
        <f t="shared" ca="1" si="13"/>
        <v>4.8844107166375909E-3</v>
      </c>
    </row>
    <row r="681" spans="7:8" x14ac:dyDescent="0.3">
      <c r="G681" s="24">
        <v>669</v>
      </c>
      <c r="H681">
        <f t="shared" ca="1" si="13"/>
        <v>2.5040867488028667E-2</v>
      </c>
    </row>
    <row r="682" spans="7:8" x14ac:dyDescent="0.3">
      <c r="G682" s="24">
        <v>670</v>
      </c>
      <c r="H682">
        <f t="shared" ca="1" si="13"/>
        <v>8.4864953667647871E-3</v>
      </c>
    </row>
    <row r="683" spans="7:8" x14ac:dyDescent="0.3">
      <c r="G683" s="24">
        <v>671</v>
      </c>
      <c r="H683">
        <f t="shared" ca="1" si="13"/>
        <v>7.7034529790079883E-4</v>
      </c>
    </row>
    <row r="684" spans="7:8" x14ac:dyDescent="0.3">
      <c r="G684" s="24">
        <v>672</v>
      </c>
      <c r="H684">
        <f t="shared" ca="1" si="13"/>
        <v>0.10595267665283967</v>
      </c>
    </row>
    <row r="685" spans="7:8" x14ac:dyDescent="0.3">
      <c r="G685" s="24">
        <v>673</v>
      </c>
      <c r="H685">
        <f t="shared" ca="1" si="13"/>
        <v>-2.9226831747652857E-3</v>
      </c>
    </row>
    <row r="686" spans="7:8" x14ac:dyDescent="0.3">
      <c r="G686" s="24">
        <v>674</v>
      </c>
      <c r="H686">
        <f t="shared" ca="1" si="13"/>
        <v>-9.8438912754763255E-2</v>
      </c>
    </row>
    <row r="687" spans="7:8" x14ac:dyDescent="0.3">
      <c r="G687" s="24">
        <v>675</v>
      </c>
      <c r="H687">
        <f t="shared" ca="1" si="13"/>
        <v>-0.10752985521945545</v>
      </c>
    </row>
    <row r="688" spans="7:8" x14ac:dyDescent="0.3">
      <c r="G688" s="24">
        <v>676</v>
      </c>
      <c r="H688">
        <f t="shared" ca="1" si="13"/>
        <v>-7.0963826591636039E-3</v>
      </c>
    </row>
    <row r="689" spans="7:8" x14ac:dyDescent="0.3">
      <c r="G689" s="24">
        <v>677</v>
      </c>
      <c r="H689">
        <f t="shared" ca="1" si="13"/>
        <v>-0.15730789552087554</v>
      </c>
    </row>
    <row r="690" spans="7:8" x14ac:dyDescent="0.3">
      <c r="G690" s="24">
        <v>678</v>
      </c>
      <c r="H690">
        <f t="shared" ca="1" si="13"/>
        <v>9.3222677142860907E-3</v>
      </c>
    </row>
    <row r="691" spans="7:8" x14ac:dyDescent="0.3">
      <c r="G691" s="24">
        <v>679</v>
      </c>
      <c r="H691">
        <f t="shared" ca="1" si="13"/>
        <v>0.13947504644207409</v>
      </c>
    </row>
    <row r="692" spans="7:8" x14ac:dyDescent="0.3">
      <c r="G692" s="24">
        <v>680</v>
      </c>
      <c r="H692">
        <f t="shared" ca="1" si="13"/>
        <v>3.1210427995227049E-2</v>
      </c>
    </row>
    <row r="693" spans="7:8" x14ac:dyDescent="0.3">
      <c r="G693" s="24">
        <v>681</v>
      </c>
      <c r="H693">
        <f t="shared" ca="1" si="13"/>
        <v>-7.6174844505438356E-4</v>
      </c>
    </row>
    <row r="694" spans="7:8" x14ac:dyDescent="0.3">
      <c r="G694" s="24">
        <v>682</v>
      </c>
      <c r="H694">
        <f t="shared" ca="1" si="13"/>
        <v>2.2259174347228999E-2</v>
      </c>
    </row>
    <row r="695" spans="7:8" x14ac:dyDescent="0.3">
      <c r="G695" s="24">
        <v>683</v>
      </c>
      <c r="H695">
        <f t="shared" ca="1" si="13"/>
        <v>5.1995247885375795E-2</v>
      </c>
    </row>
    <row r="696" spans="7:8" x14ac:dyDescent="0.3">
      <c r="G696" s="24">
        <v>684</v>
      </c>
      <c r="H696">
        <f t="shared" ca="1" si="13"/>
        <v>1.0591977078023306E-2</v>
      </c>
    </row>
    <row r="697" spans="7:8" x14ac:dyDescent="0.3">
      <c r="G697" s="24">
        <v>685</v>
      </c>
      <c r="H697">
        <f t="shared" ca="1" si="13"/>
        <v>-8.4982695055093441E-2</v>
      </c>
    </row>
    <row r="698" spans="7:8" x14ac:dyDescent="0.3">
      <c r="G698" s="24">
        <v>686</v>
      </c>
      <c r="H698">
        <f t="shared" ca="1" si="13"/>
        <v>-2.7522049216768769E-2</v>
      </c>
    </row>
    <row r="699" spans="7:8" x14ac:dyDescent="0.3">
      <c r="G699" s="24">
        <v>687</v>
      </c>
      <c r="H699">
        <f t="shared" ca="1" si="13"/>
        <v>1.2756454101287826E-2</v>
      </c>
    </row>
    <row r="700" spans="7:8" x14ac:dyDescent="0.3">
      <c r="G700" s="24">
        <v>688</v>
      </c>
      <c r="H700">
        <f t="shared" ca="1" si="13"/>
        <v>-6.0895171439986746E-2</v>
      </c>
    </row>
    <row r="701" spans="7:8" x14ac:dyDescent="0.3">
      <c r="G701" s="24">
        <v>689</v>
      </c>
      <c r="H701">
        <f t="shared" ca="1" si="13"/>
        <v>4.9852348379113107E-2</v>
      </c>
    </row>
    <row r="702" spans="7:8" x14ac:dyDescent="0.3">
      <c r="G702" s="24">
        <v>690</v>
      </c>
      <c r="H702">
        <f t="shared" ca="1" si="13"/>
        <v>7.5086628713672776E-2</v>
      </c>
    </row>
    <row r="703" spans="7:8" x14ac:dyDescent="0.3">
      <c r="G703" s="24">
        <v>691</v>
      </c>
      <c r="H703">
        <f t="shared" ca="1" si="13"/>
        <v>-0.15662014828445531</v>
      </c>
    </row>
    <row r="704" spans="7:8" x14ac:dyDescent="0.3">
      <c r="G704" s="24">
        <v>692</v>
      </c>
      <c r="H704">
        <f t="shared" ca="1" si="13"/>
        <v>-0.10616714323703379</v>
      </c>
    </row>
    <row r="705" spans="7:8" x14ac:dyDescent="0.3">
      <c r="G705" s="24">
        <v>693</v>
      </c>
      <c r="H705">
        <f t="shared" ca="1" si="13"/>
        <v>-7.2195825409001671E-2</v>
      </c>
    </row>
    <row r="706" spans="7:8" x14ac:dyDescent="0.3">
      <c r="G706" s="24">
        <v>694</v>
      </c>
      <c r="H706">
        <f t="shared" ca="1" si="13"/>
        <v>4.701074993530785E-3</v>
      </c>
    </row>
    <row r="707" spans="7:8" x14ac:dyDescent="0.3">
      <c r="G707" s="24">
        <v>695</v>
      </c>
      <c r="H707">
        <f t="shared" ca="1" si="13"/>
        <v>-4.3100217102337732E-2</v>
      </c>
    </row>
    <row r="708" spans="7:8" x14ac:dyDescent="0.3">
      <c r="G708" s="24">
        <v>696</v>
      </c>
      <c r="H708">
        <f t="shared" ca="1" si="13"/>
        <v>-2.1443957775855685E-2</v>
      </c>
    </row>
    <row r="709" spans="7:8" x14ac:dyDescent="0.3">
      <c r="G709" s="24">
        <v>697</v>
      </c>
      <c r="H709">
        <f t="shared" ca="1" si="13"/>
        <v>1.5237106115672002E-2</v>
      </c>
    </row>
    <row r="710" spans="7:8" x14ac:dyDescent="0.3">
      <c r="G710" s="24">
        <v>698</v>
      </c>
      <c r="H710">
        <f t="shared" ca="1" si="13"/>
        <v>-4.6197458641751461E-2</v>
      </c>
    </row>
    <row r="711" spans="7:8" x14ac:dyDescent="0.3">
      <c r="G711" s="24">
        <v>699</v>
      </c>
      <c r="H711">
        <f t="shared" ca="1" si="13"/>
        <v>3.8649937796462669E-2</v>
      </c>
    </row>
    <row r="712" spans="7:8" x14ac:dyDescent="0.3">
      <c r="G712" s="24">
        <v>700</v>
      </c>
      <c r="H712">
        <f t="shared" ca="1" si="13"/>
        <v>-3.8787786434763931E-2</v>
      </c>
    </row>
    <row r="713" spans="7:8" x14ac:dyDescent="0.3">
      <c r="G713" s="24">
        <v>701</v>
      </c>
      <c r="H713">
        <f t="shared" ca="1" si="13"/>
        <v>-6.8468281094315811E-2</v>
      </c>
    </row>
    <row r="714" spans="7:8" x14ac:dyDescent="0.3">
      <c r="G714" s="24">
        <v>702</v>
      </c>
      <c r="H714">
        <f t="shared" ca="1" si="13"/>
        <v>-7.1212179752318264E-2</v>
      </c>
    </row>
    <row r="715" spans="7:8" x14ac:dyDescent="0.3">
      <c r="G715" s="24">
        <v>703</v>
      </c>
      <c r="H715">
        <f t="shared" ca="1" si="13"/>
        <v>-6.5648807079679961E-2</v>
      </c>
    </row>
    <row r="716" spans="7:8" x14ac:dyDescent="0.3">
      <c r="G716" s="24">
        <v>704</v>
      </c>
      <c r="H716">
        <f t="shared" ca="1" si="13"/>
        <v>8.4267068480856314E-2</v>
      </c>
    </row>
    <row r="717" spans="7:8" x14ac:dyDescent="0.3">
      <c r="G717" s="24">
        <v>705</v>
      </c>
      <c r="H717">
        <f t="shared" ca="1" si="13"/>
        <v>8.9310820036966193E-2</v>
      </c>
    </row>
    <row r="718" spans="7:8" x14ac:dyDescent="0.3">
      <c r="G718" s="24">
        <v>706</v>
      </c>
      <c r="H718">
        <f t="shared" ref="H718:H781" ca="1" si="14">_xlfn.NORM.INV(RAND(),N$13,N$14)</f>
        <v>-0.11521107405726641</v>
      </c>
    </row>
    <row r="719" spans="7:8" x14ac:dyDescent="0.3">
      <c r="G719" s="24">
        <v>707</v>
      </c>
      <c r="H719">
        <f t="shared" ca="1" si="14"/>
        <v>5.2272747559713652E-2</v>
      </c>
    </row>
    <row r="720" spans="7:8" x14ac:dyDescent="0.3">
      <c r="G720" s="24">
        <v>708</v>
      </c>
      <c r="H720">
        <f t="shared" ca="1" si="14"/>
        <v>2.673285516409616E-2</v>
      </c>
    </row>
    <row r="721" spans="7:8" x14ac:dyDescent="0.3">
      <c r="G721" s="24">
        <v>709</v>
      </c>
      <c r="H721">
        <f t="shared" ca="1" si="14"/>
        <v>-7.3201253546027689E-2</v>
      </c>
    </row>
    <row r="722" spans="7:8" x14ac:dyDescent="0.3">
      <c r="G722" s="24">
        <v>710</v>
      </c>
      <c r="H722">
        <f t="shared" ca="1" si="14"/>
        <v>3.9260368740039425E-4</v>
      </c>
    </row>
    <row r="723" spans="7:8" x14ac:dyDescent="0.3">
      <c r="G723" s="24">
        <v>711</v>
      </c>
      <c r="H723">
        <f t="shared" ca="1" si="14"/>
        <v>-7.9400329576223186E-2</v>
      </c>
    </row>
    <row r="724" spans="7:8" x14ac:dyDescent="0.3">
      <c r="G724" s="24">
        <v>712</v>
      </c>
      <c r="H724">
        <f t="shared" ca="1" si="14"/>
        <v>-6.7051786067675867E-2</v>
      </c>
    </row>
    <row r="725" spans="7:8" x14ac:dyDescent="0.3">
      <c r="G725" s="24">
        <v>713</v>
      </c>
      <c r="H725">
        <f t="shared" ca="1" si="14"/>
        <v>0.12950293299069401</v>
      </c>
    </row>
    <row r="726" spans="7:8" x14ac:dyDescent="0.3">
      <c r="G726" s="24">
        <v>714</v>
      </c>
      <c r="H726">
        <f t="shared" ca="1" si="14"/>
        <v>-4.8364718119952542E-2</v>
      </c>
    </row>
    <row r="727" spans="7:8" x14ac:dyDescent="0.3">
      <c r="G727" s="24">
        <v>715</v>
      </c>
      <c r="H727">
        <f t="shared" ca="1" si="14"/>
        <v>-3.6182793389059782E-2</v>
      </c>
    </row>
    <row r="728" spans="7:8" x14ac:dyDescent="0.3">
      <c r="G728" s="24">
        <v>716</v>
      </c>
      <c r="H728">
        <f t="shared" ca="1" si="14"/>
        <v>-3.9586137736883374E-2</v>
      </c>
    </row>
    <row r="729" spans="7:8" x14ac:dyDescent="0.3">
      <c r="G729" s="24">
        <v>717</v>
      </c>
      <c r="H729">
        <f t="shared" ca="1" si="14"/>
        <v>-1.9105072050832248E-3</v>
      </c>
    </row>
    <row r="730" spans="7:8" x14ac:dyDescent="0.3">
      <c r="G730" s="24">
        <v>718</v>
      </c>
      <c r="H730">
        <f t="shared" ca="1" si="14"/>
        <v>2.0026665069600436E-2</v>
      </c>
    </row>
    <row r="731" spans="7:8" x14ac:dyDescent="0.3">
      <c r="G731" s="24">
        <v>719</v>
      </c>
      <c r="H731">
        <f t="shared" ca="1" si="14"/>
        <v>1.063837451273675E-2</v>
      </c>
    </row>
    <row r="732" spans="7:8" x14ac:dyDescent="0.3">
      <c r="G732" s="24">
        <v>720</v>
      </c>
      <c r="H732">
        <f t="shared" ca="1" si="14"/>
        <v>-0.10373837189735488</v>
      </c>
    </row>
    <row r="733" spans="7:8" x14ac:dyDescent="0.3">
      <c r="G733" s="24">
        <v>721</v>
      </c>
      <c r="H733">
        <f t="shared" ca="1" si="14"/>
        <v>2.395498135370518E-2</v>
      </c>
    </row>
    <row r="734" spans="7:8" x14ac:dyDescent="0.3">
      <c r="G734" s="24">
        <v>722</v>
      </c>
      <c r="H734">
        <f t="shared" ca="1" si="14"/>
        <v>6.5664106671252567E-2</v>
      </c>
    </row>
    <row r="735" spans="7:8" x14ac:dyDescent="0.3">
      <c r="G735" s="24">
        <v>723</v>
      </c>
      <c r="H735">
        <f t="shared" ca="1" si="14"/>
        <v>8.4622775243566414E-2</v>
      </c>
    </row>
    <row r="736" spans="7:8" x14ac:dyDescent="0.3">
      <c r="G736" s="24">
        <v>724</v>
      </c>
      <c r="H736">
        <f t="shared" ca="1" si="14"/>
        <v>9.6582766700433045E-2</v>
      </c>
    </row>
    <row r="737" spans="7:8" x14ac:dyDescent="0.3">
      <c r="G737" s="24">
        <v>725</v>
      </c>
      <c r="H737">
        <f t="shared" ca="1" si="14"/>
        <v>-7.0493396189679515E-3</v>
      </c>
    </row>
    <row r="738" spans="7:8" x14ac:dyDescent="0.3">
      <c r="G738" s="24">
        <v>726</v>
      </c>
      <c r="H738">
        <f t="shared" ca="1" si="14"/>
        <v>1.3431129385316888E-2</v>
      </c>
    </row>
    <row r="739" spans="7:8" x14ac:dyDescent="0.3">
      <c r="G739" s="24">
        <v>727</v>
      </c>
      <c r="H739">
        <f t="shared" ca="1" si="14"/>
        <v>4.9687222458686814E-2</v>
      </c>
    </row>
    <row r="740" spans="7:8" x14ac:dyDescent="0.3">
      <c r="G740" s="24">
        <v>728</v>
      </c>
      <c r="H740">
        <f t="shared" ca="1" si="14"/>
        <v>5.9634194653317416E-2</v>
      </c>
    </row>
    <row r="741" spans="7:8" x14ac:dyDescent="0.3">
      <c r="G741" s="24">
        <v>729</v>
      </c>
      <c r="H741">
        <f t="shared" ca="1" si="14"/>
        <v>-3.0356161983192794E-2</v>
      </c>
    </row>
    <row r="742" spans="7:8" x14ac:dyDescent="0.3">
      <c r="G742" s="24">
        <v>730</v>
      </c>
      <c r="H742">
        <f t="shared" ca="1" si="14"/>
        <v>-3.3271725587377649E-2</v>
      </c>
    </row>
    <row r="743" spans="7:8" x14ac:dyDescent="0.3">
      <c r="G743" s="24">
        <v>731</v>
      </c>
      <c r="H743">
        <f t="shared" ca="1" si="14"/>
        <v>0.11324163752251053</v>
      </c>
    </row>
    <row r="744" spans="7:8" x14ac:dyDescent="0.3">
      <c r="G744" s="24">
        <v>732</v>
      </c>
      <c r="H744">
        <f t="shared" ca="1" si="14"/>
        <v>1.1387468573692888E-3</v>
      </c>
    </row>
    <row r="745" spans="7:8" x14ac:dyDescent="0.3">
      <c r="G745" s="24">
        <v>733</v>
      </c>
      <c r="H745">
        <f t="shared" ca="1" si="14"/>
        <v>3.5985927036395388E-2</v>
      </c>
    </row>
    <row r="746" spans="7:8" x14ac:dyDescent="0.3">
      <c r="G746" s="24">
        <v>734</v>
      </c>
      <c r="H746">
        <f t="shared" ca="1" si="14"/>
        <v>1.2832531696295333E-2</v>
      </c>
    </row>
    <row r="747" spans="7:8" x14ac:dyDescent="0.3">
      <c r="G747" s="24">
        <v>735</v>
      </c>
      <c r="H747">
        <f t="shared" ca="1" si="14"/>
        <v>8.0536862805431222E-2</v>
      </c>
    </row>
    <row r="748" spans="7:8" x14ac:dyDescent="0.3">
      <c r="G748" s="24">
        <v>736</v>
      </c>
      <c r="H748">
        <f t="shared" ca="1" si="14"/>
        <v>0.1913982098658801</v>
      </c>
    </row>
    <row r="749" spans="7:8" x14ac:dyDescent="0.3">
      <c r="G749" s="24">
        <v>737</v>
      </c>
      <c r="H749">
        <f t="shared" ca="1" si="14"/>
        <v>-7.389401436091754E-2</v>
      </c>
    </row>
    <row r="750" spans="7:8" x14ac:dyDescent="0.3">
      <c r="G750" s="24">
        <v>738</v>
      </c>
      <c r="H750">
        <f t="shared" ca="1" si="14"/>
        <v>4.9156298620172803E-2</v>
      </c>
    </row>
    <row r="751" spans="7:8" x14ac:dyDescent="0.3">
      <c r="G751" s="24">
        <v>739</v>
      </c>
      <c r="H751">
        <f t="shared" ca="1" si="14"/>
        <v>-4.0958457080308514E-2</v>
      </c>
    </row>
    <row r="752" spans="7:8" x14ac:dyDescent="0.3">
      <c r="G752" s="24">
        <v>740</v>
      </c>
      <c r="H752">
        <f t="shared" ca="1" si="14"/>
        <v>-0.12501697457723857</v>
      </c>
    </row>
    <row r="753" spans="7:8" x14ac:dyDescent="0.3">
      <c r="G753" s="24">
        <v>741</v>
      </c>
      <c r="H753">
        <f t="shared" ca="1" si="14"/>
        <v>-4.0538614089076851E-2</v>
      </c>
    </row>
    <row r="754" spans="7:8" x14ac:dyDescent="0.3">
      <c r="G754" s="24">
        <v>742</v>
      </c>
      <c r="H754">
        <f t="shared" ca="1" si="14"/>
        <v>-3.1968440651882889E-2</v>
      </c>
    </row>
    <row r="755" spans="7:8" x14ac:dyDescent="0.3">
      <c r="G755" s="24">
        <v>743</v>
      </c>
      <c r="H755">
        <f t="shared" ca="1" si="14"/>
        <v>-0.12941098181074018</v>
      </c>
    </row>
    <row r="756" spans="7:8" x14ac:dyDescent="0.3">
      <c r="G756" s="24">
        <v>744</v>
      </c>
      <c r="H756">
        <f t="shared" ca="1" si="14"/>
        <v>-1.5043076922244436E-2</v>
      </c>
    </row>
    <row r="757" spans="7:8" x14ac:dyDescent="0.3">
      <c r="G757" s="24">
        <v>745</v>
      </c>
      <c r="H757">
        <f t="shared" ca="1" si="14"/>
        <v>-6.0740337365978413E-2</v>
      </c>
    </row>
    <row r="758" spans="7:8" x14ac:dyDescent="0.3">
      <c r="G758" s="24">
        <v>746</v>
      </c>
      <c r="H758">
        <f t="shared" ca="1" si="14"/>
        <v>-4.4345511536680864E-2</v>
      </c>
    </row>
    <row r="759" spans="7:8" x14ac:dyDescent="0.3">
      <c r="G759" s="24">
        <v>747</v>
      </c>
      <c r="H759">
        <f t="shared" ca="1" si="14"/>
        <v>-7.4143680661657593E-2</v>
      </c>
    </row>
    <row r="760" spans="7:8" x14ac:dyDescent="0.3">
      <c r="G760" s="24">
        <v>748</v>
      </c>
      <c r="H760">
        <f t="shared" ca="1" si="14"/>
        <v>-1.5195424042844803E-2</v>
      </c>
    </row>
    <row r="761" spans="7:8" x14ac:dyDescent="0.3">
      <c r="G761" s="24">
        <v>749</v>
      </c>
      <c r="H761">
        <f t="shared" ca="1" si="14"/>
        <v>7.4728654419704901E-2</v>
      </c>
    </row>
    <row r="762" spans="7:8" x14ac:dyDescent="0.3">
      <c r="G762" s="24">
        <v>750</v>
      </c>
      <c r="H762">
        <f t="shared" ca="1" si="14"/>
        <v>4.9832990257757621E-2</v>
      </c>
    </row>
    <row r="763" spans="7:8" x14ac:dyDescent="0.3">
      <c r="G763" s="24">
        <v>751</v>
      </c>
      <c r="H763">
        <f t="shared" ca="1" si="14"/>
        <v>0.13547571151047222</v>
      </c>
    </row>
    <row r="764" spans="7:8" x14ac:dyDescent="0.3">
      <c r="G764" s="24">
        <v>752</v>
      </c>
      <c r="H764">
        <f t="shared" ca="1" si="14"/>
        <v>-2.6511287242895049E-2</v>
      </c>
    </row>
    <row r="765" spans="7:8" x14ac:dyDescent="0.3">
      <c r="G765" s="24">
        <v>753</v>
      </c>
      <c r="H765">
        <f t="shared" ca="1" si="14"/>
        <v>7.5324803804006774E-2</v>
      </c>
    </row>
    <row r="766" spans="7:8" x14ac:dyDescent="0.3">
      <c r="G766" s="24">
        <v>754</v>
      </c>
      <c r="H766">
        <f t="shared" ca="1" si="14"/>
        <v>0.13620397118709276</v>
      </c>
    </row>
    <row r="767" spans="7:8" x14ac:dyDescent="0.3">
      <c r="G767" s="24">
        <v>755</v>
      </c>
      <c r="H767">
        <f t="shared" ca="1" si="14"/>
        <v>-0.13684856160920428</v>
      </c>
    </row>
    <row r="768" spans="7:8" x14ac:dyDescent="0.3">
      <c r="G768" s="24">
        <v>756</v>
      </c>
      <c r="H768">
        <f t="shared" ca="1" si="14"/>
        <v>5.7854247555341048E-2</v>
      </c>
    </row>
    <row r="769" spans="7:8" x14ac:dyDescent="0.3">
      <c r="G769" s="24">
        <v>757</v>
      </c>
      <c r="H769">
        <f t="shared" ca="1" si="14"/>
        <v>-1.9649797517323403E-2</v>
      </c>
    </row>
    <row r="770" spans="7:8" x14ac:dyDescent="0.3">
      <c r="G770" s="24">
        <v>758</v>
      </c>
      <c r="H770">
        <f t="shared" ca="1" si="14"/>
        <v>5.0878429814603179E-2</v>
      </c>
    </row>
    <row r="771" spans="7:8" x14ac:dyDescent="0.3">
      <c r="G771" s="24">
        <v>759</v>
      </c>
      <c r="H771">
        <f t="shared" ca="1" si="14"/>
        <v>7.0311128294939101E-2</v>
      </c>
    </row>
    <row r="772" spans="7:8" x14ac:dyDescent="0.3">
      <c r="G772" s="24">
        <v>760</v>
      </c>
      <c r="H772">
        <f t="shared" ca="1" si="14"/>
        <v>-1.8487768116360735E-2</v>
      </c>
    </row>
    <row r="773" spans="7:8" x14ac:dyDescent="0.3">
      <c r="G773" s="24">
        <v>761</v>
      </c>
      <c r="H773">
        <f t="shared" ca="1" si="14"/>
        <v>-1.4343047596894525E-2</v>
      </c>
    </row>
    <row r="774" spans="7:8" x14ac:dyDescent="0.3">
      <c r="G774" s="24">
        <v>762</v>
      </c>
      <c r="H774">
        <f t="shared" ca="1" si="14"/>
        <v>-4.5428657885606197E-2</v>
      </c>
    </row>
    <row r="775" spans="7:8" x14ac:dyDescent="0.3">
      <c r="G775" s="24">
        <v>763</v>
      </c>
      <c r="H775">
        <f t="shared" ca="1" si="14"/>
        <v>-8.6874791286546793E-2</v>
      </c>
    </row>
    <row r="776" spans="7:8" x14ac:dyDescent="0.3">
      <c r="G776" s="24">
        <v>764</v>
      </c>
      <c r="H776">
        <f t="shared" ca="1" si="14"/>
        <v>2.6957320550260556E-2</v>
      </c>
    </row>
    <row r="777" spans="7:8" x14ac:dyDescent="0.3">
      <c r="G777" s="24">
        <v>765</v>
      </c>
      <c r="H777">
        <f t="shared" ca="1" si="14"/>
        <v>1.9120457630944419E-2</v>
      </c>
    </row>
    <row r="778" spans="7:8" x14ac:dyDescent="0.3">
      <c r="G778" s="24">
        <v>766</v>
      </c>
      <c r="H778">
        <f t="shared" ca="1" si="14"/>
        <v>5.411971985233395E-2</v>
      </c>
    </row>
    <row r="779" spans="7:8" x14ac:dyDescent="0.3">
      <c r="G779" s="24">
        <v>767</v>
      </c>
      <c r="H779">
        <f t="shared" ca="1" si="14"/>
        <v>0.14776788534813076</v>
      </c>
    </row>
    <row r="780" spans="7:8" x14ac:dyDescent="0.3">
      <c r="G780" s="24">
        <v>768</v>
      </c>
      <c r="H780">
        <f t="shared" ca="1" si="14"/>
        <v>8.2062157836356439E-2</v>
      </c>
    </row>
    <row r="781" spans="7:8" x14ac:dyDescent="0.3">
      <c r="G781" s="24">
        <v>769</v>
      </c>
      <c r="H781">
        <f t="shared" ca="1" si="14"/>
        <v>-2.4793477798075621E-2</v>
      </c>
    </row>
    <row r="782" spans="7:8" x14ac:dyDescent="0.3">
      <c r="G782" s="24">
        <v>770</v>
      </c>
      <c r="H782">
        <f t="shared" ref="H782:H845" ca="1" si="15">_xlfn.NORM.INV(RAND(),N$13,N$14)</f>
        <v>-8.4437619250047433E-2</v>
      </c>
    </row>
    <row r="783" spans="7:8" x14ac:dyDescent="0.3">
      <c r="G783" s="24">
        <v>771</v>
      </c>
      <c r="H783">
        <f t="shared" ca="1" si="15"/>
        <v>-0.11835455807759561</v>
      </c>
    </row>
    <row r="784" spans="7:8" x14ac:dyDescent="0.3">
      <c r="G784" s="24">
        <v>772</v>
      </c>
      <c r="H784">
        <f t="shared" ca="1" si="15"/>
        <v>-6.3505304691154368E-2</v>
      </c>
    </row>
    <row r="785" spans="7:8" x14ac:dyDescent="0.3">
      <c r="G785" s="24">
        <v>773</v>
      </c>
      <c r="H785">
        <f t="shared" ca="1" si="15"/>
        <v>-1.5508821956345644E-2</v>
      </c>
    </row>
    <row r="786" spans="7:8" x14ac:dyDescent="0.3">
      <c r="G786" s="24">
        <v>774</v>
      </c>
      <c r="H786">
        <f t="shared" ca="1" si="15"/>
        <v>8.0119271340147055E-2</v>
      </c>
    </row>
    <row r="787" spans="7:8" x14ac:dyDescent="0.3">
      <c r="G787" s="24">
        <v>775</v>
      </c>
      <c r="H787">
        <f t="shared" ca="1" si="15"/>
        <v>-7.2721365251729911E-2</v>
      </c>
    </row>
    <row r="788" spans="7:8" x14ac:dyDescent="0.3">
      <c r="G788" s="24">
        <v>776</v>
      </c>
      <c r="H788">
        <f t="shared" ca="1" si="15"/>
        <v>9.0922692540884198E-2</v>
      </c>
    </row>
    <row r="789" spans="7:8" x14ac:dyDescent="0.3">
      <c r="G789" s="24">
        <v>777</v>
      </c>
      <c r="H789">
        <f t="shared" ca="1" si="15"/>
        <v>-0.1099138376189473</v>
      </c>
    </row>
    <row r="790" spans="7:8" x14ac:dyDescent="0.3">
      <c r="G790" s="24">
        <v>778</v>
      </c>
      <c r="H790">
        <f t="shared" ca="1" si="15"/>
        <v>-1.6502017913492314E-2</v>
      </c>
    </row>
    <row r="791" spans="7:8" x14ac:dyDescent="0.3">
      <c r="G791" s="24">
        <v>779</v>
      </c>
      <c r="H791">
        <f t="shared" ca="1" si="15"/>
        <v>-6.6599796483053642E-2</v>
      </c>
    </row>
    <row r="792" spans="7:8" x14ac:dyDescent="0.3">
      <c r="G792" s="24">
        <v>780</v>
      </c>
      <c r="H792">
        <f t="shared" ca="1" si="15"/>
        <v>0.13065240729592084</v>
      </c>
    </row>
    <row r="793" spans="7:8" x14ac:dyDescent="0.3">
      <c r="G793" s="24">
        <v>781</v>
      </c>
      <c r="H793">
        <f t="shared" ca="1" si="15"/>
        <v>-8.1277510253860152E-2</v>
      </c>
    </row>
    <row r="794" spans="7:8" x14ac:dyDescent="0.3">
      <c r="G794" s="24">
        <v>782</v>
      </c>
      <c r="H794">
        <f t="shared" ca="1" si="15"/>
        <v>-6.0792989662779594E-2</v>
      </c>
    </row>
    <row r="795" spans="7:8" x14ac:dyDescent="0.3">
      <c r="G795" s="24">
        <v>783</v>
      </c>
      <c r="H795">
        <f t="shared" ca="1" si="15"/>
        <v>-6.3629665557795104E-3</v>
      </c>
    </row>
    <row r="796" spans="7:8" x14ac:dyDescent="0.3">
      <c r="G796" s="24">
        <v>784</v>
      </c>
      <c r="H796">
        <f t="shared" ca="1" si="15"/>
        <v>4.5359434033465838E-2</v>
      </c>
    </row>
    <row r="797" spans="7:8" x14ac:dyDescent="0.3">
      <c r="G797" s="24">
        <v>785</v>
      </c>
      <c r="H797">
        <f t="shared" ca="1" si="15"/>
        <v>0.14126144518603753</v>
      </c>
    </row>
    <row r="798" spans="7:8" x14ac:dyDescent="0.3">
      <c r="G798" s="24">
        <v>786</v>
      </c>
      <c r="H798">
        <f t="shared" ca="1" si="15"/>
        <v>3.3822541491216357E-2</v>
      </c>
    </row>
    <row r="799" spans="7:8" x14ac:dyDescent="0.3">
      <c r="G799" s="24">
        <v>787</v>
      </c>
      <c r="H799">
        <f t="shared" ca="1" si="15"/>
        <v>-9.359718099768706E-2</v>
      </c>
    </row>
    <row r="800" spans="7:8" x14ac:dyDescent="0.3">
      <c r="G800" s="24">
        <v>788</v>
      </c>
      <c r="H800">
        <f t="shared" ca="1" si="15"/>
        <v>6.6607779472397183E-2</v>
      </c>
    </row>
    <row r="801" spans="7:8" x14ac:dyDescent="0.3">
      <c r="G801" s="24">
        <v>789</v>
      </c>
      <c r="H801">
        <f t="shared" ca="1" si="15"/>
        <v>2.853622706979941E-2</v>
      </c>
    </row>
    <row r="802" spans="7:8" x14ac:dyDescent="0.3">
      <c r="G802" s="24">
        <v>790</v>
      </c>
      <c r="H802">
        <f t="shared" ca="1" si="15"/>
        <v>-1.9007214891784831E-2</v>
      </c>
    </row>
    <row r="803" spans="7:8" x14ac:dyDescent="0.3">
      <c r="G803" s="24">
        <v>791</v>
      </c>
      <c r="H803">
        <f t="shared" ca="1" si="15"/>
        <v>-4.5991974947482785E-2</v>
      </c>
    </row>
    <row r="804" spans="7:8" x14ac:dyDescent="0.3">
      <c r="G804" s="24">
        <v>792</v>
      </c>
      <c r="H804">
        <f t="shared" ca="1" si="15"/>
        <v>-7.6338899141995875E-2</v>
      </c>
    </row>
    <row r="805" spans="7:8" x14ac:dyDescent="0.3">
      <c r="G805" s="24">
        <v>793</v>
      </c>
      <c r="H805">
        <f t="shared" ca="1" si="15"/>
        <v>4.4737520711039133E-2</v>
      </c>
    </row>
    <row r="806" spans="7:8" x14ac:dyDescent="0.3">
      <c r="G806" s="24">
        <v>794</v>
      </c>
      <c r="H806">
        <f t="shared" ca="1" si="15"/>
        <v>-0.11973570380612304</v>
      </c>
    </row>
    <row r="807" spans="7:8" x14ac:dyDescent="0.3">
      <c r="G807" s="24">
        <v>795</v>
      </c>
      <c r="H807">
        <f t="shared" ca="1" si="15"/>
        <v>8.5679488936389481E-3</v>
      </c>
    </row>
    <row r="808" spans="7:8" x14ac:dyDescent="0.3">
      <c r="G808" s="24">
        <v>796</v>
      </c>
      <c r="H808">
        <f t="shared" ca="1" si="15"/>
        <v>3.4334310291579691E-2</v>
      </c>
    </row>
    <row r="809" spans="7:8" x14ac:dyDescent="0.3">
      <c r="G809" s="24">
        <v>797</v>
      </c>
      <c r="H809">
        <f t="shared" ca="1" si="15"/>
        <v>1.7392339085042782E-2</v>
      </c>
    </row>
    <row r="810" spans="7:8" x14ac:dyDescent="0.3">
      <c r="G810" s="24">
        <v>798</v>
      </c>
      <c r="H810">
        <f t="shared" ca="1" si="15"/>
        <v>-4.5198833028215396E-2</v>
      </c>
    </row>
    <row r="811" spans="7:8" x14ac:dyDescent="0.3">
      <c r="G811" s="24">
        <v>799</v>
      </c>
      <c r="H811">
        <f t="shared" ca="1" si="15"/>
        <v>-1.458893308764499E-2</v>
      </c>
    </row>
    <row r="812" spans="7:8" x14ac:dyDescent="0.3">
      <c r="G812" s="24">
        <v>800</v>
      </c>
      <c r="H812">
        <f t="shared" ca="1" si="15"/>
        <v>8.6877174334360638E-2</v>
      </c>
    </row>
    <row r="813" spans="7:8" x14ac:dyDescent="0.3">
      <c r="G813" s="24">
        <v>801</v>
      </c>
      <c r="H813">
        <f t="shared" ca="1" si="15"/>
        <v>1.380083683242308E-2</v>
      </c>
    </row>
    <row r="814" spans="7:8" x14ac:dyDescent="0.3">
      <c r="G814" s="24">
        <v>802</v>
      </c>
      <c r="H814">
        <f t="shared" ca="1" si="15"/>
        <v>-6.0007033494164502E-2</v>
      </c>
    </row>
    <row r="815" spans="7:8" x14ac:dyDescent="0.3">
      <c r="G815" s="24">
        <v>803</v>
      </c>
      <c r="H815">
        <f t="shared" ca="1" si="15"/>
        <v>-2.5885165484284688E-3</v>
      </c>
    </row>
    <row r="816" spans="7:8" x14ac:dyDescent="0.3">
      <c r="G816" s="24">
        <v>804</v>
      </c>
      <c r="H816">
        <f t="shared" ca="1" si="15"/>
        <v>5.9650320372786385E-2</v>
      </c>
    </row>
    <row r="817" spans="7:8" x14ac:dyDescent="0.3">
      <c r="G817" s="24">
        <v>805</v>
      </c>
      <c r="H817">
        <f t="shared" ca="1" si="15"/>
        <v>-6.0690606542345739E-2</v>
      </c>
    </row>
    <row r="818" spans="7:8" x14ac:dyDescent="0.3">
      <c r="G818" s="24">
        <v>806</v>
      </c>
      <c r="H818">
        <f t="shared" ca="1" si="15"/>
        <v>1.5583572610380247E-2</v>
      </c>
    </row>
    <row r="819" spans="7:8" x14ac:dyDescent="0.3">
      <c r="G819" s="24">
        <v>807</v>
      </c>
      <c r="H819">
        <f t="shared" ca="1" si="15"/>
        <v>-5.4302263819197755E-2</v>
      </c>
    </row>
    <row r="820" spans="7:8" x14ac:dyDescent="0.3">
      <c r="G820" s="24">
        <v>808</v>
      </c>
      <c r="H820">
        <f t="shared" ca="1" si="15"/>
        <v>5.7726228254171619E-2</v>
      </c>
    </row>
    <row r="821" spans="7:8" x14ac:dyDescent="0.3">
      <c r="G821" s="24">
        <v>809</v>
      </c>
      <c r="H821">
        <f t="shared" ca="1" si="15"/>
        <v>0.11805078895541593</v>
      </c>
    </row>
    <row r="822" spans="7:8" x14ac:dyDescent="0.3">
      <c r="G822" s="24">
        <v>810</v>
      </c>
      <c r="H822">
        <f t="shared" ca="1" si="15"/>
        <v>-5.806317082420373E-2</v>
      </c>
    </row>
    <row r="823" spans="7:8" x14ac:dyDescent="0.3">
      <c r="G823" s="24">
        <v>811</v>
      </c>
      <c r="H823">
        <f t="shared" ca="1" si="15"/>
        <v>-8.2095164901983E-2</v>
      </c>
    </row>
    <row r="824" spans="7:8" x14ac:dyDescent="0.3">
      <c r="G824" s="24">
        <v>812</v>
      </c>
      <c r="H824">
        <f t="shared" ca="1" si="15"/>
        <v>7.4748923227965391E-2</v>
      </c>
    </row>
    <row r="825" spans="7:8" x14ac:dyDescent="0.3">
      <c r="G825" s="24">
        <v>813</v>
      </c>
      <c r="H825">
        <f t="shared" ca="1" si="15"/>
        <v>-4.4027282177273641E-2</v>
      </c>
    </row>
    <row r="826" spans="7:8" x14ac:dyDescent="0.3">
      <c r="G826" s="24">
        <v>814</v>
      </c>
      <c r="H826">
        <f t="shared" ca="1" si="15"/>
        <v>-2.2965539908921508E-2</v>
      </c>
    </row>
    <row r="827" spans="7:8" x14ac:dyDescent="0.3">
      <c r="G827" s="24">
        <v>815</v>
      </c>
      <c r="H827">
        <f t="shared" ca="1" si="15"/>
        <v>5.0362553280288443E-2</v>
      </c>
    </row>
    <row r="828" spans="7:8" x14ac:dyDescent="0.3">
      <c r="G828" s="24">
        <v>816</v>
      </c>
      <c r="H828">
        <f t="shared" ca="1" si="15"/>
        <v>-1.0127612471683505E-3</v>
      </c>
    </row>
    <row r="829" spans="7:8" x14ac:dyDescent="0.3">
      <c r="G829" s="24">
        <v>817</v>
      </c>
      <c r="H829">
        <f t="shared" ca="1" si="15"/>
        <v>-9.8416103319727277E-2</v>
      </c>
    </row>
    <row r="830" spans="7:8" x14ac:dyDescent="0.3">
      <c r="G830" s="24">
        <v>818</v>
      </c>
      <c r="H830">
        <f t="shared" ca="1" si="15"/>
        <v>-1.0044415929396457E-2</v>
      </c>
    </row>
    <row r="831" spans="7:8" x14ac:dyDescent="0.3">
      <c r="G831" s="24">
        <v>819</v>
      </c>
      <c r="H831">
        <f t="shared" ca="1" si="15"/>
        <v>1.9288498466303435E-2</v>
      </c>
    </row>
    <row r="832" spans="7:8" x14ac:dyDescent="0.3">
      <c r="G832" s="24">
        <v>820</v>
      </c>
      <c r="H832">
        <f t="shared" ca="1" si="15"/>
        <v>-0.12734222039820786</v>
      </c>
    </row>
    <row r="833" spans="7:8" x14ac:dyDescent="0.3">
      <c r="G833" s="24">
        <v>821</v>
      </c>
      <c r="H833">
        <f t="shared" ca="1" si="15"/>
        <v>2.1293505052885485E-2</v>
      </c>
    </row>
    <row r="834" spans="7:8" x14ac:dyDescent="0.3">
      <c r="G834" s="24">
        <v>822</v>
      </c>
      <c r="H834">
        <f t="shared" ca="1" si="15"/>
        <v>-8.9574787917597515E-2</v>
      </c>
    </row>
    <row r="835" spans="7:8" x14ac:dyDescent="0.3">
      <c r="G835" s="24">
        <v>823</v>
      </c>
      <c r="H835">
        <f t="shared" ca="1" si="15"/>
        <v>4.854143053181368E-2</v>
      </c>
    </row>
    <row r="836" spans="7:8" x14ac:dyDescent="0.3">
      <c r="G836" s="24">
        <v>824</v>
      </c>
      <c r="H836">
        <f t="shared" ca="1" si="15"/>
        <v>-2.4725667762338307E-2</v>
      </c>
    </row>
    <row r="837" spans="7:8" x14ac:dyDescent="0.3">
      <c r="G837" s="24">
        <v>825</v>
      </c>
      <c r="H837">
        <f t="shared" ca="1" si="15"/>
        <v>-5.3974926511626393E-2</v>
      </c>
    </row>
    <row r="838" spans="7:8" x14ac:dyDescent="0.3">
      <c r="G838" s="24">
        <v>826</v>
      </c>
      <c r="H838">
        <f t="shared" ca="1" si="15"/>
        <v>1.878971129782266E-2</v>
      </c>
    </row>
    <row r="839" spans="7:8" x14ac:dyDescent="0.3">
      <c r="G839" s="24">
        <v>827</v>
      </c>
      <c r="H839">
        <f t="shared" ca="1" si="15"/>
        <v>3.0736921925115769E-2</v>
      </c>
    </row>
    <row r="840" spans="7:8" x14ac:dyDescent="0.3">
      <c r="G840" s="24">
        <v>828</v>
      </c>
      <c r="H840">
        <f t="shared" ca="1" si="15"/>
        <v>-0.14416808252588914</v>
      </c>
    </row>
    <row r="841" spans="7:8" x14ac:dyDescent="0.3">
      <c r="G841" s="24">
        <v>829</v>
      </c>
      <c r="H841">
        <f t="shared" ca="1" si="15"/>
        <v>-0.15675262840282353</v>
      </c>
    </row>
    <row r="842" spans="7:8" x14ac:dyDescent="0.3">
      <c r="G842" s="24">
        <v>830</v>
      </c>
      <c r="H842">
        <f t="shared" ca="1" si="15"/>
        <v>4.3911006262163784E-3</v>
      </c>
    </row>
    <row r="843" spans="7:8" x14ac:dyDescent="0.3">
      <c r="G843" s="24">
        <v>831</v>
      </c>
      <c r="H843">
        <f t="shared" ca="1" si="15"/>
        <v>2.4242723410564538E-2</v>
      </c>
    </row>
    <row r="844" spans="7:8" x14ac:dyDescent="0.3">
      <c r="G844" s="24">
        <v>832</v>
      </c>
      <c r="H844">
        <f t="shared" ca="1" si="15"/>
        <v>8.0848769901574996E-2</v>
      </c>
    </row>
    <row r="845" spans="7:8" x14ac:dyDescent="0.3">
      <c r="G845" s="24">
        <v>833</v>
      </c>
      <c r="H845">
        <f t="shared" ca="1" si="15"/>
        <v>5.1204037661837017E-2</v>
      </c>
    </row>
    <row r="846" spans="7:8" x14ac:dyDescent="0.3">
      <c r="G846" s="24">
        <v>834</v>
      </c>
      <c r="H846">
        <f t="shared" ref="H846:H909" ca="1" si="16">_xlfn.NORM.INV(RAND(),N$13,N$14)</f>
        <v>-6.613862900322387E-2</v>
      </c>
    </row>
    <row r="847" spans="7:8" x14ac:dyDescent="0.3">
      <c r="G847" s="24">
        <v>835</v>
      </c>
      <c r="H847">
        <f t="shared" ca="1" si="16"/>
        <v>-3.722440985988662E-2</v>
      </c>
    </row>
    <row r="848" spans="7:8" x14ac:dyDescent="0.3">
      <c r="G848" s="24">
        <v>836</v>
      </c>
      <c r="H848">
        <f t="shared" ca="1" si="16"/>
        <v>-0.12070157289502742</v>
      </c>
    </row>
    <row r="849" spans="7:8" x14ac:dyDescent="0.3">
      <c r="G849" s="24">
        <v>837</v>
      </c>
      <c r="H849">
        <f t="shared" ca="1" si="16"/>
        <v>-3.7313169177546561E-2</v>
      </c>
    </row>
    <row r="850" spans="7:8" x14ac:dyDescent="0.3">
      <c r="G850" s="24">
        <v>838</v>
      </c>
      <c r="H850">
        <f t="shared" ca="1" si="16"/>
        <v>-4.1616802851411113E-3</v>
      </c>
    </row>
    <row r="851" spans="7:8" x14ac:dyDescent="0.3">
      <c r="G851" s="24">
        <v>839</v>
      </c>
      <c r="H851">
        <f t="shared" ca="1" si="16"/>
        <v>7.3908768066893671E-2</v>
      </c>
    </row>
    <row r="852" spans="7:8" x14ac:dyDescent="0.3">
      <c r="G852" s="24">
        <v>840</v>
      </c>
      <c r="H852">
        <f t="shared" ca="1" si="16"/>
        <v>-7.1766197876747581E-2</v>
      </c>
    </row>
    <row r="853" spans="7:8" x14ac:dyDescent="0.3">
      <c r="G853" s="24">
        <v>841</v>
      </c>
      <c r="H853">
        <f t="shared" ca="1" si="16"/>
        <v>-3.6437323939960665E-2</v>
      </c>
    </row>
    <row r="854" spans="7:8" x14ac:dyDescent="0.3">
      <c r="G854" s="24">
        <v>842</v>
      </c>
      <c r="H854">
        <f t="shared" ca="1" si="16"/>
        <v>0.13816301734337438</v>
      </c>
    </row>
    <row r="855" spans="7:8" x14ac:dyDescent="0.3">
      <c r="G855" s="24">
        <v>843</v>
      </c>
      <c r="H855">
        <f t="shared" ca="1" si="16"/>
        <v>8.6345145072913729E-2</v>
      </c>
    </row>
    <row r="856" spans="7:8" x14ac:dyDescent="0.3">
      <c r="G856" s="24">
        <v>844</v>
      </c>
      <c r="H856">
        <f t="shared" ca="1" si="16"/>
        <v>7.3206072120493043E-2</v>
      </c>
    </row>
    <row r="857" spans="7:8" x14ac:dyDescent="0.3">
      <c r="G857" s="24">
        <v>845</v>
      </c>
      <c r="H857">
        <f t="shared" ca="1" si="16"/>
        <v>-4.8853243134717554E-2</v>
      </c>
    </row>
    <row r="858" spans="7:8" x14ac:dyDescent="0.3">
      <c r="G858" s="24">
        <v>846</v>
      </c>
      <c r="H858">
        <f t="shared" ca="1" si="16"/>
        <v>-0.14292113089593719</v>
      </c>
    </row>
    <row r="859" spans="7:8" x14ac:dyDescent="0.3">
      <c r="G859" s="24">
        <v>847</v>
      </c>
      <c r="H859">
        <f t="shared" ca="1" si="16"/>
        <v>0.10704200539341155</v>
      </c>
    </row>
    <row r="860" spans="7:8" x14ac:dyDescent="0.3">
      <c r="G860" s="24">
        <v>848</v>
      </c>
      <c r="H860">
        <f t="shared" ca="1" si="16"/>
        <v>3.4718292336135381E-2</v>
      </c>
    </row>
    <row r="861" spans="7:8" x14ac:dyDescent="0.3">
      <c r="G861" s="24">
        <v>849</v>
      </c>
      <c r="H861">
        <f t="shared" ca="1" si="16"/>
        <v>1.8039724516349828E-2</v>
      </c>
    </row>
    <row r="862" spans="7:8" x14ac:dyDescent="0.3">
      <c r="G862" s="24">
        <v>850</v>
      </c>
      <c r="H862">
        <f t="shared" ca="1" si="16"/>
        <v>-1.4568257030649592E-2</v>
      </c>
    </row>
    <row r="863" spans="7:8" x14ac:dyDescent="0.3">
      <c r="G863" s="24">
        <v>851</v>
      </c>
      <c r="H863">
        <f t="shared" ca="1" si="16"/>
        <v>1.5448851024492949E-2</v>
      </c>
    </row>
    <row r="864" spans="7:8" x14ac:dyDescent="0.3">
      <c r="G864" s="24">
        <v>852</v>
      </c>
      <c r="H864">
        <f t="shared" ca="1" si="16"/>
        <v>3.9076242837138037E-2</v>
      </c>
    </row>
    <row r="865" spans="7:8" x14ac:dyDescent="0.3">
      <c r="G865" s="24">
        <v>853</v>
      </c>
      <c r="H865">
        <f t="shared" ca="1" si="16"/>
        <v>-1.4535578531958224E-2</v>
      </c>
    </row>
    <row r="866" spans="7:8" x14ac:dyDescent="0.3">
      <c r="G866" s="24">
        <v>854</v>
      </c>
      <c r="H866">
        <f t="shared" ca="1" si="16"/>
        <v>-2.3107785262121122E-2</v>
      </c>
    </row>
    <row r="867" spans="7:8" x14ac:dyDescent="0.3">
      <c r="G867" s="24">
        <v>855</v>
      </c>
      <c r="H867">
        <f t="shared" ca="1" si="16"/>
        <v>-5.6647417317487132E-2</v>
      </c>
    </row>
    <row r="868" spans="7:8" x14ac:dyDescent="0.3">
      <c r="G868" s="24">
        <v>856</v>
      </c>
      <c r="H868">
        <f t="shared" ca="1" si="16"/>
        <v>1.0718842361775359E-2</v>
      </c>
    </row>
    <row r="869" spans="7:8" x14ac:dyDescent="0.3">
      <c r="G869" s="24">
        <v>857</v>
      </c>
      <c r="H869">
        <f t="shared" ca="1" si="16"/>
        <v>0.1365335349737945</v>
      </c>
    </row>
    <row r="870" spans="7:8" x14ac:dyDescent="0.3">
      <c r="G870" s="24">
        <v>858</v>
      </c>
      <c r="H870">
        <f t="shared" ca="1" si="16"/>
        <v>4.1943925805399601E-2</v>
      </c>
    </row>
    <row r="871" spans="7:8" x14ac:dyDescent="0.3">
      <c r="G871" s="24">
        <v>859</v>
      </c>
      <c r="H871">
        <f t="shared" ca="1" si="16"/>
        <v>0.10166557182232538</v>
      </c>
    </row>
    <row r="872" spans="7:8" x14ac:dyDescent="0.3">
      <c r="G872" s="24">
        <v>860</v>
      </c>
      <c r="H872">
        <f t="shared" ca="1" si="16"/>
        <v>3.5514925653472168E-2</v>
      </c>
    </row>
    <row r="873" spans="7:8" x14ac:dyDescent="0.3">
      <c r="G873" s="24">
        <v>861</v>
      </c>
      <c r="H873">
        <f t="shared" ca="1" si="16"/>
        <v>9.249372837433685E-2</v>
      </c>
    </row>
    <row r="874" spans="7:8" x14ac:dyDescent="0.3">
      <c r="G874" s="24">
        <v>862</v>
      </c>
      <c r="H874">
        <f t="shared" ca="1" si="16"/>
        <v>8.3143004953272773E-2</v>
      </c>
    </row>
    <row r="875" spans="7:8" x14ac:dyDescent="0.3">
      <c r="G875" s="24">
        <v>863</v>
      </c>
      <c r="H875">
        <f t="shared" ca="1" si="16"/>
        <v>-3.3987528250758084E-2</v>
      </c>
    </row>
    <row r="876" spans="7:8" x14ac:dyDescent="0.3">
      <c r="G876" s="24">
        <v>864</v>
      </c>
      <c r="H876">
        <f t="shared" ca="1" si="16"/>
        <v>9.9863102750336177E-2</v>
      </c>
    </row>
    <row r="877" spans="7:8" x14ac:dyDescent="0.3">
      <c r="G877" s="24">
        <v>865</v>
      </c>
      <c r="H877">
        <f t="shared" ca="1" si="16"/>
        <v>-2.3595316113256107E-2</v>
      </c>
    </row>
    <row r="878" spans="7:8" x14ac:dyDescent="0.3">
      <c r="G878" s="24">
        <v>866</v>
      </c>
      <c r="H878">
        <f t="shared" ca="1" si="16"/>
        <v>8.37942727454139E-2</v>
      </c>
    </row>
    <row r="879" spans="7:8" x14ac:dyDescent="0.3">
      <c r="G879" s="24">
        <v>867</v>
      </c>
      <c r="H879">
        <f t="shared" ca="1" si="16"/>
        <v>8.309516359806585E-3</v>
      </c>
    </row>
    <row r="880" spans="7:8" x14ac:dyDescent="0.3">
      <c r="G880" s="24">
        <v>868</v>
      </c>
      <c r="H880">
        <f t="shared" ca="1" si="16"/>
        <v>-4.1431129754649569E-2</v>
      </c>
    </row>
    <row r="881" spans="7:8" x14ac:dyDescent="0.3">
      <c r="G881" s="24">
        <v>869</v>
      </c>
      <c r="H881">
        <f t="shared" ca="1" si="16"/>
        <v>3.2723242667127929E-2</v>
      </c>
    </row>
    <row r="882" spans="7:8" x14ac:dyDescent="0.3">
      <c r="G882" s="24">
        <v>870</v>
      </c>
      <c r="H882">
        <f t="shared" ca="1" si="16"/>
        <v>6.4992806398161768E-2</v>
      </c>
    </row>
    <row r="883" spans="7:8" x14ac:dyDescent="0.3">
      <c r="G883" s="24">
        <v>871</v>
      </c>
      <c r="H883">
        <f t="shared" ca="1" si="16"/>
        <v>0.15312621591976436</v>
      </c>
    </row>
    <row r="884" spans="7:8" x14ac:dyDescent="0.3">
      <c r="G884" s="24">
        <v>872</v>
      </c>
      <c r="H884">
        <f t="shared" ca="1" si="16"/>
        <v>9.7140996064820101E-2</v>
      </c>
    </row>
    <row r="885" spans="7:8" x14ac:dyDescent="0.3">
      <c r="G885" s="24">
        <v>873</v>
      </c>
      <c r="H885">
        <f t="shared" ca="1" si="16"/>
        <v>-2.9704097113954667E-2</v>
      </c>
    </row>
    <row r="886" spans="7:8" x14ac:dyDescent="0.3">
      <c r="G886" s="24">
        <v>874</v>
      </c>
      <c r="H886">
        <f t="shared" ca="1" si="16"/>
        <v>5.7752055829788276E-2</v>
      </c>
    </row>
    <row r="887" spans="7:8" x14ac:dyDescent="0.3">
      <c r="G887" s="24">
        <v>875</v>
      </c>
      <c r="H887">
        <f t="shared" ca="1" si="16"/>
        <v>0.10043238834041469</v>
      </c>
    </row>
    <row r="888" spans="7:8" x14ac:dyDescent="0.3">
      <c r="G888" s="24">
        <v>876</v>
      </c>
      <c r="H888">
        <f t="shared" ca="1" si="16"/>
        <v>-1.1510730579480077E-2</v>
      </c>
    </row>
    <row r="889" spans="7:8" x14ac:dyDescent="0.3">
      <c r="G889" s="24">
        <v>877</v>
      </c>
      <c r="H889">
        <f t="shared" ca="1" si="16"/>
        <v>1.4684841375318577E-2</v>
      </c>
    </row>
    <row r="890" spans="7:8" x14ac:dyDescent="0.3">
      <c r="G890" s="24">
        <v>878</v>
      </c>
      <c r="H890">
        <f t="shared" ca="1" si="16"/>
        <v>5.3565254471457123E-2</v>
      </c>
    </row>
    <row r="891" spans="7:8" x14ac:dyDescent="0.3">
      <c r="G891" s="24">
        <v>879</v>
      </c>
      <c r="H891">
        <f t="shared" ca="1" si="16"/>
        <v>-4.6855404949298275E-2</v>
      </c>
    </row>
    <row r="892" spans="7:8" x14ac:dyDescent="0.3">
      <c r="G892" s="24">
        <v>880</v>
      </c>
      <c r="H892">
        <f t="shared" ca="1" si="16"/>
        <v>3.6948441541312466E-2</v>
      </c>
    </row>
    <row r="893" spans="7:8" x14ac:dyDescent="0.3">
      <c r="G893" s="24">
        <v>881</v>
      </c>
      <c r="H893">
        <f t="shared" ca="1" si="16"/>
        <v>-6.7457257796215281E-3</v>
      </c>
    </row>
    <row r="894" spans="7:8" x14ac:dyDescent="0.3">
      <c r="G894" s="24">
        <v>882</v>
      </c>
      <c r="H894">
        <f t="shared" ca="1" si="16"/>
        <v>4.7801884663629682E-2</v>
      </c>
    </row>
    <row r="895" spans="7:8" x14ac:dyDescent="0.3">
      <c r="G895" s="24">
        <v>883</v>
      </c>
      <c r="H895">
        <f t="shared" ca="1" si="16"/>
        <v>1.3711912838467136E-2</v>
      </c>
    </row>
    <row r="896" spans="7:8" x14ac:dyDescent="0.3">
      <c r="G896" s="24">
        <v>884</v>
      </c>
      <c r="H896">
        <f t="shared" ca="1" si="16"/>
        <v>0.11023443342432487</v>
      </c>
    </row>
    <row r="897" spans="7:8" x14ac:dyDescent="0.3">
      <c r="G897" s="24">
        <v>885</v>
      </c>
      <c r="H897">
        <f t="shared" ca="1" si="16"/>
        <v>4.1235460390750427E-2</v>
      </c>
    </row>
    <row r="898" spans="7:8" x14ac:dyDescent="0.3">
      <c r="G898" s="24">
        <v>886</v>
      </c>
      <c r="H898">
        <f t="shared" ca="1" si="16"/>
        <v>3.6575445895257845E-2</v>
      </c>
    </row>
    <row r="899" spans="7:8" x14ac:dyDescent="0.3">
      <c r="G899" s="24">
        <v>887</v>
      </c>
      <c r="H899">
        <f t="shared" ca="1" si="16"/>
        <v>-2.9138124139050866E-2</v>
      </c>
    </row>
    <row r="900" spans="7:8" x14ac:dyDescent="0.3">
      <c r="G900" s="24">
        <v>888</v>
      </c>
      <c r="H900">
        <f t="shared" ca="1" si="16"/>
        <v>7.2385615726429375E-2</v>
      </c>
    </row>
    <row r="901" spans="7:8" x14ac:dyDescent="0.3">
      <c r="G901" s="24">
        <v>889</v>
      </c>
      <c r="H901">
        <f t="shared" ca="1" si="16"/>
        <v>5.4257617900043166E-3</v>
      </c>
    </row>
    <row r="902" spans="7:8" x14ac:dyDescent="0.3">
      <c r="G902" s="24">
        <v>890</v>
      </c>
      <c r="H902">
        <f t="shared" ca="1" si="16"/>
        <v>-2.2387206406985813E-2</v>
      </c>
    </row>
    <row r="903" spans="7:8" x14ac:dyDescent="0.3">
      <c r="G903" s="24">
        <v>891</v>
      </c>
      <c r="H903">
        <f t="shared" ca="1" si="16"/>
        <v>-0.11417520314818126</v>
      </c>
    </row>
    <row r="904" spans="7:8" x14ac:dyDescent="0.3">
      <c r="G904" s="24">
        <v>892</v>
      </c>
      <c r="H904">
        <f t="shared" ca="1" si="16"/>
        <v>-6.985149942460786E-2</v>
      </c>
    </row>
    <row r="905" spans="7:8" x14ac:dyDescent="0.3">
      <c r="G905" s="24">
        <v>893</v>
      </c>
      <c r="H905">
        <f t="shared" ca="1" si="16"/>
        <v>-5.7487616908698386E-3</v>
      </c>
    </row>
    <row r="906" spans="7:8" x14ac:dyDescent="0.3">
      <c r="G906" s="24">
        <v>894</v>
      </c>
      <c r="H906">
        <f t="shared" ca="1" si="16"/>
        <v>4.62348302780098E-2</v>
      </c>
    </row>
    <row r="907" spans="7:8" x14ac:dyDescent="0.3">
      <c r="G907" s="24">
        <v>895</v>
      </c>
      <c r="H907">
        <f t="shared" ca="1" si="16"/>
        <v>5.2017877046847037E-2</v>
      </c>
    </row>
    <row r="908" spans="7:8" x14ac:dyDescent="0.3">
      <c r="G908" s="24">
        <v>896</v>
      </c>
      <c r="H908">
        <f t="shared" ca="1" si="16"/>
        <v>0.18190004046474992</v>
      </c>
    </row>
    <row r="909" spans="7:8" x14ac:dyDescent="0.3">
      <c r="G909" s="24">
        <v>897</v>
      </c>
      <c r="H909">
        <f t="shared" ca="1" si="16"/>
        <v>-0.16463141562418923</v>
      </c>
    </row>
    <row r="910" spans="7:8" x14ac:dyDescent="0.3">
      <c r="G910" s="24">
        <v>898</v>
      </c>
      <c r="H910">
        <f t="shared" ref="H910:H973" ca="1" si="17">_xlfn.NORM.INV(RAND(),N$13,N$14)</f>
        <v>6.0681405253304656E-2</v>
      </c>
    </row>
    <row r="911" spans="7:8" x14ac:dyDescent="0.3">
      <c r="G911" s="24">
        <v>899</v>
      </c>
      <c r="H911">
        <f t="shared" ca="1" si="17"/>
        <v>7.3683183556033621E-2</v>
      </c>
    </row>
    <row r="912" spans="7:8" x14ac:dyDescent="0.3">
      <c r="G912" s="24">
        <v>900</v>
      </c>
      <c r="H912">
        <f t="shared" ca="1" si="17"/>
        <v>-2.5025164529648893E-2</v>
      </c>
    </row>
    <row r="913" spans="7:8" x14ac:dyDescent="0.3">
      <c r="G913" s="24">
        <v>901</v>
      </c>
      <c r="H913">
        <f t="shared" ca="1" si="17"/>
        <v>4.4138299938759409E-2</v>
      </c>
    </row>
    <row r="914" spans="7:8" x14ac:dyDescent="0.3">
      <c r="G914" s="24">
        <v>902</v>
      </c>
      <c r="H914">
        <f t="shared" ca="1" si="17"/>
        <v>-4.4277836133553072E-2</v>
      </c>
    </row>
    <row r="915" spans="7:8" x14ac:dyDescent="0.3">
      <c r="G915" s="24">
        <v>903</v>
      </c>
      <c r="H915">
        <f t="shared" ca="1" si="17"/>
        <v>-8.993329439431115E-2</v>
      </c>
    </row>
    <row r="916" spans="7:8" x14ac:dyDescent="0.3">
      <c r="G916" s="24">
        <v>904</v>
      </c>
      <c r="H916">
        <f t="shared" ca="1" si="17"/>
        <v>0.13885854801193798</v>
      </c>
    </row>
    <row r="917" spans="7:8" x14ac:dyDescent="0.3">
      <c r="G917" s="24">
        <v>905</v>
      </c>
      <c r="H917">
        <f t="shared" ca="1" si="17"/>
        <v>-6.7059259602847247E-3</v>
      </c>
    </row>
    <row r="918" spans="7:8" x14ac:dyDescent="0.3">
      <c r="G918" s="24">
        <v>906</v>
      </c>
      <c r="H918">
        <f t="shared" ca="1" si="17"/>
        <v>2.8744028368551991E-3</v>
      </c>
    </row>
    <row r="919" spans="7:8" x14ac:dyDescent="0.3">
      <c r="G919" s="24">
        <v>907</v>
      </c>
      <c r="H919">
        <f t="shared" ca="1" si="17"/>
        <v>-0.12057864397010613</v>
      </c>
    </row>
    <row r="920" spans="7:8" x14ac:dyDescent="0.3">
      <c r="G920" s="24">
        <v>908</v>
      </c>
      <c r="H920">
        <f t="shared" ca="1" si="17"/>
        <v>6.9582372711224985E-2</v>
      </c>
    </row>
    <row r="921" spans="7:8" x14ac:dyDescent="0.3">
      <c r="G921" s="24">
        <v>909</v>
      </c>
      <c r="H921">
        <f t="shared" ca="1" si="17"/>
        <v>6.4051742618416396E-2</v>
      </c>
    </row>
    <row r="922" spans="7:8" x14ac:dyDescent="0.3">
      <c r="G922" s="24">
        <v>910</v>
      </c>
      <c r="H922">
        <f t="shared" ca="1" si="17"/>
        <v>-2.0277574289443961E-2</v>
      </c>
    </row>
    <row r="923" spans="7:8" x14ac:dyDescent="0.3">
      <c r="G923" s="24">
        <v>911</v>
      </c>
      <c r="H923">
        <f t="shared" ca="1" si="17"/>
        <v>-0.14581884309016663</v>
      </c>
    </row>
    <row r="924" spans="7:8" x14ac:dyDescent="0.3">
      <c r="G924" s="24">
        <v>912</v>
      </c>
      <c r="H924">
        <f t="shared" ca="1" si="17"/>
        <v>8.1676832979634323E-2</v>
      </c>
    </row>
    <row r="925" spans="7:8" x14ac:dyDescent="0.3">
      <c r="G925" s="24">
        <v>913</v>
      </c>
      <c r="H925">
        <f t="shared" ca="1" si="17"/>
        <v>0.10660134931343042</v>
      </c>
    </row>
    <row r="926" spans="7:8" x14ac:dyDescent="0.3">
      <c r="G926" s="24">
        <v>914</v>
      </c>
      <c r="H926">
        <f t="shared" ca="1" si="17"/>
        <v>7.8715485392555247E-3</v>
      </c>
    </row>
    <row r="927" spans="7:8" x14ac:dyDescent="0.3">
      <c r="G927" s="24">
        <v>915</v>
      </c>
      <c r="H927">
        <f t="shared" ca="1" si="17"/>
        <v>-0.14216157116038236</v>
      </c>
    </row>
    <row r="928" spans="7:8" x14ac:dyDescent="0.3">
      <c r="G928" s="24">
        <v>916</v>
      </c>
      <c r="H928">
        <f t="shared" ca="1" si="17"/>
        <v>-5.1392361828077965E-2</v>
      </c>
    </row>
    <row r="929" spans="7:8" x14ac:dyDescent="0.3">
      <c r="G929" s="24">
        <v>917</v>
      </c>
      <c r="H929">
        <f t="shared" ca="1" si="17"/>
        <v>-2.569217690373839E-2</v>
      </c>
    </row>
    <row r="930" spans="7:8" x14ac:dyDescent="0.3">
      <c r="G930" s="24">
        <v>918</v>
      </c>
      <c r="H930">
        <f t="shared" ca="1" si="17"/>
        <v>6.1606240951592173E-2</v>
      </c>
    </row>
    <row r="931" spans="7:8" x14ac:dyDescent="0.3">
      <c r="G931" s="24">
        <v>919</v>
      </c>
      <c r="H931">
        <f t="shared" ca="1" si="17"/>
        <v>-1.492192999982778E-2</v>
      </c>
    </row>
    <row r="932" spans="7:8" x14ac:dyDescent="0.3">
      <c r="G932" s="24">
        <v>920</v>
      </c>
      <c r="H932">
        <f t="shared" ca="1" si="17"/>
        <v>-6.4536497234445739E-2</v>
      </c>
    </row>
    <row r="933" spans="7:8" x14ac:dyDescent="0.3">
      <c r="G933" s="24">
        <v>921</v>
      </c>
      <c r="H933">
        <f t="shared" ca="1" si="17"/>
        <v>-3.2087011204449463E-2</v>
      </c>
    </row>
    <row r="934" spans="7:8" x14ac:dyDescent="0.3">
      <c r="G934" s="24">
        <v>922</v>
      </c>
      <c r="H934">
        <f t="shared" ca="1" si="17"/>
        <v>9.3239272905317139E-2</v>
      </c>
    </row>
    <row r="935" spans="7:8" x14ac:dyDescent="0.3">
      <c r="G935" s="24">
        <v>923</v>
      </c>
      <c r="H935">
        <f t="shared" ca="1" si="17"/>
        <v>-7.2925503319296731E-2</v>
      </c>
    </row>
    <row r="936" spans="7:8" x14ac:dyDescent="0.3">
      <c r="G936" s="24">
        <v>924</v>
      </c>
      <c r="H936">
        <f t="shared" ca="1" si="17"/>
        <v>1.6639022550423398E-2</v>
      </c>
    </row>
    <row r="937" spans="7:8" x14ac:dyDescent="0.3">
      <c r="G937" s="24">
        <v>925</v>
      </c>
      <c r="H937">
        <f t="shared" ca="1" si="17"/>
        <v>-3.0304684592255663E-2</v>
      </c>
    </row>
    <row r="938" spans="7:8" x14ac:dyDescent="0.3">
      <c r="G938" s="24">
        <v>926</v>
      </c>
      <c r="H938">
        <f t="shared" ca="1" si="17"/>
        <v>1.3181759938640068E-2</v>
      </c>
    </row>
    <row r="939" spans="7:8" x14ac:dyDescent="0.3">
      <c r="G939" s="24">
        <v>927</v>
      </c>
      <c r="H939">
        <f t="shared" ca="1" si="17"/>
        <v>3.0350621619223493E-2</v>
      </c>
    </row>
    <row r="940" spans="7:8" x14ac:dyDescent="0.3">
      <c r="G940" s="24">
        <v>928</v>
      </c>
      <c r="H940">
        <f t="shared" ca="1" si="17"/>
        <v>-1.6783010976962751E-2</v>
      </c>
    </row>
    <row r="941" spans="7:8" x14ac:dyDescent="0.3">
      <c r="G941" s="24">
        <v>929</v>
      </c>
      <c r="H941">
        <f t="shared" ca="1" si="17"/>
        <v>-0.13946725452139075</v>
      </c>
    </row>
    <row r="942" spans="7:8" x14ac:dyDescent="0.3">
      <c r="G942" s="24">
        <v>930</v>
      </c>
      <c r="H942">
        <f t="shared" ca="1" si="17"/>
        <v>2.5735003465165326E-2</v>
      </c>
    </row>
    <row r="943" spans="7:8" x14ac:dyDescent="0.3">
      <c r="G943" s="24">
        <v>931</v>
      </c>
      <c r="H943">
        <f t="shared" ca="1" si="17"/>
        <v>-1.5846339616050246E-2</v>
      </c>
    </row>
    <row r="944" spans="7:8" x14ac:dyDescent="0.3">
      <c r="G944" s="24">
        <v>932</v>
      </c>
      <c r="H944">
        <f t="shared" ca="1" si="17"/>
        <v>3.5496408312773807E-2</v>
      </c>
    </row>
    <row r="945" spans="7:8" x14ac:dyDescent="0.3">
      <c r="G945" s="24">
        <v>933</v>
      </c>
      <c r="H945">
        <f t="shared" ca="1" si="17"/>
        <v>-4.325312441181161E-2</v>
      </c>
    </row>
    <row r="946" spans="7:8" x14ac:dyDescent="0.3">
      <c r="G946" s="24">
        <v>934</v>
      </c>
      <c r="H946">
        <f t="shared" ca="1" si="17"/>
        <v>0.10553953866184762</v>
      </c>
    </row>
    <row r="947" spans="7:8" x14ac:dyDescent="0.3">
      <c r="G947" s="24">
        <v>935</v>
      </c>
      <c r="H947">
        <f t="shared" ca="1" si="17"/>
        <v>1.0132868960077434E-2</v>
      </c>
    </row>
    <row r="948" spans="7:8" x14ac:dyDescent="0.3">
      <c r="G948" s="24">
        <v>936</v>
      </c>
      <c r="H948">
        <f t="shared" ca="1" si="17"/>
        <v>-1.7239950844619101E-2</v>
      </c>
    </row>
    <row r="949" spans="7:8" x14ac:dyDescent="0.3">
      <c r="G949" s="24">
        <v>937</v>
      </c>
      <c r="H949">
        <f t="shared" ca="1" si="17"/>
        <v>1.5698701653471842E-2</v>
      </c>
    </row>
    <row r="950" spans="7:8" x14ac:dyDescent="0.3">
      <c r="G950" s="24">
        <v>938</v>
      </c>
      <c r="H950">
        <f t="shared" ca="1" si="17"/>
        <v>0.17857584216492886</v>
      </c>
    </row>
    <row r="951" spans="7:8" x14ac:dyDescent="0.3">
      <c r="G951" s="24">
        <v>939</v>
      </c>
      <c r="H951">
        <f t="shared" ca="1" si="17"/>
        <v>-5.8384270073773399E-2</v>
      </c>
    </row>
    <row r="952" spans="7:8" x14ac:dyDescent="0.3">
      <c r="G952" s="24">
        <v>940</v>
      </c>
      <c r="H952">
        <f t="shared" ca="1" si="17"/>
        <v>0.11402825472035509</v>
      </c>
    </row>
    <row r="953" spans="7:8" x14ac:dyDescent="0.3">
      <c r="G953" s="24">
        <v>941</v>
      </c>
      <c r="H953">
        <f t="shared" ca="1" si="17"/>
        <v>-0.12247393638277117</v>
      </c>
    </row>
    <row r="954" spans="7:8" x14ac:dyDescent="0.3">
      <c r="G954" s="24">
        <v>942</v>
      </c>
      <c r="H954">
        <f t="shared" ca="1" si="17"/>
        <v>9.701488012628609E-2</v>
      </c>
    </row>
    <row r="955" spans="7:8" x14ac:dyDescent="0.3">
      <c r="G955" s="24">
        <v>943</v>
      </c>
      <c r="H955">
        <f t="shared" ca="1" si="17"/>
        <v>-0.11776805745367847</v>
      </c>
    </row>
    <row r="956" spans="7:8" x14ac:dyDescent="0.3">
      <c r="G956" s="24">
        <v>944</v>
      </c>
      <c r="H956">
        <f t="shared" ca="1" si="17"/>
        <v>-1.2315360374051197E-2</v>
      </c>
    </row>
    <row r="957" spans="7:8" x14ac:dyDescent="0.3">
      <c r="G957" s="24">
        <v>945</v>
      </c>
      <c r="H957">
        <f t="shared" ca="1" si="17"/>
        <v>-3.1366935714714196E-2</v>
      </c>
    </row>
    <row r="958" spans="7:8" x14ac:dyDescent="0.3">
      <c r="G958" s="24">
        <v>946</v>
      </c>
      <c r="H958">
        <f t="shared" ca="1" si="17"/>
        <v>-7.3909867895838519E-2</v>
      </c>
    </row>
    <row r="959" spans="7:8" x14ac:dyDescent="0.3">
      <c r="G959" s="24">
        <v>947</v>
      </c>
      <c r="H959">
        <f t="shared" ca="1" si="17"/>
        <v>-6.7997915833823194E-3</v>
      </c>
    </row>
    <row r="960" spans="7:8" x14ac:dyDescent="0.3">
      <c r="G960" s="24">
        <v>948</v>
      </c>
      <c r="H960">
        <f t="shared" ca="1" si="17"/>
        <v>3.0721554856339851E-2</v>
      </c>
    </row>
    <row r="961" spans="7:8" x14ac:dyDescent="0.3">
      <c r="G961" s="24">
        <v>949</v>
      </c>
      <c r="H961">
        <f t="shared" ca="1" si="17"/>
        <v>-5.1834630400301368E-2</v>
      </c>
    </row>
    <row r="962" spans="7:8" x14ac:dyDescent="0.3">
      <c r="G962" s="24">
        <v>950</v>
      </c>
      <c r="H962">
        <f t="shared" ca="1" si="17"/>
        <v>3.7509097494770008E-2</v>
      </c>
    </row>
    <row r="963" spans="7:8" x14ac:dyDescent="0.3">
      <c r="G963" s="24">
        <v>951</v>
      </c>
      <c r="H963">
        <f t="shared" ca="1" si="17"/>
        <v>7.440164601841702E-2</v>
      </c>
    </row>
    <row r="964" spans="7:8" x14ac:dyDescent="0.3">
      <c r="G964" s="24">
        <v>952</v>
      </c>
      <c r="H964">
        <f t="shared" ca="1" si="17"/>
        <v>-3.8200331579665361E-2</v>
      </c>
    </row>
    <row r="965" spans="7:8" x14ac:dyDescent="0.3">
      <c r="G965" s="24">
        <v>953</v>
      </c>
      <c r="H965">
        <f t="shared" ca="1" si="17"/>
        <v>-3.3205518182384424E-3</v>
      </c>
    </row>
    <row r="966" spans="7:8" x14ac:dyDescent="0.3">
      <c r="G966" s="24">
        <v>954</v>
      </c>
      <c r="H966">
        <f t="shared" ca="1" si="17"/>
        <v>-0.21630231255287288</v>
      </c>
    </row>
    <row r="967" spans="7:8" x14ac:dyDescent="0.3">
      <c r="G967" s="24">
        <v>955</v>
      </c>
      <c r="H967">
        <f t="shared" ca="1" si="17"/>
        <v>-5.3717756298722309E-2</v>
      </c>
    </row>
    <row r="968" spans="7:8" x14ac:dyDescent="0.3">
      <c r="G968" s="24">
        <v>956</v>
      </c>
      <c r="H968">
        <f t="shared" ca="1" si="17"/>
        <v>-0.12341051878799056</v>
      </c>
    </row>
    <row r="969" spans="7:8" x14ac:dyDescent="0.3">
      <c r="G969" s="24">
        <v>957</v>
      </c>
      <c r="H969">
        <f t="shared" ca="1" si="17"/>
        <v>0.11719082537266326</v>
      </c>
    </row>
    <row r="970" spans="7:8" x14ac:dyDescent="0.3">
      <c r="G970" s="24">
        <v>958</v>
      </c>
      <c r="H970">
        <f t="shared" ca="1" si="17"/>
        <v>7.6457787851875056E-2</v>
      </c>
    </row>
    <row r="971" spans="7:8" x14ac:dyDescent="0.3">
      <c r="G971" s="24">
        <v>959</v>
      </c>
      <c r="H971">
        <f t="shared" ca="1" si="17"/>
        <v>-1.4292524749836281E-2</v>
      </c>
    </row>
    <row r="972" spans="7:8" x14ac:dyDescent="0.3">
      <c r="G972" s="24">
        <v>960</v>
      </c>
      <c r="H972">
        <f t="shared" ca="1" si="17"/>
        <v>2.7338240216472118E-2</v>
      </c>
    </row>
    <row r="973" spans="7:8" x14ac:dyDescent="0.3">
      <c r="G973" s="24">
        <v>961</v>
      </c>
      <c r="H973">
        <f t="shared" ca="1" si="17"/>
        <v>5.8833319810548061E-2</v>
      </c>
    </row>
    <row r="974" spans="7:8" x14ac:dyDescent="0.3">
      <c r="G974" s="24">
        <v>962</v>
      </c>
      <c r="H974">
        <f t="shared" ref="H974:H1037" ca="1" si="18">_xlfn.NORM.INV(RAND(),N$13,N$14)</f>
        <v>2.191197292849964E-2</v>
      </c>
    </row>
    <row r="975" spans="7:8" x14ac:dyDescent="0.3">
      <c r="G975" s="24">
        <v>963</v>
      </c>
      <c r="H975">
        <f t="shared" ca="1" si="18"/>
        <v>-0.14496336331648144</v>
      </c>
    </row>
    <row r="976" spans="7:8" x14ac:dyDescent="0.3">
      <c r="G976" s="24">
        <v>964</v>
      </c>
      <c r="H976">
        <f t="shared" ca="1" si="18"/>
        <v>6.6190659146172934E-2</v>
      </c>
    </row>
    <row r="977" spans="7:8" x14ac:dyDescent="0.3">
      <c r="G977" s="24">
        <v>965</v>
      </c>
      <c r="H977">
        <f t="shared" ca="1" si="18"/>
        <v>-4.2481425330536976E-2</v>
      </c>
    </row>
    <row r="978" spans="7:8" x14ac:dyDescent="0.3">
      <c r="G978" s="24">
        <v>966</v>
      </c>
      <c r="H978">
        <f t="shared" ca="1" si="18"/>
        <v>6.5008861933242623E-2</v>
      </c>
    </row>
    <row r="979" spans="7:8" x14ac:dyDescent="0.3">
      <c r="G979" s="24">
        <v>967</v>
      </c>
      <c r="H979">
        <f t="shared" ca="1" si="18"/>
        <v>3.1502378041853213E-2</v>
      </c>
    </row>
    <row r="980" spans="7:8" x14ac:dyDescent="0.3">
      <c r="G980" s="24">
        <v>968</v>
      </c>
      <c r="H980">
        <f t="shared" ca="1" si="18"/>
        <v>-2.8001089182111993E-3</v>
      </c>
    </row>
    <row r="981" spans="7:8" x14ac:dyDescent="0.3">
      <c r="G981" s="24">
        <v>969</v>
      </c>
      <c r="H981">
        <f t="shared" ca="1" si="18"/>
        <v>-1.1768909266233852E-2</v>
      </c>
    </row>
    <row r="982" spans="7:8" x14ac:dyDescent="0.3">
      <c r="G982" s="24">
        <v>970</v>
      </c>
      <c r="H982">
        <f t="shared" ca="1" si="18"/>
        <v>-1.7632219382712151E-2</v>
      </c>
    </row>
    <row r="983" spans="7:8" x14ac:dyDescent="0.3">
      <c r="G983" s="24">
        <v>971</v>
      </c>
      <c r="H983">
        <f t="shared" ca="1" si="18"/>
        <v>4.2012008649204517E-3</v>
      </c>
    </row>
    <row r="984" spans="7:8" x14ac:dyDescent="0.3">
      <c r="G984" s="24">
        <v>972</v>
      </c>
      <c r="H984">
        <f t="shared" ca="1" si="18"/>
        <v>0.12400826625085877</v>
      </c>
    </row>
    <row r="985" spans="7:8" x14ac:dyDescent="0.3">
      <c r="G985" s="24">
        <v>973</v>
      </c>
      <c r="H985">
        <f t="shared" ca="1" si="18"/>
        <v>0.12089995884544283</v>
      </c>
    </row>
    <row r="986" spans="7:8" x14ac:dyDescent="0.3">
      <c r="G986" s="24">
        <v>974</v>
      </c>
      <c r="H986">
        <f t="shared" ca="1" si="18"/>
        <v>5.1598385888786333E-2</v>
      </c>
    </row>
    <row r="987" spans="7:8" x14ac:dyDescent="0.3">
      <c r="G987" s="24">
        <v>975</v>
      </c>
      <c r="H987">
        <f t="shared" ca="1" si="18"/>
        <v>-8.167770310349394E-2</v>
      </c>
    </row>
    <row r="988" spans="7:8" x14ac:dyDescent="0.3">
      <c r="G988" s="24">
        <v>976</v>
      </c>
      <c r="H988">
        <f t="shared" ca="1" si="18"/>
        <v>3.9112475942887921E-2</v>
      </c>
    </row>
    <row r="989" spans="7:8" x14ac:dyDescent="0.3">
      <c r="G989" s="24">
        <v>977</v>
      </c>
      <c r="H989">
        <f t="shared" ca="1" si="18"/>
        <v>-3.1592417327532478E-2</v>
      </c>
    </row>
    <row r="990" spans="7:8" x14ac:dyDescent="0.3">
      <c r="G990" s="24">
        <v>978</v>
      </c>
      <c r="H990">
        <f t="shared" ca="1" si="18"/>
        <v>4.6383213364594583E-2</v>
      </c>
    </row>
    <row r="991" spans="7:8" x14ac:dyDescent="0.3">
      <c r="G991" s="24">
        <v>979</v>
      </c>
      <c r="H991">
        <f t="shared" ca="1" si="18"/>
        <v>3.2697687473409433E-2</v>
      </c>
    </row>
    <row r="992" spans="7:8" x14ac:dyDescent="0.3">
      <c r="G992" s="24">
        <v>980</v>
      </c>
      <c r="H992">
        <f t="shared" ca="1" si="18"/>
        <v>-6.3239484813928243E-2</v>
      </c>
    </row>
    <row r="993" spans="7:8" x14ac:dyDescent="0.3">
      <c r="G993" s="24">
        <v>981</v>
      </c>
      <c r="H993">
        <f t="shared" ca="1" si="18"/>
        <v>-4.0578480933650747E-2</v>
      </c>
    </row>
    <row r="994" spans="7:8" x14ac:dyDescent="0.3">
      <c r="G994" s="24">
        <v>982</v>
      </c>
      <c r="H994">
        <f t="shared" ca="1" si="18"/>
        <v>2.8564089893306763E-2</v>
      </c>
    </row>
    <row r="995" spans="7:8" x14ac:dyDescent="0.3">
      <c r="G995" s="24">
        <v>983</v>
      </c>
      <c r="H995">
        <f t="shared" ca="1" si="18"/>
        <v>1.3929934106079565E-2</v>
      </c>
    </row>
    <row r="996" spans="7:8" x14ac:dyDescent="0.3">
      <c r="G996" s="24">
        <v>984</v>
      </c>
      <c r="H996">
        <f t="shared" ca="1" si="18"/>
        <v>-5.7623507094904894E-2</v>
      </c>
    </row>
    <row r="997" spans="7:8" x14ac:dyDescent="0.3">
      <c r="G997" s="24">
        <v>985</v>
      </c>
      <c r="H997">
        <f t="shared" ca="1" si="18"/>
        <v>2.6993475181095742E-2</v>
      </c>
    </row>
    <row r="998" spans="7:8" x14ac:dyDescent="0.3">
      <c r="G998" s="24">
        <v>986</v>
      </c>
      <c r="H998">
        <f t="shared" ca="1" si="18"/>
        <v>0.11149213485809166</v>
      </c>
    </row>
    <row r="999" spans="7:8" x14ac:dyDescent="0.3">
      <c r="G999" s="24">
        <v>987</v>
      </c>
      <c r="H999">
        <f t="shared" ca="1" si="18"/>
        <v>5.1197229811958483E-2</v>
      </c>
    </row>
    <row r="1000" spans="7:8" x14ac:dyDescent="0.3">
      <c r="G1000" s="24">
        <v>988</v>
      </c>
      <c r="H1000">
        <f t="shared" ca="1" si="18"/>
        <v>-3.5884997344599281E-2</v>
      </c>
    </row>
    <row r="1001" spans="7:8" x14ac:dyDescent="0.3">
      <c r="G1001" s="24">
        <v>989</v>
      </c>
      <c r="H1001">
        <f t="shared" ca="1" si="18"/>
        <v>-4.1905733676865314E-2</v>
      </c>
    </row>
    <row r="1002" spans="7:8" x14ac:dyDescent="0.3">
      <c r="G1002" s="24">
        <v>990</v>
      </c>
      <c r="H1002">
        <f t="shared" ca="1" si="18"/>
        <v>-1.3143247647325674E-2</v>
      </c>
    </row>
    <row r="1003" spans="7:8" x14ac:dyDescent="0.3">
      <c r="G1003" s="24">
        <v>991</v>
      </c>
      <c r="H1003">
        <f t="shared" ca="1" si="18"/>
        <v>-6.1732400796244473E-2</v>
      </c>
    </row>
    <row r="1004" spans="7:8" x14ac:dyDescent="0.3">
      <c r="G1004" s="24">
        <v>992</v>
      </c>
      <c r="H1004">
        <f t="shared" ca="1" si="18"/>
        <v>-4.2731784584159348E-2</v>
      </c>
    </row>
    <row r="1005" spans="7:8" x14ac:dyDescent="0.3">
      <c r="G1005" s="24">
        <v>993</v>
      </c>
      <c r="H1005">
        <f t="shared" ca="1" si="18"/>
        <v>7.5637574031592367E-2</v>
      </c>
    </row>
    <row r="1006" spans="7:8" x14ac:dyDescent="0.3">
      <c r="G1006" s="24">
        <v>994</v>
      </c>
      <c r="H1006">
        <f t="shared" ca="1" si="18"/>
        <v>0.10330289783224163</v>
      </c>
    </row>
    <row r="1007" spans="7:8" x14ac:dyDescent="0.3">
      <c r="G1007" s="24">
        <v>995</v>
      </c>
      <c r="H1007">
        <f t="shared" ca="1" si="18"/>
        <v>1.0266718013627813E-2</v>
      </c>
    </row>
    <row r="1008" spans="7:8" x14ac:dyDescent="0.3">
      <c r="G1008" s="24">
        <v>996</v>
      </c>
      <c r="H1008">
        <f t="shared" ca="1" si="18"/>
        <v>-3.8985721070995724E-2</v>
      </c>
    </row>
    <row r="1009" spans="7:8" x14ac:dyDescent="0.3">
      <c r="G1009" s="24">
        <v>997</v>
      </c>
      <c r="H1009">
        <f t="shared" ca="1" si="18"/>
        <v>-2.6886654646598562E-2</v>
      </c>
    </row>
    <row r="1010" spans="7:8" x14ac:dyDescent="0.3">
      <c r="G1010" s="24">
        <v>998</v>
      </c>
      <c r="H1010">
        <f t="shared" ca="1" si="18"/>
        <v>-4.0489884099488959E-3</v>
      </c>
    </row>
    <row r="1011" spans="7:8" x14ac:dyDescent="0.3">
      <c r="G1011" s="24">
        <v>999</v>
      </c>
      <c r="H1011">
        <f t="shared" ca="1" si="18"/>
        <v>6.1124097347422954E-2</v>
      </c>
    </row>
    <row r="1012" spans="7:8" x14ac:dyDescent="0.3">
      <c r="G1012" s="24">
        <v>1000</v>
      </c>
      <c r="H1012">
        <f t="shared" ca="1" si="18"/>
        <v>-8.8442948507680086E-2</v>
      </c>
    </row>
    <row r="1013" spans="7:8" x14ac:dyDescent="0.3">
      <c r="G1013" s="24">
        <v>1001</v>
      </c>
      <c r="H1013">
        <f t="shared" ca="1" si="18"/>
        <v>-2.055733355425091E-2</v>
      </c>
    </row>
    <row r="1014" spans="7:8" x14ac:dyDescent="0.3">
      <c r="G1014" s="24">
        <v>1002</v>
      </c>
      <c r="H1014">
        <f t="shared" ca="1" si="18"/>
        <v>2.472840767963503E-2</v>
      </c>
    </row>
    <row r="1015" spans="7:8" x14ac:dyDescent="0.3">
      <c r="G1015" s="24">
        <v>1003</v>
      </c>
      <c r="H1015">
        <f t="shared" ca="1" si="18"/>
        <v>-0.10952971394674449</v>
      </c>
    </row>
    <row r="1016" spans="7:8" x14ac:dyDescent="0.3">
      <c r="G1016" s="24">
        <v>1004</v>
      </c>
      <c r="H1016">
        <f t="shared" ca="1" si="18"/>
        <v>-3.2785734186093339E-2</v>
      </c>
    </row>
    <row r="1017" spans="7:8" x14ac:dyDescent="0.3">
      <c r="G1017" s="24">
        <v>1005</v>
      </c>
      <c r="H1017">
        <f t="shared" ca="1" si="18"/>
        <v>-9.2376811144670289E-3</v>
      </c>
    </row>
    <row r="1018" spans="7:8" x14ac:dyDescent="0.3">
      <c r="G1018" s="24">
        <v>1006</v>
      </c>
      <c r="H1018">
        <f t="shared" ca="1" si="18"/>
        <v>3.9499618045303234E-2</v>
      </c>
    </row>
    <row r="1019" spans="7:8" x14ac:dyDescent="0.3">
      <c r="G1019" s="24">
        <v>1007</v>
      </c>
      <c r="H1019">
        <f t="shared" ca="1" si="18"/>
        <v>0.10391623968401871</v>
      </c>
    </row>
    <row r="1020" spans="7:8" x14ac:dyDescent="0.3">
      <c r="G1020" s="24">
        <v>1008</v>
      </c>
      <c r="H1020">
        <f t="shared" ca="1" si="18"/>
        <v>3.1761575926401433E-3</v>
      </c>
    </row>
    <row r="1021" spans="7:8" x14ac:dyDescent="0.3">
      <c r="G1021" s="24">
        <v>1009</v>
      </c>
      <c r="H1021">
        <f t="shared" ca="1" si="18"/>
        <v>4.9121248472638698E-2</v>
      </c>
    </row>
    <row r="1022" spans="7:8" x14ac:dyDescent="0.3">
      <c r="G1022" s="24">
        <v>1010</v>
      </c>
      <c r="H1022">
        <f t="shared" ca="1" si="18"/>
        <v>1.6623140404477134E-2</v>
      </c>
    </row>
    <row r="1023" spans="7:8" x14ac:dyDescent="0.3">
      <c r="G1023" s="24">
        <v>1011</v>
      </c>
      <c r="H1023">
        <f t="shared" ca="1" si="18"/>
        <v>-2.9875261732277229E-2</v>
      </c>
    </row>
    <row r="1024" spans="7:8" x14ac:dyDescent="0.3">
      <c r="G1024" s="24">
        <v>1012</v>
      </c>
      <c r="H1024">
        <f t="shared" ca="1" si="18"/>
        <v>2.8441007577532134E-2</v>
      </c>
    </row>
    <row r="1025" spans="7:8" x14ac:dyDescent="0.3">
      <c r="G1025" s="24">
        <v>1013</v>
      </c>
      <c r="H1025">
        <f t="shared" ca="1" si="18"/>
        <v>-2.989942810670256E-3</v>
      </c>
    </row>
    <row r="1026" spans="7:8" x14ac:dyDescent="0.3">
      <c r="G1026" s="24">
        <v>1014</v>
      </c>
      <c r="H1026">
        <f t="shared" ca="1" si="18"/>
        <v>-8.4547517064048935E-2</v>
      </c>
    </row>
    <row r="1027" spans="7:8" x14ac:dyDescent="0.3">
      <c r="G1027" s="24">
        <v>1015</v>
      </c>
      <c r="H1027">
        <f t="shared" ca="1" si="18"/>
        <v>7.6284341748229803E-2</v>
      </c>
    </row>
    <row r="1028" spans="7:8" x14ac:dyDescent="0.3">
      <c r="G1028" s="24">
        <v>1016</v>
      </c>
      <c r="H1028">
        <f t="shared" ca="1" si="18"/>
        <v>3.98981281479023E-2</v>
      </c>
    </row>
    <row r="1029" spans="7:8" x14ac:dyDescent="0.3">
      <c r="G1029" s="24">
        <v>1017</v>
      </c>
      <c r="H1029">
        <f t="shared" ca="1" si="18"/>
        <v>-7.3225151335849822E-2</v>
      </c>
    </row>
    <row r="1030" spans="7:8" x14ac:dyDescent="0.3">
      <c r="G1030" s="24">
        <v>1018</v>
      </c>
      <c r="H1030">
        <f t="shared" ca="1" si="18"/>
        <v>3.4225080466743908E-3</v>
      </c>
    </row>
    <row r="1031" spans="7:8" x14ac:dyDescent="0.3">
      <c r="G1031" s="24">
        <v>1019</v>
      </c>
      <c r="H1031">
        <f t="shared" ca="1" si="18"/>
        <v>-4.7625093896854851E-3</v>
      </c>
    </row>
    <row r="1032" spans="7:8" x14ac:dyDescent="0.3">
      <c r="G1032" s="24">
        <v>1020</v>
      </c>
      <c r="H1032">
        <f t="shared" ca="1" si="18"/>
        <v>-0.1133568606132839</v>
      </c>
    </row>
    <row r="1033" spans="7:8" x14ac:dyDescent="0.3">
      <c r="G1033" s="24">
        <v>1021</v>
      </c>
      <c r="H1033">
        <f t="shared" ca="1" si="18"/>
        <v>9.1444986124898375E-2</v>
      </c>
    </row>
    <row r="1034" spans="7:8" x14ac:dyDescent="0.3">
      <c r="G1034" s="24">
        <v>1022</v>
      </c>
      <c r="H1034">
        <f t="shared" ca="1" si="18"/>
        <v>-0.11854769378095459</v>
      </c>
    </row>
    <row r="1035" spans="7:8" x14ac:dyDescent="0.3">
      <c r="G1035" s="24">
        <v>1023</v>
      </c>
      <c r="H1035">
        <f t="shared" ca="1" si="18"/>
        <v>5.8511596611737854E-2</v>
      </c>
    </row>
    <row r="1036" spans="7:8" x14ac:dyDescent="0.3">
      <c r="G1036" s="24">
        <v>1024</v>
      </c>
      <c r="H1036">
        <f t="shared" ca="1" si="18"/>
        <v>-6.6793249460849649E-2</v>
      </c>
    </row>
    <row r="1037" spans="7:8" x14ac:dyDescent="0.3">
      <c r="G1037" s="24">
        <v>1025</v>
      </c>
      <c r="H1037">
        <f t="shared" ca="1" si="18"/>
        <v>-5.941643963818536E-2</v>
      </c>
    </row>
    <row r="1038" spans="7:8" x14ac:dyDescent="0.3">
      <c r="G1038" s="24">
        <v>1026</v>
      </c>
      <c r="H1038">
        <f t="shared" ref="H1038:H1101" ca="1" si="19">_xlfn.NORM.INV(RAND(),N$13,N$14)</f>
        <v>-4.5034945777661109E-2</v>
      </c>
    </row>
    <row r="1039" spans="7:8" x14ac:dyDescent="0.3">
      <c r="G1039" s="24">
        <v>1027</v>
      </c>
      <c r="H1039">
        <f t="shared" ca="1" si="19"/>
        <v>-1.1834831683866615E-2</v>
      </c>
    </row>
    <row r="1040" spans="7:8" x14ac:dyDescent="0.3">
      <c r="G1040" s="24">
        <v>1028</v>
      </c>
      <c r="H1040">
        <f t="shared" ca="1" si="19"/>
        <v>2.6474340090398861E-2</v>
      </c>
    </row>
    <row r="1041" spans="7:8" x14ac:dyDescent="0.3">
      <c r="G1041" s="24">
        <v>1029</v>
      </c>
      <c r="H1041">
        <f t="shared" ca="1" si="19"/>
        <v>2.9571584050287435E-2</v>
      </c>
    </row>
    <row r="1042" spans="7:8" x14ac:dyDescent="0.3">
      <c r="G1042" s="24">
        <v>1030</v>
      </c>
      <c r="H1042">
        <f t="shared" ca="1" si="19"/>
        <v>1.9976574052531639E-2</v>
      </c>
    </row>
    <row r="1043" spans="7:8" x14ac:dyDescent="0.3">
      <c r="G1043" s="24">
        <v>1031</v>
      </c>
      <c r="H1043">
        <f t="shared" ca="1" si="19"/>
        <v>2.4747971550921583E-2</v>
      </c>
    </row>
    <row r="1044" spans="7:8" x14ac:dyDescent="0.3">
      <c r="G1044" s="24">
        <v>1032</v>
      </c>
      <c r="H1044">
        <f t="shared" ca="1" si="19"/>
        <v>6.3771439353293602E-2</v>
      </c>
    </row>
    <row r="1045" spans="7:8" x14ac:dyDescent="0.3">
      <c r="G1045" s="24">
        <v>1033</v>
      </c>
      <c r="H1045">
        <f t="shared" ca="1" si="19"/>
        <v>-8.6880985300068589E-2</v>
      </c>
    </row>
    <row r="1046" spans="7:8" x14ac:dyDescent="0.3">
      <c r="G1046" s="24">
        <v>1034</v>
      </c>
      <c r="H1046">
        <f t="shared" ca="1" si="19"/>
        <v>-6.3781710008039734E-3</v>
      </c>
    </row>
    <row r="1047" spans="7:8" x14ac:dyDescent="0.3">
      <c r="G1047" s="24">
        <v>1035</v>
      </c>
      <c r="H1047">
        <f t="shared" ca="1" si="19"/>
        <v>5.251013737997335E-2</v>
      </c>
    </row>
    <row r="1048" spans="7:8" x14ac:dyDescent="0.3">
      <c r="G1048" s="24">
        <v>1036</v>
      </c>
      <c r="H1048">
        <f t="shared" ca="1" si="19"/>
        <v>5.9639501116530401E-2</v>
      </c>
    </row>
    <row r="1049" spans="7:8" x14ac:dyDescent="0.3">
      <c r="G1049" s="24">
        <v>1037</v>
      </c>
      <c r="H1049">
        <f t="shared" ca="1" si="19"/>
        <v>4.669862587438426E-2</v>
      </c>
    </row>
    <row r="1050" spans="7:8" x14ac:dyDescent="0.3">
      <c r="G1050" s="24">
        <v>1038</v>
      </c>
      <c r="H1050">
        <f t="shared" ca="1" si="19"/>
        <v>-0.11733811394661312</v>
      </c>
    </row>
    <row r="1051" spans="7:8" x14ac:dyDescent="0.3">
      <c r="G1051" s="24">
        <v>1039</v>
      </c>
      <c r="H1051">
        <f t="shared" ca="1" si="19"/>
        <v>-4.4004590672887173E-2</v>
      </c>
    </row>
    <row r="1052" spans="7:8" x14ac:dyDescent="0.3">
      <c r="G1052" s="24">
        <v>1040</v>
      </c>
      <c r="H1052">
        <f t="shared" ca="1" si="19"/>
        <v>-5.1894289219036972E-2</v>
      </c>
    </row>
    <row r="1053" spans="7:8" x14ac:dyDescent="0.3">
      <c r="G1053" s="24">
        <v>1041</v>
      </c>
      <c r="H1053">
        <f t="shared" ca="1" si="19"/>
        <v>5.5786249033264408E-2</v>
      </c>
    </row>
    <row r="1054" spans="7:8" x14ac:dyDescent="0.3">
      <c r="G1054" s="24">
        <v>1042</v>
      </c>
      <c r="H1054">
        <f t="shared" ca="1" si="19"/>
        <v>-1.7234832496166436E-2</v>
      </c>
    </row>
    <row r="1055" spans="7:8" x14ac:dyDescent="0.3">
      <c r="G1055" s="24">
        <v>1043</v>
      </c>
      <c r="H1055">
        <f t="shared" ca="1" si="19"/>
        <v>-5.2486942988882977E-2</v>
      </c>
    </row>
    <row r="1056" spans="7:8" x14ac:dyDescent="0.3">
      <c r="G1056" s="24">
        <v>1044</v>
      </c>
      <c r="H1056">
        <f t="shared" ca="1" si="19"/>
        <v>-7.8500200054551189E-2</v>
      </c>
    </row>
    <row r="1057" spans="7:8" x14ac:dyDescent="0.3">
      <c r="G1057" s="24">
        <v>1045</v>
      </c>
      <c r="H1057">
        <f t="shared" ca="1" si="19"/>
        <v>3.9590894594840817E-2</v>
      </c>
    </row>
    <row r="1058" spans="7:8" x14ac:dyDescent="0.3">
      <c r="G1058" s="24">
        <v>1046</v>
      </c>
      <c r="H1058">
        <f t="shared" ca="1" si="19"/>
        <v>0.12966438538343181</v>
      </c>
    </row>
    <row r="1059" spans="7:8" x14ac:dyDescent="0.3">
      <c r="G1059" s="24">
        <v>1047</v>
      </c>
      <c r="H1059">
        <f t="shared" ca="1" si="19"/>
        <v>-5.5867712331380479E-3</v>
      </c>
    </row>
    <row r="1060" spans="7:8" x14ac:dyDescent="0.3">
      <c r="G1060" s="24">
        <v>1048</v>
      </c>
      <c r="H1060">
        <f t="shared" ca="1" si="19"/>
        <v>1.8810053627068446E-2</v>
      </c>
    </row>
    <row r="1061" spans="7:8" x14ac:dyDescent="0.3">
      <c r="G1061" s="24">
        <v>1049</v>
      </c>
      <c r="H1061">
        <f t="shared" ca="1" si="19"/>
        <v>6.8965758308555487E-4</v>
      </c>
    </row>
    <row r="1062" spans="7:8" x14ac:dyDescent="0.3">
      <c r="G1062" s="24">
        <v>1050</v>
      </c>
      <c r="H1062">
        <f t="shared" ca="1" si="19"/>
        <v>4.5389373110884999E-2</v>
      </c>
    </row>
    <row r="1063" spans="7:8" x14ac:dyDescent="0.3">
      <c r="G1063" s="24">
        <v>1051</v>
      </c>
      <c r="H1063">
        <f t="shared" ca="1" si="19"/>
        <v>8.5254170808521476E-2</v>
      </c>
    </row>
    <row r="1064" spans="7:8" x14ac:dyDescent="0.3">
      <c r="G1064" s="24">
        <v>1052</v>
      </c>
      <c r="H1064">
        <f t="shared" ca="1" si="19"/>
        <v>3.5218264242248908E-2</v>
      </c>
    </row>
    <row r="1065" spans="7:8" x14ac:dyDescent="0.3">
      <c r="G1065" s="24">
        <v>1053</v>
      </c>
      <c r="H1065">
        <f t="shared" ca="1" si="19"/>
        <v>-9.0743269432748991E-2</v>
      </c>
    </row>
    <row r="1066" spans="7:8" x14ac:dyDescent="0.3">
      <c r="G1066" s="24">
        <v>1054</v>
      </c>
      <c r="H1066">
        <f t="shared" ca="1" si="19"/>
        <v>-0.14953034583588504</v>
      </c>
    </row>
    <row r="1067" spans="7:8" x14ac:dyDescent="0.3">
      <c r="G1067" s="24">
        <v>1055</v>
      </c>
      <c r="H1067">
        <f t="shared" ca="1" si="19"/>
        <v>0.15941013416208991</v>
      </c>
    </row>
    <row r="1068" spans="7:8" x14ac:dyDescent="0.3">
      <c r="G1068" s="24">
        <v>1056</v>
      </c>
      <c r="H1068">
        <f t="shared" ca="1" si="19"/>
        <v>-1.5501123551420883E-2</v>
      </c>
    </row>
    <row r="1069" spans="7:8" x14ac:dyDescent="0.3">
      <c r="G1069" s="24">
        <v>1057</v>
      </c>
      <c r="H1069">
        <f t="shared" ca="1" si="19"/>
        <v>5.3610857397963799E-2</v>
      </c>
    </row>
    <row r="1070" spans="7:8" x14ac:dyDescent="0.3">
      <c r="G1070" s="24">
        <v>1058</v>
      </c>
      <c r="H1070">
        <f t="shared" ca="1" si="19"/>
        <v>5.0545605645220728E-3</v>
      </c>
    </row>
    <row r="1071" spans="7:8" x14ac:dyDescent="0.3">
      <c r="G1071" s="24">
        <v>1059</v>
      </c>
      <c r="H1071">
        <f t="shared" ca="1" si="19"/>
        <v>-3.0345032645346198E-2</v>
      </c>
    </row>
    <row r="1072" spans="7:8" x14ac:dyDescent="0.3">
      <c r="G1072" s="24">
        <v>1060</v>
      </c>
      <c r="H1072">
        <f t="shared" ca="1" si="19"/>
        <v>4.3443251403857908E-2</v>
      </c>
    </row>
    <row r="1073" spans="7:8" x14ac:dyDescent="0.3">
      <c r="G1073" s="24">
        <v>1061</v>
      </c>
      <c r="H1073">
        <f t="shared" ca="1" si="19"/>
        <v>9.7940446173591475E-2</v>
      </c>
    </row>
    <row r="1074" spans="7:8" x14ac:dyDescent="0.3">
      <c r="G1074" s="24">
        <v>1062</v>
      </c>
      <c r="H1074">
        <f t="shared" ca="1" si="19"/>
        <v>0.1632050656864126</v>
      </c>
    </row>
    <row r="1075" spans="7:8" x14ac:dyDescent="0.3">
      <c r="G1075" s="24">
        <v>1063</v>
      </c>
      <c r="H1075">
        <f t="shared" ca="1" si="19"/>
        <v>-6.4306939388571183E-2</v>
      </c>
    </row>
    <row r="1076" spans="7:8" x14ac:dyDescent="0.3">
      <c r="G1076" s="24">
        <v>1064</v>
      </c>
      <c r="H1076">
        <f t="shared" ca="1" si="19"/>
        <v>3.3338501974328603E-2</v>
      </c>
    </row>
    <row r="1077" spans="7:8" x14ac:dyDescent="0.3">
      <c r="G1077" s="24">
        <v>1065</v>
      </c>
      <c r="H1077">
        <f t="shared" ca="1" si="19"/>
        <v>-7.6280219888802653E-2</v>
      </c>
    </row>
    <row r="1078" spans="7:8" x14ac:dyDescent="0.3">
      <c r="G1078" s="24">
        <v>1066</v>
      </c>
      <c r="H1078">
        <f t="shared" ca="1" si="19"/>
        <v>2.2275964341991708E-2</v>
      </c>
    </row>
    <row r="1079" spans="7:8" x14ac:dyDescent="0.3">
      <c r="G1079" s="24">
        <v>1067</v>
      </c>
      <c r="H1079">
        <f t="shared" ca="1" si="19"/>
        <v>-5.7859650771880468E-2</v>
      </c>
    </row>
    <row r="1080" spans="7:8" x14ac:dyDescent="0.3">
      <c r="G1080" s="24">
        <v>1068</v>
      </c>
      <c r="H1080">
        <f t="shared" ca="1" si="19"/>
        <v>-2.0844791204991591E-2</v>
      </c>
    </row>
    <row r="1081" spans="7:8" x14ac:dyDescent="0.3">
      <c r="G1081" s="24">
        <v>1069</v>
      </c>
      <c r="H1081">
        <f t="shared" ca="1" si="19"/>
        <v>4.1995245568247352E-3</v>
      </c>
    </row>
    <row r="1082" spans="7:8" x14ac:dyDescent="0.3">
      <c r="G1082" s="24">
        <v>1070</v>
      </c>
      <c r="H1082">
        <f t="shared" ca="1" si="19"/>
        <v>-1.6910105560050213E-2</v>
      </c>
    </row>
    <row r="1083" spans="7:8" x14ac:dyDescent="0.3">
      <c r="G1083" s="24">
        <v>1071</v>
      </c>
      <c r="H1083">
        <f t="shared" ca="1" si="19"/>
        <v>5.046846888113888E-2</v>
      </c>
    </row>
    <row r="1084" spans="7:8" x14ac:dyDescent="0.3">
      <c r="G1084" s="24">
        <v>1072</v>
      </c>
      <c r="H1084">
        <f t="shared" ca="1" si="19"/>
        <v>-5.4810566436737075E-2</v>
      </c>
    </row>
    <row r="1085" spans="7:8" x14ac:dyDescent="0.3">
      <c r="G1085" s="24">
        <v>1073</v>
      </c>
      <c r="H1085">
        <f t="shared" ca="1" si="19"/>
        <v>3.1982816950461887E-2</v>
      </c>
    </row>
    <row r="1086" spans="7:8" x14ac:dyDescent="0.3">
      <c r="G1086" s="24">
        <v>1074</v>
      </c>
      <c r="H1086">
        <f t="shared" ca="1" si="19"/>
        <v>-2.2650016406899564E-3</v>
      </c>
    </row>
    <row r="1087" spans="7:8" x14ac:dyDescent="0.3">
      <c r="G1087" s="24">
        <v>1075</v>
      </c>
      <c r="H1087">
        <f t="shared" ca="1" si="19"/>
        <v>-6.1912491803301307E-2</v>
      </c>
    </row>
    <row r="1088" spans="7:8" x14ac:dyDescent="0.3">
      <c r="G1088" s="24">
        <v>1076</v>
      </c>
      <c r="H1088">
        <f t="shared" ca="1" si="19"/>
        <v>-6.1734558341408195E-2</v>
      </c>
    </row>
    <row r="1089" spans="7:8" x14ac:dyDescent="0.3">
      <c r="G1089" s="24">
        <v>1077</v>
      </c>
      <c r="H1089">
        <f t="shared" ca="1" si="19"/>
        <v>-0.14715218147025302</v>
      </c>
    </row>
    <row r="1090" spans="7:8" x14ac:dyDescent="0.3">
      <c r="G1090" s="24">
        <v>1078</v>
      </c>
      <c r="H1090">
        <f t="shared" ca="1" si="19"/>
        <v>6.7434661923802281E-3</v>
      </c>
    </row>
    <row r="1091" spans="7:8" x14ac:dyDescent="0.3">
      <c r="G1091" s="24">
        <v>1079</v>
      </c>
      <c r="H1091">
        <f t="shared" ca="1" si="19"/>
        <v>0.10951704212174906</v>
      </c>
    </row>
    <row r="1092" spans="7:8" x14ac:dyDescent="0.3">
      <c r="G1092" s="24">
        <v>1080</v>
      </c>
      <c r="H1092">
        <f t="shared" ca="1" si="19"/>
        <v>-3.0962669316610059E-2</v>
      </c>
    </row>
    <row r="1093" spans="7:8" x14ac:dyDescent="0.3">
      <c r="G1093" s="24">
        <v>1081</v>
      </c>
      <c r="H1093">
        <f t="shared" ca="1" si="19"/>
        <v>2.9301772073974927E-2</v>
      </c>
    </row>
    <row r="1094" spans="7:8" x14ac:dyDescent="0.3">
      <c r="G1094" s="24">
        <v>1082</v>
      </c>
      <c r="H1094">
        <f t="shared" ca="1" si="19"/>
        <v>-0.10072691952041979</v>
      </c>
    </row>
    <row r="1095" spans="7:8" x14ac:dyDescent="0.3">
      <c r="G1095" s="24">
        <v>1083</v>
      </c>
      <c r="H1095">
        <f t="shared" ca="1" si="19"/>
        <v>-1.4217666530177253E-2</v>
      </c>
    </row>
    <row r="1096" spans="7:8" x14ac:dyDescent="0.3">
      <c r="G1096" s="24">
        <v>1084</v>
      </c>
      <c r="H1096">
        <f t="shared" ca="1" si="19"/>
        <v>-2.3011514708689614E-2</v>
      </c>
    </row>
    <row r="1097" spans="7:8" x14ac:dyDescent="0.3">
      <c r="G1097" s="24">
        <v>1085</v>
      </c>
      <c r="H1097">
        <f t="shared" ca="1" si="19"/>
        <v>-7.8500369444691645E-2</v>
      </c>
    </row>
    <row r="1098" spans="7:8" x14ac:dyDescent="0.3">
      <c r="G1098" s="24">
        <v>1086</v>
      </c>
      <c r="H1098">
        <f t="shared" ca="1" si="19"/>
        <v>-7.0302716216273639E-2</v>
      </c>
    </row>
    <row r="1099" spans="7:8" x14ac:dyDescent="0.3">
      <c r="G1099" s="24">
        <v>1087</v>
      </c>
      <c r="H1099">
        <f t="shared" ca="1" si="19"/>
        <v>-2.0092158015688845E-2</v>
      </c>
    </row>
    <row r="1100" spans="7:8" x14ac:dyDescent="0.3">
      <c r="G1100" s="24">
        <v>1088</v>
      </c>
      <c r="H1100">
        <f t="shared" ca="1" si="19"/>
        <v>-5.3936157724853551E-2</v>
      </c>
    </row>
    <row r="1101" spans="7:8" x14ac:dyDescent="0.3">
      <c r="G1101" s="24">
        <v>1089</v>
      </c>
      <c r="H1101">
        <f t="shared" ca="1" si="19"/>
        <v>3.9797088792434702E-2</v>
      </c>
    </row>
    <row r="1102" spans="7:8" x14ac:dyDescent="0.3">
      <c r="G1102" s="24">
        <v>1090</v>
      </c>
      <c r="H1102">
        <f t="shared" ref="H1102:H1165" ca="1" si="20">_xlfn.NORM.INV(RAND(),N$13,N$14)</f>
        <v>3.3200857550277199E-2</v>
      </c>
    </row>
    <row r="1103" spans="7:8" x14ac:dyDescent="0.3">
      <c r="G1103" s="24">
        <v>1091</v>
      </c>
      <c r="H1103">
        <f t="shared" ca="1" si="20"/>
        <v>5.2654539896842753E-3</v>
      </c>
    </row>
    <row r="1104" spans="7:8" x14ac:dyDescent="0.3">
      <c r="G1104" s="24">
        <v>1092</v>
      </c>
      <c r="H1104">
        <f t="shared" ca="1" si="20"/>
        <v>4.7971982179548352E-2</v>
      </c>
    </row>
    <row r="1105" spans="7:8" x14ac:dyDescent="0.3">
      <c r="G1105" s="24">
        <v>1093</v>
      </c>
      <c r="H1105">
        <f t="shared" ca="1" si="20"/>
        <v>-1.7445275652698228E-2</v>
      </c>
    </row>
    <row r="1106" spans="7:8" x14ac:dyDescent="0.3">
      <c r="G1106" s="24">
        <v>1094</v>
      </c>
      <c r="H1106">
        <f t="shared" ca="1" si="20"/>
        <v>0.12228316375342231</v>
      </c>
    </row>
    <row r="1107" spans="7:8" x14ac:dyDescent="0.3">
      <c r="G1107" s="24">
        <v>1095</v>
      </c>
      <c r="H1107">
        <f t="shared" ca="1" si="20"/>
        <v>8.5974557038820801E-2</v>
      </c>
    </row>
    <row r="1108" spans="7:8" x14ac:dyDescent="0.3">
      <c r="G1108" s="24">
        <v>1096</v>
      </c>
      <c r="H1108">
        <f t="shared" ca="1" si="20"/>
        <v>-9.242824820106027E-2</v>
      </c>
    </row>
    <row r="1109" spans="7:8" x14ac:dyDescent="0.3">
      <c r="G1109" s="24">
        <v>1097</v>
      </c>
      <c r="H1109">
        <f t="shared" ca="1" si="20"/>
        <v>8.9052903454061305E-2</v>
      </c>
    </row>
    <row r="1110" spans="7:8" x14ac:dyDescent="0.3">
      <c r="G1110" s="24">
        <v>1098</v>
      </c>
      <c r="H1110">
        <f t="shared" ca="1" si="20"/>
        <v>9.0207741639180813E-2</v>
      </c>
    </row>
    <row r="1111" spans="7:8" x14ac:dyDescent="0.3">
      <c r="G1111" s="24">
        <v>1099</v>
      </c>
      <c r="H1111">
        <f t="shared" ca="1" si="20"/>
        <v>2.5169845187993891E-2</v>
      </c>
    </row>
    <row r="1112" spans="7:8" x14ac:dyDescent="0.3">
      <c r="G1112" s="24">
        <v>1100</v>
      </c>
      <c r="H1112">
        <f t="shared" ca="1" si="20"/>
        <v>9.3068867662747259E-2</v>
      </c>
    </row>
    <row r="1113" spans="7:8" x14ac:dyDescent="0.3">
      <c r="G1113" s="24">
        <v>1101</v>
      </c>
      <c r="H1113">
        <f t="shared" ca="1" si="20"/>
        <v>1.1473384976174049E-3</v>
      </c>
    </row>
    <row r="1114" spans="7:8" x14ac:dyDescent="0.3">
      <c r="G1114" s="24">
        <v>1102</v>
      </c>
      <c r="H1114">
        <f t="shared" ca="1" si="20"/>
        <v>0.10322504375128923</v>
      </c>
    </row>
    <row r="1115" spans="7:8" x14ac:dyDescent="0.3">
      <c r="G1115" s="24">
        <v>1103</v>
      </c>
      <c r="H1115">
        <f t="shared" ca="1" si="20"/>
        <v>2.6373175024361453E-2</v>
      </c>
    </row>
    <row r="1116" spans="7:8" x14ac:dyDescent="0.3">
      <c r="G1116" s="24">
        <v>1104</v>
      </c>
      <c r="H1116">
        <f t="shared" ca="1" si="20"/>
        <v>3.8567501037800156E-2</v>
      </c>
    </row>
    <row r="1117" spans="7:8" x14ac:dyDescent="0.3">
      <c r="G1117" s="24">
        <v>1105</v>
      </c>
      <c r="H1117">
        <f t="shared" ca="1" si="20"/>
        <v>-5.0823767576788019E-2</v>
      </c>
    </row>
    <row r="1118" spans="7:8" x14ac:dyDescent="0.3">
      <c r="G1118" s="24">
        <v>1106</v>
      </c>
      <c r="H1118">
        <f t="shared" ca="1" si="20"/>
        <v>5.1110168658301473E-2</v>
      </c>
    </row>
    <row r="1119" spans="7:8" x14ac:dyDescent="0.3">
      <c r="G1119" s="24">
        <v>1107</v>
      </c>
      <c r="H1119">
        <f t="shared" ca="1" si="20"/>
        <v>-4.3114473402569506E-2</v>
      </c>
    </row>
    <row r="1120" spans="7:8" x14ac:dyDescent="0.3">
      <c r="G1120" s="24">
        <v>1108</v>
      </c>
      <c r="H1120">
        <f t="shared" ca="1" si="20"/>
        <v>2.5528414837329167E-2</v>
      </c>
    </row>
    <row r="1121" spans="7:8" x14ac:dyDescent="0.3">
      <c r="G1121" s="24">
        <v>1109</v>
      </c>
      <c r="H1121">
        <f t="shared" ca="1" si="20"/>
        <v>9.1743375209057565E-2</v>
      </c>
    </row>
    <row r="1122" spans="7:8" x14ac:dyDescent="0.3">
      <c r="G1122" s="24">
        <v>1110</v>
      </c>
      <c r="H1122">
        <f t="shared" ca="1" si="20"/>
        <v>-1.1098924767674566E-3</v>
      </c>
    </row>
    <row r="1123" spans="7:8" x14ac:dyDescent="0.3">
      <c r="G1123" s="24">
        <v>1111</v>
      </c>
      <c r="H1123">
        <f t="shared" ca="1" si="20"/>
        <v>-1.0179730716962595E-2</v>
      </c>
    </row>
    <row r="1124" spans="7:8" x14ac:dyDescent="0.3">
      <c r="G1124" s="24">
        <v>1112</v>
      </c>
      <c r="H1124">
        <f t="shared" ca="1" si="20"/>
        <v>-9.1147262884045871E-2</v>
      </c>
    </row>
    <row r="1125" spans="7:8" x14ac:dyDescent="0.3">
      <c r="G1125" s="24">
        <v>1113</v>
      </c>
      <c r="H1125">
        <f t="shared" ca="1" si="20"/>
        <v>-4.8370226163436759E-2</v>
      </c>
    </row>
    <row r="1126" spans="7:8" x14ac:dyDescent="0.3">
      <c r="G1126" s="24">
        <v>1114</v>
      </c>
      <c r="H1126">
        <f t="shared" ca="1" si="20"/>
        <v>-7.1644258597272775E-2</v>
      </c>
    </row>
    <row r="1127" spans="7:8" x14ac:dyDescent="0.3">
      <c r="G1127" s="24">
        <v>1115</v>
      </c>
      <c r="H1127">
        <f t="shared" ca="1" si="20"/>
        <v>6.1363879159650032E-2</v>
      </c>
    </row>
    <row r="1128" spans="7:8" x14ac:dyDescent="0.3">
      <c r="G1128" s="24">
        <v>1116</v>
      </c>
      <c r="H1128">
        <f t="shared" ca="1" si="20"/>
        <v>-1.7765473566312466E-2</v>
      </c>
    </row>
    <row r="1129" spans="7:8" x14ac:dyDescent="0.3">
      <c r="G1129" s="24">
        <v>1117</v>
      </c>
      <c r="H1129">
        <f t="shared" ca="1" si="20"/>
        <v>5.1881376290245987E-2</v>
      </c>
    </row>
    <row r="1130" spans="7:8" x14ac:dyDescent="0.3">
      <c r="G1130" s="24">
        <v>1118</v>
      </c>
      <c r="H1130">
        <f t="shared" ca="1" si="20"/>
        <v>-0.11153028761778204</v>
      </c>
    </row>
    <row r="1131" spans="7:8" x14ac:dyDescent="0.3">
      <c r="G1131" s="24">
        <v>1119</v>
      </c>
      <c r="H1131">
        <f t="shared" ca="1" si="20"/>
        <v>2.5708916443502705E-2</v>
      </c>
    </row>
    <row r="1132" spans="7:8" x14ac:dyDescent="0.3">
      <c r="G1132" s="24">
        <v>1120</v>
      </c>
      <c r="H1132">
        <f t="shared" ca="1" si="20"/>
        <v>-6.4932681668279174E-2</v>
      </c>
    </row>
    <row r="1133" spans="7:8" x14ac:dyDescent="0.3">
      <c r="G1133" s="24">
        <v>1121</v>
      </c>
      <c r="H1133">
        <f t="shared" ca="1" si="20"/>
        <v>-9.9481021522501278E-4</v>
      </c>
    </row>
    <row r="1134" spans="7:8" x14ac:dyDescent="0.3">
      <c r="G1134" s="24">
        <v>1122</v>
      </c>
      <c r="H1134">
        <f t="shared" ca="1" si="20"/>
        <v>9.9460424252051469E-2</v>
      </c>
    </row>
    <row r="1135" spans="7:8" x14ac:dyDescent="0.3">
      <c r="G1135" s="24">
        <v>1123</v>
      </c>
      <c r="H1135">
        <f t="shared" ca="1" si="20"/>
        <v>7.3507545274661315E-2</v>
      </c>
    </row>
    <row r="1136" spans="7:8" x14ac:dyDescent="0.3">
      <c r="G1136" s="24">
        <v>1124</v>
      </c>
      <c r="H1136">
        <f t="shared" ca="1" si="20"/>
        <v>5.7092463522919856E-2</v>
      </c>
    </row>
    <row r="1137" spans="7:8" x14ac:dyDescent="0.3">
      <c r="G1137" s="24">
        <v>1125</v>
      </c>
      <c r="H1137">
        <f t="shared" ca="1" si="20"/>
        <v>-0.20168481924071904</v>
      </c>
    </row>
    <row r="1138" spans="7:8" x14ac:dyDescent="0.3">
      <c r="G1138" s="24">
        <v>1126</v>
      </c>
      <c r="H1138">
        <f t="shared" ca="1" si="20"/>
        <v>2.1874098087293722E-2</v>
      </c>
    </row>
    <row r="1139" spans="7:8" x14ac:dyDescent="0.3">
      <c r="G1139" s="24">
        <v>1127</v>
      </c>
      <c r="H1139">
        <f t="shared" ca="1" si="20"/>
        <v>-4.65616147670391E-2</v>
      </c>
    </row>
    <row r="1140" spans="7:8" x14ac:dyDescent="0.3">
      <c r="G1140" s="24">
        <v>1128</v>
      </c>
      <c r="H1140">
        <f t="shared" ca="1" si="20"/>
        <v>6.4912408008119902E-3</v>
      </c>
    </row>
    <row r="1141" spans="7:8" x14ac:dyDescent="0.3">
      <c r="G1141" s="24">
        <v>1129</v>
      </c>
      <c r="H1141">
        <f t="shared" ca="1" si="20"/>
        <v>2.3464166130557164E-2</v>
      </c>
    </row>
    <row r="1142" spans="7:8" x14ac:dyDescent="0.3">
      <c r="G1142" s="24">
        <v>1130</v>
      </c>
      <c r="H1142">
        <f t="shared" ca="1" si="20"/>
        <v>-7.1250171801419515E-2</v>
      </c>
    </row>
    <row r="1143" spans="7:8" x14ac:dyDescent="0.3">
      <c r="G1143" s="24">
        <v>1131</v>
      </c>
      <c r="H1143">
        <f t="shared" ca="1" si="20"/>
        <v>-2.5920003484138091E-2</v>
      </c>
    </row>
    <row r="1144" spans="7:8" x14ac:dyDescent="0.3">
      <c r="G1144" s="24">
        <v>1132</v>
      </c>
      <c r="H1144">
        <f t="shared" ca="1" si="20"/>
        <v>3.1498650540418109E-2</v>
      </c>
    </row>
    <row r="1145" spans="7:8" x14ac:dyDescent="0.3">
      <c r="G1145" s="24">
        <v>1133</v>
      </c>
      <c r="H1145">
        <f t="shared" ca="1" si="20"/>
        <v>7.129346106848504E-3</v>
      </c>
    </row>
    <row r="1146" spans="7:8" x14ac:dyDescent="0.3">
      <c r="G1146" s="24">
        <v>1134</v>
      </c>
      <c r="H1146">
        <f t="shared" ca="1" si="20"/>
        <v>9.9605308416620894E-2</v>
      </c>
    </row>
    <row r="1147" spans="7:8" x14ac:dyDescent="0.3">
      <c r="G1147" s="24">
        <v>1135</v>
      </c>
      <c r="H1147">
        <f t="shared" ca="1" si="20"/>
        <v>-2.4860388428806428E-2</v>
      </c>
    </row>
    <row r="1148" spans="7:8" x14ac:dyDescent="0.3">
      <c r="G1148" s="24">
        <v>1136</v>
      </c>
      <c r="H1148">
        <f t="shared" ca="1" si="20"/>
        <v>-0.11351733940663379</v>
      </c>
    </row>
    <row r="1149" spans="7:8" x14ac:dyDescent="0.3">
      <c r="G1149" s="24">
        <v>1137</v>
      </c>
      <c r="H1149">
        <f t="shared" ca="1" si="20"/>
        <v>-5.6471703676084992E-2</v>
      </c>
    </row>
    <row r="1150" spans="7:8" x14ac:dyDescent="0.3">
      <c r="G1150" s="24">
        <v>1138</v>
      </c>
      <c r="H1150">
        <f t="shared" ca="1" si="20"/>
        <v>-5.5410129712511927E-2</v>
      </c>
    </row>
    <row r="1151" spans="7:8" x14ac:dyDescent="0.3">
      <c r="G1151" s="24">
        <v>1139</v>
      </c>
      <c r="H1151">
        <f t="shared" ca="1" si="20"/>
        <v>-7.3183334057042842E-3</v>
      </c>
    </row>
    <row r="1152" spans="7:8" x14ac:dyDescent="0.3">
      <c r="G1152" s="24">
        <v>1140</v>
      </c>
      <c r="H1152">
        <f t="shared" ca="1" si="20"/>
        <v>2.6548072961380561E-2</v>
      </c>
    </row>
    <row r="1153" spans="7:8" x14ac:dyDescent="0.3">
      <c r="G1153" s="24">
        <v>1141</v>
      </c>
      <c r="H1153">
        <f t="shared" ca="1" si="20"/>
        <v>5.8476930788515846E-2</v>
      </c>
    </row>
    <row r="1154" spans="7:8" x14ac:dyDescent="0.3">
      <c r="G1154" s="24">
        <v>1142</v>
      </c>
      <c r="H1154">
        <f t="shared" ca="1" si="20"/>
        <v>6.9066843755403562E-2</v>
      </c>
    </row>
    <row r="1155" spans="7:8" x14ac:dyDescent="0.3">
      <c r="G1155" s="24">
        <v>1143</v>
      </c>
      <c r="H1155">
        <f t="shared" ca="1" si="20"/>
        <v>-1.9797949883276229E-2</v>
      </c>
    </row>
    <row r="1156" spans="7:8" x14ac:dyDescent="0.3">
      <c r="G1156" s="24">
        <v>1144</v>
      </c>
      <c r="H1156">
        <f t="shared" ca="1" si="20"/>
        <v>-3.1088511699321548E-2</v>
      </c>
    </row>
    <row r="1157" spans="7:8" x14ac:dyDescent="0.3">
      <c r="G1157" s="24">
        <v>1145</v>
      </c>
      <c r="H1157">
        <f t="shared" ca="1" si="20"/>
        <v>-8.7428724362901916E-2</v>
      </c>
    </row>
    <row r="1158" spans="7:8" x14ac:dyDescent="0.3">
      <c r="G1158" s="24">
        <v>1146</v>
      </c>
      <c r="H1158">
        <f t="shared" ca="1" si="20"/>
        <v>-4.4331886469948158E-2</v>
      </c>
    </row>
    <row r="1159" spans="7:8" x14ac:dyDescent="0.3">
      <c r="G1159" s="24">
        <v>1147</v>
      </c>
      <c r="H1159">
        <f t="shared" ca="1" si="20"/>
        <v>-4.5008862354050369E-2</v>
      </c>
    </row>
    <row r="1160" spans="7:8" x14ac:dyDescent="0.3">
      <c r="G1160" s="24">
        <v>1148</v>
      </c>
      <c r="H1160">
        <f t="shared" ca="1" si="20"/>
        <v>3.8683068842282779E-2</v>
      </c>
    </row>
    <row r="1161" spans="7:8" x14ac:dyDescent="0.3">
      <c r="G1161" s="24">
        <v>1149</v>
      </c>
      <c r="H1161">
        <f t="shared" ca="1" si="20"/>
        <v>-5.7354284437067082E-2</v>
      </c>
    </row>
    <row r="1162" spans="7:8" x14ac:dyDescent="0.3">
      <c r="G1162" s="24">
        <v>1150</v>
      </c>
      <c r="H1162">
        <f t="shared" ca="1" si="20"/>
        <v>-2.3178285334979027E-2</v>
      </c>
    </row>
    <row r="1163" spans="7:8" x14ac:dyDescent="0.3">
      <c r="G1163" s="24">
        <v>1151</v>
      </c>
      <c r="H1163">
        <f t="shared" ca="1" si="20"/>
        <v>-0.12017208904061298</v>
      </c>
    </row>
    <row r="1164" spans="7:8" x14ac:dyDescent="0.3">
      <c r="G1164" s="24">
        <v>1152</v>
      </c>
      <c r="H1164">
        <f t="shared" ca="1" si="20"/>
        <v>7.0653164455774631E-2</v>
      </c>
    </row>
    <row r="1165" spans="7:8" x14ac:dyDescent="0.3">
      <c r="G1165" s="24">
        <v>1153</v>
      </c>
      <c r="H1165">
        <f t="shared" ca="1" si="20"/>
        <v>4.2122780621100427E-2</v>
      </c>
    </row>
    <row r="1166" spans="7:8" x14ac:dyDescent="0.3">
      <c r="G1166" s="24">
        <v>1154</v>
      </c>
      <c r="H1166">
        <f t="shared" ref="H1166:H1229" ca="1" si="21">_xlfn.NORM.INV(RAND(),N$13,N$14)</f>
        <v>-3.225493828094203E-2</v>
      </c>
    </row>
    <row r="1167" spans="7:8" x14ac:dyDescent="0.3">
      <c r="G1167" s="24">
        <v>1155</v>
      </c>
      <c r="H1167">
        <f t="shared" ca="1" si="21"/>
        <v>-7.5104107222794092E-2</v>
      </c>
    </row>
    <row r="1168" spans="7:8" x14ac:dyDescent="0.3">
      <c r="G1168" s="24">
        <v>1156</v>
      </c>
      <c r="H1168">
        <f t="shared" ca="1" si="21"/>
        <v>6.8503154623519177E-2</v>
      </c>
    </row>
    <row r="1169" spans="7:8" x14ac:dyDescent="0.3">
      <c r="G1169" s="24">
        <v>1157</v>
      </c>
      <c r="H1169">
        <f t="shared" ca="1" si="21"/>
        <v>0.13863228598456995</v>
      </c>
    </row>
    <row r="1170" spans="7:8" x14ac:dyDescent="0.3">
      <c r="G1170" s="24">
        <v>1158</v>
      </c>
      <c r="H1170">
        <f t="shared" ca="1" si="21"/>
        <v>-0.10559383453051913</v>
      </c>
    </row>
    <row r="1171" spans="7:8" x14ac:dyDescent="0.3">
      <c r="G1171" s="24">
        <v>1159</v>
      </c>
      <c r="H1171">
        <f t="shared" ca="1" si="21"/>
        <v>-0.10556179046343478</v>
      </c>
    </row>
    <row r="1172" spans="7:8" x14ac:dyDescent="0.3">
      <c r="G1172" s="24">
        <v>1160</v>
      </c>
      <c r="H1172">
        <f t="shared" ca="1" si="21"/>
        <v>6.4461474122531892E-2</v>
      </c>
    </row>
    <row r="1173" spans="7:8" x14ac:dyDescent="0.3">
      <c r="G1173" s="24">
        <v>1161</v>
      </c>
      <c r="H1173">
        <f t="shared" ca="1" si="21"/>
        <v>3.669902677389409E-2</v>
      </c>
    </row>
    <row r="1174" spans="7:8" x14ac:dyDescent="0.3">
      <c r="G1174" s="24">
        <v>1162</v>
      </c>
      <c r="H1174">
        <f t="shared" ca="1" si="21"/>
        <v>5.2806505416579302E-2</v>
      </c>
    </row>
    <row r="1175" spans="7:8" x14ac:dyDescent="0.3">
      <c r="G1175" s="24">
        <v>1163</v>
      </c>
      <c r="H1175">
        <f t="shared" ca="1" si="21"/>
        <v>-9.4038516145309795E-3</v>
      </c>
    </row>
    <row r="1176" spans="7:8" x14ac:dyDescent="0.3">
      <c r="G1176" s="24">
        <v>1164</v>
      </c>
      <c r="H1176">
        <f t="shared" ca="1" si="21"/>
        <v>6.5339969772958251E-2</v>
      </c>
    </row>
    <row r="1177" spans="7:8" x14ac:dyDescent="0.3">
      <c r="G1177" s="24">
        <v>1165</v>
      </c>
      <c r="H1177">
        <f t="shared" ca="1" si="21"/>
        <v>-2.0575372839275845E-2</v>
      </c>
    </row>
    <row r="1178" spans="7:8" x14ac:dyDescent="0.3">
      <c r="G1178" s="24">
        <v>1166</v>
      </c>
      <c r="H1178">
        <f t="shared" ca="1" si="21"/>
        <v>0.2060450432399491</v>
      </c>
    </row>
    <row r="1179" spans="7:8" x14ac:dyDescent="0.3">
      <c r="G1179" s="24">
        <v>1167</v>
      </c>
      <c r="H1179">
        <f t="shared" ca="1" si="21"/>
        <v>-3.2564352193248755E-2</v>
      </c>
    </row>
    <row r="1180" spans="7:8" x14ac:dyDescent="0.3">
      <c r="G1180" s="24">
        <v>1168</v>
      </c>
      <c r="H1180">
        <f t="shared" ca="1" si="21"/>
        <v>6.4988270213680033E-2</v>
      </c>
    </row>
    <row r="1181" spans="7:8" x14ac:dyDescent="0.3">
      <c r="G1181" s="24">
        <v>1169</v>
      </c>
      <c r="H1181">
        <f t="shared" ca="1" si="21"/>
        <v>-2.3281782802952598E-2</v>
      </c>
    </row>
    <row r="1182" spans="7:8" x14ac:dyDescent="0.3">
      <c r="G1182" s="24">
        <v>1170</v>
      </c>
      <c r="H1182">
        <f t="shared" ca="1" si="21"/>
        <v>-5.9917986704322766E-2</v>
      </c>
    </row>
    <row r="1183" spans="7:8" x14ac:dyDescent="0.3">
      <c r="G1183" s="24">
        <v>1171</v>
      </c>
      <c r="H1183">
        <f t="shared" ca="1" si="21"/>
        <v>-4.6176169161594317E-2</v>
      </c>
    </row>
    <row r="1184" spans="7:8" x14ac:dyDescent="0.3">
      <c r="G1184" s="24">
        <v>1172</v>
      </c>
      <c r="H1184">
        <f t="shared" ca="1" si="21"/>
        <v>-8.7201845621783028E-2</v>
      </c>
    </row>
    <row r="1185" spans="7:8" x14ac:dyDescent="0.3">
      <c r="G1185" s="24">
        <v>1173</v>
      </c>
      <c r="H1185">
        <f t="shared" ca="1" si="21"/>
        <v>-0.15690922949923217</v>
      </c>
    </row>
    <row r="1186" spans="7:8" x14ac:dyDescent="0.3">
      <c r="G1186" s="24">
        <v>1174</v>
      </c>
      <c r="H1186">
        <f t="shared" ca="1" si="21"/>
        <v>0.10223362668331723</v>
      </c>
    </row>
    <row r="1187" spans="7:8" x14ac:dyDescent="0.3">
      <c r="G1187" s="24">
        <v>1175</v>
      </c>
      <c r="H1187">
        <f t="shared" ca="1" si="21"/>
        <v>-7.6347179633028256E-2</v>
      </c>
    </row>
    <row r="1188" spans="7:8" x14ac:dyDescent="0.3">
      <c r="G1188" s="24">
        <v>1176</v>
      </c>
      <c r="H1188">
        <f t="shared" ca="1" si="21"/>
        <v>1.40064961505682E-2</v>
      </c>
    </row>
    <row r="1189" spans="7:8" x14ac:dyDescent="0.3">
      <c r="G1189" s="24">
        <v>1177</v>
      </c>
      <c r="H1189">
        <f t="shared" ca="1" si="21"/>
        <v>-7.1752985199283068E-2</v>
      </c>
    </row>
    <row r="1190" spans="7:8" x14ac:dyDescent="0.3">
      <c r="G1190" s="24">
        <v>1178</v>
      </c>
      <c r="H1190">
        <f t="shared" ca="1" si="21"/>
        <v>9.5341612423518546E-2</v>
      </c>
    </row>
    <row r="1191" spans="7:8" x14ac:dyDescent="0.3">
      <c r="G1191" s="24">
        <v>1179</v>
      </c>
      <c r="H1191">
        <f t="shared" ca="1" si="21"/>
        <v>-7.981406787344919E-2</v>
      </c>
    </row>
    <row r="1192" spans="7:8" x14ac:dyDescent="0.3">
      <c r="G1192" s="24">
        <v>1180</v>
      </c>
      <c r="H1192">
        <f t="shared" ca="1" si="21"/>
        <v>-1.6780267129367237E-2</v>
      </c>
    </row>
    <row r="1193" spans="7:8" x14ac:dyDescent="0.3">
      <c r="G1193" s="24">
        <v>1181</v>
      </c>
      <c r="H1193">
        <f t="shared" ca="1" si="21"/>
        <v>-8.8947848730892232E-2</v>
      </c>
    </row>
    <row r="1194" spans="7:8" x14ac:dyDescent="0.3">
      <c r="G1194" s="24">
        <v>1182</v>
      </c>
      <c r="H1194">
        <f t="shared" ca="1" si="21"/>
        <v>2.904693919365427E-2</v>
      </c>
    </row>
    <row r="1195" spans="7:8" x14ac:dyDescent="0.3">
      <c r="G1195" s="24">
        <v>1183</v>
      </c>
      <c r="H1195">
        <f t="shared" ca="1" si="21"/>
        <v>3.7431046156464191E-2</v>
      </c>
    </row>
    <row r="1196" spans="7:8" x14ac:dyDescent="0.3">
      <c r="G1196" s="24">
        <v>1184</v>
      </c>
      <c r="H1196">
        <f t="shared" ca="1" si="21"/>
        <v>-4.4250009551423296E-2</v>
      </c>
    </row>
    <row r="1197" spans="7:8" x14ac:dyDescent="0.3">
      <c r="G1197" s="24">
        <v>1185</v>
      </c>
      <c r="H1197">
        <f t="shared" ca="1" si="21"/>
        <v>9.2638258219398945E-2</v>
      </c>
    </row>
    <row r="1198" spans="7:8" x14ac:dyDescent="0.3">
      <c r="G1198" s="24">
        <v>1186</v>
      </c>
      <c r="H1198">
        <f t="shared" ca="1" si="21"/>
        <v>4.1364461929330361E-2</v>
      </c>
    </row>
    <row r="1199" spans="7:8" x14ac:dyDescent="0.3">
      <c r="G1199" s="24">
        <v>1187</v>
      </c>
      <c r="H1199">
        <f t="shared" ca="1" si="21"/>
        <v>3.1467753905277701E-2</v>
      </c>
    </row>
    <row r="1200" spans="7:8" x14ac:dyDescent="0.3">
      <c r="G1200" s="24">
        <v>1188</v>
      </c>
      <c r="H1200">
        <f t="shared" ca="1" si="21"/>
        <v>-2.2586828855816064E-2</v>
      </c>
    </row>
    <row r="1201" spans="7:8" x14ac:dyDescent="0.3">
      <c r="G1201" s="24">
        <v>1189</v>
      </c>
      <c r="H1201">
        <f t="shared" ca="1" si="21"/>
        <v>-4.5339573591248079E-2</v>
      </c>
    </row>
    <row r="1202" spans="7:8" x14ac:dyDescent="0.3">
      <c r="G1202" s="24">
        <v>1190</v>
      </c>
      <c r="H1202">
        <f t="shared" ca="1" si="21"/>
        <v>-5.6162544284833867E-2</v>
      </c>
    </row>
    <row r="1203" spans="7:8" x14ac:dyDescent="0.3">
      <c r="G1203" s="24">
        <v>1191</v>
      </c>
      <c r="H1203">
        <f t="shared" ca="1" si="21"/>
        <v>-5.1141152105849352E-2</v>
      </c>
    </row>
    <row r="1204" spans="7:8" x14ac:dyDescent="0.3">
      <c r="G1204" s="24">
        <v>1192</v>
      </c>
      <c r="H1204">
        <f t="shared" ca="1" si="21"/>
        <v>-8.3325875922958662E-2</v>
      </c>
    </row>
    <row r="1205" spans="7:8" x14ac:dyDescent="0.3">
      <c r="G1205" s="24">
        <v>1193</v>
      </c>
      <c r="H1205">
        <f t="shared" ca="1" si="21"/>
        <v>-6.6567785296968121E-2</v>
      </c>
    </row>
    <row r="1206" spans="7:8" x14ac:dyDescent="0.3">
      <c r="G1206" s="24">
        <v>1194</v>
      </c>
      <c r="H1206">
        <f t="shared" ca="1" si="21"/>
        <v>6.6880557566522635E-3</v>
      </c>
    </row>
    <row r="1207" spans="7:8" x14ac:dyDescent="0.3">
      <c r="G1207" s="24">
        <v>1195</v>
      </c>
      <c r="H1207">
        <f t="shared" ca="1" si="21"/>
        <v>-8.7893806620382335E-4</v>
      </c>
    </row>
    <row r="1208" spans="7:8" x14ac:dyDescent="0.3">
      <c r="G1208" s="24">
        <v>1196</v>
      </c>
      <c r="H1208">
        <f t="shared" ca="1" si="21"/>
        <v>8.1836533644710927E-2</v>
      </c>
    </row>
    <row r="1209" spans="7:8" x14ac:dyDescent="0.3">
      <c r="G1209" s="24">
        <v>1197</v>
      </c>
      <c r="H1209">
        <f t="shared" ca="1" si="21"/>
        <v>-3.0568774421185722E-2</v>
      </c>
    </row>
    <row r="1210" spans="7:8" x14ac:dyDescent="0.3">
      <c r="G1210" s="24">
        <v>1198</v>
      </c>
      <c r="H1210">
        <f t="shared" ca="1" si="21"/>
        <v>-2.478927965408681E-2</v>
      </c>
    </row>
    <row r="1211" spans="7:8" x14ac:dyDescent="0.3">
      <c r="G1211" s="24">
        <v>1199</v>
      </c>
      <c r="H1211">
        <f t="shared" ca="1" si="21"/>
        <v>0.11840152660875378</v>
      </c>
    </row>
    <row r="1212" spans="7:8" x14ac:dyDescent="0.3">
      <c r="G1212" s="24">
        <v>1200</v>
      </c>
      <c r="H1212">
        <f t="shared" ca="1" si="21"/>
        <v>-6.7396667900308668E-2</v>
      </c>
    </row>
    <row r="1213" spans="7:8" x14ac:dyDescent="0.3">
      <c r="G1213" s="24">
        <v>1201</v>
      </c>
      <c r="H1213">
        <f t="shared" ca="1" si="21"/>
        <v>-2.4787777291602513E-2</v>
      </c>
    </row>
    <row r="1214" spans="7:8" x14ac:dyDescent="0.3">
      <c r="G1214" s="24">
        <v>1202</v>
      </c>
      <c r="H1214">
        <f t="shared" ca="1" si="21"/>
        <v>0.1319409422521528</v>
      </c>
    </row>
    <row r="1215" spans="7:8" x14ac:dyDescent="0.3">
      <c r="G1215" s="24">
        <v>1203</v>
      </c>
      <c r="H1215">
        <f t="shared" ca="1" si="21"/>
        <v>0.10743537439273305</v>
      </c>
    </row>
    <row r="1216" spans="7:8" x14ac:dyDescent="0.3">
      <c r="G1216" s="24">
        <v>1204</v>
      </c>
      <c r="H1216">
        <f t="shared" ca="1" si="21"/>
        <v>-2.6418600283829492E-2</v>
      </c>
    </row>
    <row r="1217" spans="7:8" x14ac:dyDescent="0.3">
      <c r="G1217" s="24">
        <v>1205</v>
      </c>
      <c r="H1217">
        <f t="shared" ca="1" si="21"/>
        <v>3.3457126634725332E-2</v>
      </c>
    </row>
    <row r="1218" spans="7:8" x14ac:dyDescent="0.3">
      <c r="G1218" s="24">
        <v>1206</v>
      </c>
      <c r="H1218">
        <f t="shared" ca="1" si="21"/>
        <v>-3.0802213321753476E-2</v>
      </c>
    </row>
    <row r="1219" spans="7:8" x14ac:dyDescent="0.3">
      <c r="G1219" s="24">
        <v>1207</v>
      </c>
      <c r="H1219">
        <f t="shared" ca="1" si="21"/>
        <v>4.8582983471013572E-2</v>
      </c>
    </row>
    <row r="1220" spans="7:8" x14ac:dyDescent="0.3">
      <c r="G1220" s="24">
        <v>1208</v>
      </c>
      <c r="H1220">
        <f t="shared" ca="1" si="21"/>
        <v>-8.4117808264606332E-3</v>
      </c>
    </row>
    <row r="1221" spans="7:8" x14ac:dyDescent="0.3">
      <c r="G1221" s="24">
        <v>1209</v>
      </c>
      <c r="H1221">
        <f t="shared" ca="1" si="21"/>
        <v>-6.6395271289360291E-2</v>
      </c>
    </row>
    <row r="1222" spans="7:8" x14ac:dyDescent="0.3">
      <c r="G1222" s="24">
        <v>1210</v>
      </c>
      <c r="H1222">
        <f t="shared" ca="1" si="21"/>
        <v>6.357874563927314E-2</v>
      </c>
    </row>
    <row r="1223" spans="7:8" x14ac:dyDescent="0.3">
      <c r="G1223" s="24">
        <v>1211</v>
      </c>
      <c r="H1223">
        <f t="shared" ca="1" si="21"/>
        <v>6.2525070198662019E-2</v>
      </c>
    </row>
    <row r="1224" spans="7:8" x14ac:dyDescent="0.3">
      <c r="G1224" s="24">
        <v>1212</v>
      </c>
      <c r="H1224">
        <f t="shared" ca="1" si="21"/>
        <v>-3.713483249721929E-4</v>
      </c>
    </row>
    <row r="1225" spans="7:8" x14ac:dyDescent="0.3">
      <c r="G1225" s="24">
        <v>1213</v>
      </c>
      <c r="H1225">
        <f t="shared" ca="1" si="21"/>
        <v>-5.2102968503007281E-2</v>
      </c>
    </row>
    <row r="1226" spans="7:8" x14ac:dyDescent="0.3">
      <c r="G1226" s="24">
        <v>1214</v>
      </c>
      <c r="H1226">
        <f t="shared" ca="1" si="21"/>
        <v>1.1461351561552155E-2</v>
      </c>
    </row>
    <row r="1227" spans="7:8" x14ac:dyDescent="0.3">
      <c r="G1227" s="24">
        <v>1215</v>
      </c>
      <c r="H1227">
        <f t="shared" ca="1" si="21"/>
        <v>0.14104076886320049</v>
      </c>
    </row>
    <row r="1228" spans="7:8" x14ac:dyDescent="0.3">
      <c r="G1228" s="24">
        <v>1216</v>
      </c>
      <c r="H1228">
        <f t="shared" ca="1" si="21"/>
        <v>9.9456585441831752E-2</v>
      </c>
    </row>
    <row r="1229" spans="7:8" x14ac:dyDescent="0.3">
      <c r="G1229" s="24">
        <v>1217</v>
      </c>
      <c r="H1229">
        <f t="shared" ca="1" si="21"/>
        <v>-7.2785134965137666E-2</v>
      </c>
    </row>
    <row r="1230" spans="7:8" x14ac:dyDescent="0.3">
      <c r="G1230" s="24">
        <v>1218</v>
      </c>
      <c r="H1230">
        <f t="shared" ref="H1230:H1293" ca="1" si="22">_xlfn.NORM.INV(RAND(),N$13,N$14)</f>
        <v>9.934652772958727E-2</v>
      </c>
    </row>
    <row r="1231" spans="7:8" x14ac:dyDescent="0.3">
      <c r="G1231" s="24">
        <v>1219</v>
      </c>
      <c r="H1231">
        <f t="shared" ca="1" si="22"/>
        <v>-4.3482602881952152E-2</v>
      </c>
    </row>
    <row r="1232" spans="7:8" x14ac:dyDescent="0.3">
      <c r="G1232" s="24">
        <v>1220</v>
      </c>
      <c r="H1232">
        <f t="shared" ca="1" si="22"/>
        <v>3.1841640516921225E-3</v>
      </c>
    </row>
    <row r="1233" spans="7:8" x14ac:dyDescent="0.3">
      <c r="G1233" s="24">
        <v>1221</v>
      </c>
      <c r="H1233">
        <f t="shared" ca="1" si="22"/>
        <v>5.3450891589890016E-3</v>
      </c>
    </row>
    <row r="1234" spans="7:8" x14ac:dyDescent="0.3">
      <c r="G1234" s="24">
        <v>1222</v>
      </c>
      <c r="H1234">
        <f t="shared" ca="1" si="22"/>
        <v>5.8811251375515967E-2</v>
      </c>
    </row>
    <row r="1235" spans="7:8" x14ac:dyDescent="0.3">
      <c r="G1235" s="24">
        <v>1223</v>
      </c>
      <c r="H1235">
        <f t="shared" ca="1" si="22"/>
        <v>3.5796899955809244E-2</v>
      </c>
    </row>
    <row r="1236" spans="7:8" x14ac:dyDescent="0.3">
      <c r="G1236" s="24">
        <v>1224</v>
      </c>
      <c r="H1236">
        <f t="shared" ca="1" si="22"/>
        <v>2.742139936419076E-2</v>
      </c>
    </row>
    <row r="1237" spans="7:8" x14ac:dyDescent="0.3">
      <c r="G1237" s="24">
        <v>1225</v>
      </c>
      <c r="H1237">
        <f t="shared" ca="1" si="22"/>
        <v>-2.4351780033717602E-2</v>
      </c>
    </row>
    <row r="1238" spans="7:8" x14ac:dyDescent="0.3">
      <c r="G1238" s="24">
        <v>1226</v>
      </c>
      <c r="H1238">
        <f t="shared" ca="1" si="22"/>
        <v>-6.1094896559399946E-2</v>
      </c>
    </row>
    <row r="1239" spans="7:8" x14ac:dyDescent="0.3">
      <c r="G1239" s="24">
        <v>1227</v>
      </c>
      <c r="H1239">
        <f t="shared" ca="1" si="22"/>
        <v>-2.4688132971701127E-2</v>
      </c>
    </row>
    <row r="1240" spans="7:8" x14ac:dyDescent="0.3">
      <c r="G1240" s="24">
        <v>1228</v>
      </c>
      <c r="H1240">
        <f t="shared" ca="1" si="22"/>
        <v>8.3567442738797265E-2</v>
      </c>
    </row>
    <row r="1241" spans="7:8" x14ac:dyDescent="0.3">
      <c r="G1241" s="24">
        <v>1229</v>
      </c>
      <c r="H1241">
        <f t="shared" ca="1" si="22"/>
        <v>5.3261541779232617E-3</v>
      </c>
    </row>
    <row r="1242" spans="7:8" x14ac:dyDescent="0.3">
      <c r="G1242" s="24">
        <v>1230</v>
      </c>
      <c r="H1242">
        <f t="shared" ca="1" si="22"/>
        <v>0.15082616404296334</v>
      </c>
    </row>
    <row r="1243" spans="7:8" x14ac:dyDescent="0.3">
      <c r="G1243" s="24">
        <v>1231</v>
      </c>
      <c r="H1243">
        <f t="shared" ca="1" si="22"/>
        <v>-4.6159406908874517E-2</v>
      </c>
    </row>
    <row r="1244" spans="7:8" x14ac:dyDescent="0.3">
      <c r="G1244" s="24">
        <v>1232</v>
      </c>
      <c r="H1244">
        <f t="shared" ca="1" si="22"/>
        <v>4.3544671886226467E-2</v>
      </c>
    </row>
    <row r="1245" spans="7:8" x14ac:dyDescent="0.3">
      <c r="G1245" s="24">
        <v>1233</v>
      </c>
      <c r="H1245">
        <f t="shared" ca="1" si="22"/>
        <v>2.2926499644935986E-2</v>
      </c>
    </row>
    <row r="1246" spans="7:8" x14ac:dyDescent="0.3">
      <c r="G1246" s="24">
        <v>1234</v>
      </c>
      <c r="H1246">
        <f t="shared" ca="1" si="22"/>
        <v>-6.2061238622498065E-2</v>
      </c>
    </row>
    <row r="1247" spans="7:8" x14ac:dyDescent="0.3">
      <c r="G1247" s="24">
        <v>1235</v>
      </c>
      <c r="H1247">
        <f t="shared" ca="1" si="22"/>
        <v>1.7740703635456396E-2</v>
      </c>
    </row>
    <row r="1248" spans="7:8" x14ac:dyDescent="0.3">
      <c r="G1248" s="24">
        <v>1236</v>
      </c>
      <c r="H1248">
        <f t="shared" ca="1" si="22"/>
        <v>-5.8665114653204425E-2</v>
      </c>
    </row>
    <row r="1249" spans="7:8" x14ac:dyDescent="0.3">
      <c r="G1249" s="24">
        <v>1237</v>
      </c>
      <c r="H1249">
        <f t="shared" ca="1" si="22"/>
        <v>-8.6941255226222185E-3</v>
      </c>
    </row>
    <row r="1250" spans="7:8" x14ac:dyDescent="0.3">
      <c r="G1250" s="24">
        <v>1238</v>
      </c>
      <c r="H1250">
        <f t="shared" ca="1" si="22"/>
        <v>-5.4407936966202969E-2</v>
      </c>
    </row>
    <row r="1251" spans="7:8" x14ac:dyDescent="0.3">
      <c r="G1251" s="24">
        <v>1239</v>
      </c>
      <c r="H1251">
        <f t="shared" ca="1" si="22"/>
        <v>3.8323645460029997E-2</v>
      </c>
    </row>
    <row r="1252" spans="7:8" x14ac:dyDescent="0.3">
      <c r="G1252" s="24">
        <v>1240</v>
      </c>
      <c r="H1252">
        <f t="shared" ca="1" si="22"/>
        <v>7.2123216069590657E-2</v>
      </c>
    </row>
    <row r="1253" spans="7:8" x14ac:dyDescent="0.3">
      <c r="G1253" s="24">
        <v>1241</v>
      </c>
      <c r="H1253">
        <f t="shared" ca="1" si="22"/>
        <v>8.419239147018899E-2</v>
      </c>
    </row>
    <row r="1254" spans="7:8" x14ac:dyDescent="0.3">
      <c r="G1254" s="24">
        <v>1242</v>
      </c>
      <c r="H1254">
        <f t="shared" ca="1" si="22"/>
        <v>1.8978517196148386E-2</v>
      </c>
    </row>
    <row r="1255" spans="7:8" x14ac:dyDescent="0.3">
      <c r="G1255" s="24">
        <v>1243</v>
      </c>
      <c r="H1255">
        <f t="shared" ca="1" si="22"/>
        <v>6.7306938374962863E-2</v>
      </c>
    </row>
    <row r="1256" spans="7:8" x14ac:dyDescent="0.3">
      <c r="G1256" s="24">
        <v>1244</v>
      </c>
      <c r="H1256">
        <f t="shared" ca="1" si="22"/>
        <v>-7.2309089722673997E-2</v>
      </c>
    </row>
    <row r="1257" spans="7:8" x14ac:dyDescent="0.3">
      <c r="G1257" s="24">
        <v>1245</v>
      </c>
      <c r="H1257">
        <f t="shared" ca="1" si="22"/>
        <v>6.9256236609059302E-2</v>
      </c>
    </row>
    <row r="1258" spans="7:8" x14ac:dyDescent="0.3">
      <c r="G1258" s="24">
        <v>1246</v>
      </c>
      <c r="H1258">
        <f t="shared" ca="1" si="22"/>
        <v>-4.2760339683350593E-2</v>
      </c>
    </row>
    <row r="1259" spans="7:8" x14ac:dyDescent="0.3">
      <c r="G1259" s="24">
        <v>1247</v>
      </c>
      <c r="H1259">
        <f t="shared" ca="1" si="22"/>
        <v>1.429424686952061E-2</v>
      </c>
    </row>
    <row r="1260" spans="7:8" x14ac:dyDescent="0.3">
      <c r="G1260" s="24">
        <v>1248</v>
      </c>
      <c r="H1260">
        <f t="shared" ca="1" si="22"/>
        <v>6.2326687012896627E-2</v>
      </c>
    </row>
    <row r="1261" spans="7:8" x14ac:dyDescent="0.3">
      <c r="G1261" s="24">
        <v>1249</v>
      </c>
      <c r="H1261">
        <f t="shared" ca="1" si="22"/>
        <v>-5.4363513210190693E-2</v>
      </c>
    </row>
    <row r="1262" spans="7:8" x14ac:dyDescent="0.3">
      <c r="G1262" s="24">
        <v>1250</v>
      </c>
      <c r="H1262">
        <f t="shared" ca="1" si="22"/>
        <v>-0.10628980103897134</v>
      </c>
    </row>
    <row r="1263" spans="7:8" x14ac:dyDescent="0.3">
      <c r="G1263" s="24">
        <v>1251</v>
      </c>
      <c r="H1263">
        <f t="shared" ca="1" si="22"/>
        <v>-8.0159064782643022E-2</v>
      </c>
    </row>
    <row r="1264" spans="7:8" x14ac:dyDescent="0.3">
      <c r="G1264" s="24">
        <v>1252</v>
      </c>
      <c r="H1264">
        <f t="shared" ca="1" si="22"/>
        <v>3.0166992945193594E-2</v>
      </c>
    </row>
    <row r="1265" spans="7:8" x14ac:dyDescent="0.3">
      <c r="G1265" s="24">
        <v>1253</v>
      </c>
      <c r="H1265">
        <f t="shared" ca="1" si="22"/>
        <v>-7.3113210660791975E-2</v>
      </c>
    </row>
    <row r="1266" spans="7:8" x14ac:dyDescent="0.3">
      <c r="G1266" s="24">
        <v>1254</v>
      </c>
      <c r="H1266">
        <f t="shared" ca="1" si="22"/>
        <v>-2.0721738664063672E-2</v>
      </c>
    </row>
    <row r="1267" spans="7:8" x14ac:dyDescent="0.3">
      <c r="G1267" s="24">
        <v>1255</v>
      </c>
      <c r="H1267">
        <f t="shared" ca="1" si="22"/>
        <v>-0.1140465145250712</v>
      </c>
    </row>
    <row r="1268" spans="7:8" x14ac:dyDescent="0.3">
      <c r="G1268" s="24">
        <v>1256</v>
      </c>
      <c r="H1268">
        <f t="shared" ca="1" si="22"/>
        <v>-8.229270883485694E-2</v>
      </c>
    </row>
    <row r="1269" spans="7:8" x14ac:dyDescent="0.3">
      <c r="G1269" s="24">
        <v>1257</v>
      </c>
      <c r="H1269">
        <f t="shared" ca="1" si="22"/>
        <v>-9.229426037602944E-3</v>
      </c>
    </row>
    <row r="1270" spans="7:8" x14ac:dyDescent="0.3">
      <c r="G1270" s="24">
        <v>1258</v>
      </c>
      <c r="H1270">
        <f t="shared" ca="1" si="22"/>
        <v>7.565549759828237E-2</v>
      </c>
    </row>
    <row r="1271" spans="7:8" x14ac:dyDescent="0.3">
      <c r="G1271" s="24">
        <v>1259</v>
      </c>
      <c r="H1271">
        <f t="shared" ca="1" si="22"/>
        <v>2.3562735321526196E-3</v>
      </c>
    </row>
    <row r="1272" spans="7:8" x14ac:dyDescent="0.3">
      <c r="G1272" s="24">
        <v>1260</v>
      </c>
      <c r="H1272">
        <f t="shared" ca="1" si="22"/>
        <v>6.8479454319336931E-3</v>
      </c>
    </row>
    <row r="1273" spans="7:8" x14ac:dyDescent="0.3">
      <c r="G1273" s="24">
        <v>1261</v>
      </c>
      <c r="H1273">
        <f t="shared" ca="1" si="22"/>
        <v>-4.4335978857195767E-3</v>
      </c>
    </row>
    <row r="1274" spans="7:8" x14ac:dyDescent="0.3">
      <c r="G1274" s="24">
        <v>1262</v>
      </c>
      <c r="H1274">
        <f t="shared" ca="1" si="22"/>
        <v>1.2629262761938091E-2</v>
      </c>
    </row>
    <row r="1275" spans="7:8" x14ac:dyDescent="0.3">
      <c r="G1275" s="24">
        <v>1263</v>
      </c>
      <c r="H1275">
        <f t="shared" ca="1" si="22"/>
        <v>0.15982809305742576</v>
      </c>
    </row>
    <row r="1276" spans="7:8" x14ac:dyDescent="0.3">
      <c r="G1276" s="24">
        <v>1264</v>
      </c>
      <c r="H1276">
        <f t="shared" ca="1" si="22"/>
        <v>-8.2681866990077943E-2</v>
      </c>
    </row>
    <row r="1277" spans="7:8" x14ac:dyDescent="0.3">
      <c r="G1277" s="24">
        <v>1265</v>
      </c>
      <c r="H1277">
        <f t="shared" ca="1" si="22"/>
        <v>-8.9943248699192055E-2</v>
      </c>
    </row>
    <row r="1278" spans="7:8" x14ac:dyDescent="0.3">
      <c r="G1278" s="24">
        <v>1266</v>
      </c>
      <c r="H1278">
        <f t="shared" ca="1" si="22"/>
        <v>-2.6193030906072244E-2</v>
      </c>
    </row>
    <row r="1279" spans="7:8" x14ac:dyDescent="0.3">
      <c r="G1279" s="24">
        <v>1267</v>
      </c>
      <c r="H1279">
        <f t="shared" ca="1" si="22"/>
        <v>-7.0179926330706296E-3</v>
      </c>
    </row>
    <row r="1280" spans="7:8" x14ac:dyDescent="0.3">
      <c r="G1280" s="24">
        <v>1268</v>
      </c>
      <c r="H1280">
        <f t="shared" ca="1" si="22"/>
        <v>-9.3393963990035966E-2</v>
      </c>
    </row>
    <row r="1281" spans="7:8" x14ac:dyDescent="0.3">
      <c r="G1281" s="24">
        <v>1269</v>
      </c>
      <c r="H1281">
        <f t="shared" ca="1" si="22"/>
        <v>5.7720358487472083E-2</v>
      </c>
    </row>
    <row r="1282" spans="7:8" x14ac:dyDescent="0.3">
      <c r="G1282" s="24">
        <v>1270</v>
      </c>
      <c r="H1282">
        <f t="shared" ca="1" si="22"/>
        <v>2.6744768366501557E-2</v>
      </c>
    </row>
    <row r="1283" spans="7:8" x14ac:dyDescent="0.3">
      <c r="G1283" s="24">
        <v>1271</v>
      </c>
      <c r="H1283">
        <f t="shared" ca="1" si="22"/>
        <v>-3.5110783710890485E-2</v>
      </c>
    </row>
    <row r="1284" spans="7:8" x14ac:dyDescent="0.3">
      <c r="G1284" s="24">
        <v>1272</v>
      </c>
      <c r="H1284">
        <f t="shared" ca="1" si="22"/>
        <v>0.15459047004252383</v>
      </c>
    </row>
    <row r="1285" spans="7:8" x14ac:dyDescent="0.3">
      <c r="G1285" s="24">
        <v>1273</v>
      </c>
      <c r="H1285">
        <f t="shared" ca="1" si="22"/>
        <v>-2.1221911275325283E-2</v>
      </c>
    </row>
    <row r="1286" spans="7:8" x14ac:dyDescent="0.3">
      <c r="G1286" s="24">
        <v>1274</v>
      </c>
      <c r="H1286">
        <f t="shared" ca="1" si="22"/>
        <v>9.3764241358905528E-2</v>
      </c>
    </row>
    <row r="1287" spans="7:8" x14ac:dyDescent="0.3">
      <c r="G1287" s="24">
        <v>1275</v>
      </c>
      <c r="H1287">
        <f t="shared" ca="1" si="22"/>
        <v>-6.6293622682166306E-2</v>
      </c>
    </row>
    <row r="1288" spans="7:8" x14ac:dyDescent="0.3">
      <c r="G1288" s="24">
        <v>1276</v>
      </c>
      <c r="H1288">
        <f t="shared" ca="1" si="22"/>
        <v>-7.4732980539128996E-2</v>
      </c>
    </row>
    <row r="1289" spans="7:8" x14ac:dyDescent="0.3">
      <c r="G1289" s="24">
        <v>1277</v>
      </c>
      <c r="H1289">
        <f t="shared" ca="1" si="22"/>
        <v>3.7008107955110628E-2</v>
      </c>
    </row>
    <row r="1290" spans="7:8" x14ac:dyDescent="0.3">
      <c r="G1290" s="24">
        <v>1278</v>
      </c>
      <c r="H1290">
        <f t="shared" ca="1" si="22"/>
        <v>-6.9066555315750247E-2</v>
      </c>
    </row>
    <row r="1291" spans="7:8" x14ac:dyDescent="0.3">
      <c r="G1291" s="24">
        <v>1279</v>
      </c>
      <c r="H1291">
        <f t="shared" ca="1" si="22"/>
        <v>2.7410399196186711E-2</v>
      </c>
    </row>
    <row r="1292" spans="7:8" x14ac:dyDescent="0.3">
      <c r="G1292" s="24">
        <v>1280</v>
      </c>
      <c r="H1292">
        <f t="shared" ca="1" si="22"/>
        <v>-4.9690111067631527E-2</v>
      </c>
    </row>
    <row r="1293" spans="7:8" x14ac:dyDescent="0.3">
      <c r="G1293" s="24">
        <v>1281</v>
      </c>
      <c r="H1293">
        <f t="shared" ca="1" si="22"/>
        <v>0.11707637211703931</v>
      </c>
    </row>
    <row r="1294" spans="7:8" x14ac:dyDescent="0.3">
      <c r="G1294" s="24">
        <v>1282</v>
      </c>
      <c r="H1294">
        <f t="shared" ref="H1294:H1357" ca="1" si="23">_xlfn.NORM.INV(RAND(),N$13,N$14)</f>
        <v>-5.7999328672987571E-2</v>
      </c>
    </row>
    <row r="1295" spans="7:8" x14ac:dyDescent="0.3">
      <c r="G1295" s="24">
        <v>1283</v>
      </c>
      <c r="H1295">
        <f t="shared" ca="1" si="23"/>
        <v>2.9745785177046194E-2</v>
      </c>
    </row>
    <row r="1296" spans="7:8" x14ac:dyDescent="0.3">
      <c r="G1296" s="24">
        <v>1284</v>
      </c>
      <c r="H1296">
        <f t="shared" ca="1" si="23"/>
        <v>-1.32397573693633E-2</v>
      </c>
    </row>
    <row r="1297" spans="7:8" x14ac:dyDescent="0.3">
      <c r="G1297" s="24">
        <v>1285</v>
      </c>
      <c r="H1297">
        <f t="shared" ca="1" si="23"/>
        <v>-8.4474403593293584E-2</v>
      </c>
    </row>
    <row r="1298" spans="7:8" x14ac:dyDescent="0.3">
      <c r="G1298" s="24">
        <v>1286</v>
      </c>
      <c r="H1298">
        <f t="shared" ca="1" si="23"/>
        <v>0.20316127122557398</v>
      </c>
    </row>
    <row r="1299" spans="7:8" x14ac:dyDescent="0.3">
      <c r="G1299" s="24">
        <v>1287</v>
      </c>
      <c r="H1299">
        <f t="shared" ca="1" si="23"/>
        <v>-6.4475142835411683E-2</v>
      </c>
    </row>
    <row r="1300" spans="7:8" x14ac:dyDescent="0.3">
      <c r="G1300" s="24">
        <v>1288</v>
      </c>
      <c r="H1300">
        <f t="shared" ca="1" si="23"/>
        <v>2.1749850082680789E-3</v>
      </c>
    </row>
    <row r="1301" spans="7:8" x14ac:dyDescent="0.3">
      <c r="G1301" s="24">
        <v>1289</v>
      </c>
      <c r="H1301">
        <f t="shared" ca="1" si="23"/>
        <v>-6.8686572331857432E-2</v>
      </c>
    </row>
    <row r="1302" spans="7:8" x14ac:dyDescent="0.3">
      <c r="G1302" s="24">
        <v>1290</v>
      </c>
      <c r="H1302">
        <f t="shared" ca="1" si="23"/>
        <v>-3.5719970740500012E-2</v>
      </c>
    </row>
    <row r="1303" spans="7:8" x14ac:dyDescent="0.3">
      <c r="G1303" s="24">
        <v>1291</v>
      </c>
      <c r="H1303">
        <f t="shared" ca="1" si="23"/>
        <v>4.3434554334552941E-2</v>
      </c>
    </row>
    <row r="1304" spans="7:8" x14ac:dyDescent="0.3">
      <c r="G1304" s="24">
        <v>1292</v>
      </c>
      <c r="H1304">
        <f t="shared" ca="1" si="23"/>
        <v>-1.1179035505920296E-2</v>
      </c>
    </row>
    <row r="1305" spans="7:8" x14ac:dyDescent="0.3">
      <c r="G1305" s="24">
        <v>1293</v>
      </c>
      <c r="H1305">
        <f t="shared" ca="1" si="23"/>
        <v>3.3737062478420538E-2</v>
      </c>
    </row>
    <row r="1306" spans="7:8" x14ac:dyDescent="0.3">
      <c r="G1306" s="24">
        <v>1294</v>
      </c>
      <c r="H1306">
        <f t="shared" ca="1" si="23"/>
        <v>-0.11333286324797022</v>
      </c>
    </row>
    <row r="1307" spans="7:8" x14ac:dyDescent="0.3">
      <c r="G1307" s="24">
        <v>1295</v>
      </c>
      <c r="H1307">
        <f t="shared" ca="1" si="23"/>
        <v>-1.5165114907110644E-2</v>
      </c>
    </row>
    <row r="1308" spans="7:8" x14ac:dyDescent="0.3">
      <c r="G1308" s="24">
        <v>1296</v>
      </c>
      <c r="H1308">
        <f t="shared" ca="1" si="23"/>
        <v>0.13012626531099428</v>
      </c>
    </row>
    <row r="1309" spans="7:8" x14ac:dyDescent="0.3">
      <c r="G1309" s="24">
        <v>1297</v>
      </c>
      <c r="H1309">
        <f t="shared" ca="1" si="23"/>
        <v>6.9192650863596026E-3</v>
      </c>
    </row>
    <row r="1310" spans="7:8" x14ac:dyDescent="0.3">
      <c r="G1310" s="24">
        <v>1298</v>
      </c>
      <c r="H1310">
        <f t="shared" ca="1" si="23"/>
        <v>8.018120848170987E-2</v>
      </c>
    </row>
    <row r="1311" spans="7:8" x14ac:dyDescent="0.3">
      <c r="G1311" s="24">
        <v>1299</v>
      </c>
      <c r="H1311">
        <f t="shared" ca="1" si="23"/>
        <v>-3.9360210942484229E-2</v>
      </c>
    </row>
    <row r="1312" spans="7:8" x14ac:dyDescent="0.3">
      <c r="G1312" s="24">
        <v>1300</v>
      </c>
      <c r="H1312">
        <f t="shared" ca="1" si="23"/>
        <v>6.3826601156186213E-2</v>
      </c>
    </row>
    <row r="1313" spans="7:8" x14ac:dyDescent="0.3">
      <c r="G1313" s="24">
        <v>1301</v>
      </c>
      <c r="H1313">
        <f t="shared" ca="1" si="23"/>
        <v>0.15935773576608564</v>
      </c>
    </row>
    <row r="1314" spans="7:8" x14ac:dyDescent="0.3">
      <c r="G1314" s="24">
        <v>1302</v>
      </c>
      <c r="H1314">
        <f t="shared" ca="1" si="23"/>
        <v>1.6111538618076456E-2</v>
      </c>
    </row>
    <row r="1315" spans="7:8" x14ac:dyDescent="0.3">
      <c r="G1315" s="24">
        <v>1303</v>
      </c>
      <c r="H1315">
        <f t="shared" ca="1" si="23"/>
        <v>6.0505857797606118E-3</v>
      </c>
    </row>
    <row r="1316" spans="7:8" x14ac:dyDescent="0.3">
      <c r="G1316" s="24">
        <v>1304</v>
      </c>
      <c r="H1316">
        <f t="shared" ca="1" si="23"/>
        <v>-6.6566281222628518E-2</v>
      </c>
    </row>
    <row r="1317" spans="7:8" x14ac:dyDescent="0.3">
      <c r="G1317" s="24">
        <v>1305</v>
      </c>
      <c r="H1317">
        <f t="shared" ca="1" si="23"/>
        <v>3.840721607762973E-2</v>
      </c>
    </row>
    <row r="1318" spans="7:8" x14ac:dyDescent="0.3">
      <c r="G1318" s="24">
        <v>1306</v>
      </c>
      <c r="H1318">
        <f t="shared" ca="1" si="23"/>
        <v>-8.4992198201323643E-2</v>
      </c>
    </row>
    <row r="1319" spans="7:8" x14ac:dyDescent="0.3">
      <c r="G1319" s="24">
        <v>1307</v>
      </c>
      <c r="H1319">
        <f t="shared" ca="1" si="23"/>
        <v>0.10881862155605514</v>
      </c>
    </row>
    <row r="1320" spans="7:8" x14ac:dyDescent="0.3">
      <c r="G1320" s="24">
        <v>1308</v>
      </c>
      <c r="H1320">
        <f t="shared" ca="1" si="23"/>
        <v>6.8699116417502204E-2</v>
      </c>
    </row>
    <row r="1321" spans="7:8" x14ac:dyDescent="0.3">
      <c r="G1321" s="24">
        <v>1309</v>
      </c>
      <c r="H1321">
        <f t="shared" ca="1" si="23"/>
        <v>5.2124043209838232E-2</v>
      </c>
    </row>
    <row r="1322" spans="7:8" x14ac:dyDescent="0.3">
      <c r="G1322" s="24">
        <v>1310</v>
      </c>
      <c r="H1322">
        <f t="shared" ca="1" si="23"/>
        <v>-5.3270644772928075E-2</v>
      </c>
    </row>
    <row r="1323" spans="7:8" x14ac:dyDescent="0.3">
      <c r="G1323" s="24">
        <v>1311</v>
      </c>
      <c r="H1323">
        <f t="shared" ca="1" si="23"/>
        <v>0.10917106836707116</v>
      </c>
    </row>
    <row r="1324" spans="7:8" x14ac:dyDescent="0.3">
      <c r="G1324" s="24">
        <v>1312</v>
      </c>
      <c r="H1324">
        <f t="shared" ca="1" si="23"/>
        <v>9.9422530800015903E-3</v>
      </c>
    </row>
    <row r="1325" spans="7:8" x14ac:dyDescent="0.3">
      <c r="G1325" s="24">
        <v>1313</v>
      </c>
      <c r="H1325">
        <f t="shared" ca="1" si="23"/>
        <v>4.6297721629875214E-2</v>
      </c>
    </row>
    <row r="1326" spans="7:8" x14ac:dyDescent="0.3">
      <c r="G1326" s="24">
        <v>1314</v>
      </c>
      <c r="H1326">
        <f t="shared" ca="1" si="23"/>
        <v>-7.0541790568068308E-2</v>
      </c>
    </row>
    <row r="1327" spans="7:8" x14ac:dyDescent="0.3">
      <c r="G1327" s="24">
        <v>1315</v>
      </c>
      <c r="H1327">
        <f t="shared" ca="1" si="23"/>
        <v>-5.3152437138576335E-2</v>
      </c>
    </row>
    <row r="1328" spans="7:8" x14ac:dyDescent="0.3">
      <c r="G1328" s="24">
        <v>1316</v>
      </c>
      <c r="H1328">
        <f t="shared" ca="1" si="23"/>
        <v>-2.7431565664976829E-2</v>
      </c>
    </row>
    <row r="1329" spans="7:8" x14ac:dyDescent="0.3">
      <c r="G1329" s="24">
        <v>1317</v>
      </c>
      <c r="H1329">
        <f t="shared" ca="1" si="23"/>
        <v>7.2892941137724619E-3</v>
      </c>
    </row>
    <row r="1330" spans="7:8" x14ac:dyDescent="0.3">
      <c r="G1330" s="24">
        <v>1318</v>
      </c>
      <c r="H1330">
        <f t="shared" ca="1" si="23"/>
        <v>7.1169850288935188E-2</v>
      </c>
    </row>
    <row r="1331" spans="7:8" x14ac:dyDescent="0.3">
      <c r="G1331" s="24">
        <v>1319</v>
      </c>
      <c r="H1331">
        <f t="shared" ca="1" si="23"/>
        <v>0.11216807652008462</v>
      </c>
    </row>
    <row r="1332" spans="7:8" x14ac:dyDescent="0.3">
      <c r="G1332" s="24">
        <v>1320</v>
      </c>
      <c r="H1332">
        <f t="shared" ca="1" si="23"/>
        <v>4.3027562608223643E-2</v>
      </c>
    </row>
    <row r="1333" spans="7:8" x14ac:dyDescent="0.3">
      <c r="G1333" s="24">
        <v>1321</v>
      </c>
      <c r="H1333">
        <f t="shared" ca="1" si="23"/>
        <v>5.0656067495353285E-2</v>
      </c>
    </row>
    <row r="1334" spans="7:8" x14ac:dyDescent="0.3">
      <c r="G1334" s="24">
        <v>1322</v>
      </c>
      <c r="H1334">
        <f t="shared" ca="1" si="23"/>
        <v>-9.5420131331622929E-2</v>
      </c>
    </row>
    <row r="1335" spans="7:8" x14ac:dyDescent="0.3">
      <c r="G1335" s="24">
        <v>1323</v>
      </c>
      <c r="H1335">
        <f t="shared" ca="1" si="23"/>
        <v>9.4742488835048311E-3</v>
      </c>
    </row>
    <row r="1336" spans="7:8" x14ac:dyDescent="0.3">
      <c r="G1336" s="24">
        <v>1324</v>
      </c>
      <c r="H1336">
        <f t="shared" ca="1" si="23"/>
        <v>0.12068774781111051</v>
      </c>
    </row>
    <row r="1337" spans="7:8" x14ac:dyDescent="0.3">
      <c r="G1337" s="24">
        <v>1325</v>
      </c>
      <c r="H1337">
        <f t="shared" ca="1" si="23"/>
        <v>3.1584140280672607E-2</v>
      </c>
    </row>
    <row r="1338" spans="7:8" x14ac:dyDescent="0.3">
      <c r="G1338" s="24">
        <v>1326</v>
      </c>
      <c r="H1338">
        <f t="shared" ca="1" si="23"/>
        <v>-0.11525924811216771</v>
      </c>
    </row>
    <row r="1339" spans="7:8" x14ac:dyDescent="0.3">
      <c r="G1339" s="24">
        <v>1327</v>
      </c>
      <c r="H1339">
        <f t="shared" ca="1" si="23"/>
        <v>-1.0259853343340919E-2</v>
      </c>
    </row>
    <row r="1340" spans="7:8" x14ac:dyDescent="0.3">
      <c r="G1340" s="24">
        <v>1328</v>
      </c>
      <c r="H1340">
        <f t="shared" ca="1" si="23"/>
        <v>9.6202737655600931E-2</v>
      </c>
    </row>
    <row r="1341" spans="7:8" x14ac:dyDescent="0.3">
      <c r="G1341" s="24">
        <v>1329</v>
      </c>
      <c r="H1341">
        <f t="shared" ca="1" si="23"/>
        <v>3.723977897288038E-3</v>
      </c>
    </row>
    <row r="1342" spans="7:8" x14ac:dyDescent="0.3">
      <c r="G1342" s="24">
        <v>1330</v>
      </c>
      <c r="H1342">
        <f t="shared" ca="1" si="23"/>
        <v>-2.1885635367674901E-2</v>
      </c>
    </row>
    <row r="1343" spans="7:8" x14ac:dyDescent="0.3">
      <c r="G1343" s="24">
        <v>1331</v>
      </c>
      <c r="H1343">
        <f t="shared" ca="1" si="23"/>
        <v>6.4836193698460179E-3</v>
      </c>
    </row>
    <row r="1344" spans="7:8" x14ac:dyDescent="0.3">
      <c r="G1344" s="24">
        <v>1332</v>
      </c>
      <c r="H1344">
        <f t="shared" ca="1" si="23"/>
        <v>0.1428885743245624</v>
      </c>
    </row>
    <row r="1345" spans="7:8" x14ac:dyDescent="0.3">
      <c r="G1345" s="24">
        <v>1333</v>
      </c>
      <c r="H1345">
        <f t="shared" ca="1" si="23"/>
        <v>2.5385378790531186E-2</v>
      </c>
    </row>
    <row r="1346" spans="7:8" x14ac:dyDescent="0.3">
      <c r="G1346" s="24">
        <v>1334</v>
      </c>
      <c r="H1346">
        <f t="shared" ca="1" si="23"/>
        <v>8.261487616796874E-2</v>
      </c>
    </row>
    <row r="1347" spans="7:8" x14ac:dyDescent="0.3">
      <c r="G1347" s="24">
        <v>1335</v>
      </c>
      <c r="H1347">
        <f t="shared" ca="1" si="23"/>
        <v>1.6108886188220022E-2</v>
      </c>
    </row>
    <row r="1348" spans="7:8" x14ac:dyDescent="0.3">
      <c r="G1348" s="24">
        <v>1336</v>
      </c>
      <c r="H1348">
        <f t="shared" ca="1" si="23"/>
        <v>-3.5406563977793251E-2</v>
      </c>
    </row>
    <row r="1349" spans="7:8" x14ac:dyDescent="0.3">
      <c r="G1349" s="24">
        <v>1337</v>
      </c>
      <c r="H1349">
        <f t="shared" ca="1" si="23"/>
        <v>8.4643156366546096E-2</v>
      </c>
    </row>
    <row r="1350" spans="7:8" x14ac:dyDescent="0.3">
      <c r="G1350" s="24">
        <v>1338</v>
      </c>
      <c r="H1350">
        <f t="shared" ca="1" si="23"/>
        <v>-0.13913620251711351</v>
      </c>
    </row>
    <row r="1351" spans="7:8" x14ac:dyDescent="0.3">
      <c r="G1351" s="24">
        <v>1339</v>
      </c>
      <c r="H1351">
        <f t="shared" ca="1" si="23"/>
        <v>-7.7079325945074828E-2</v>
      </c>
    </row>
    <row r="1352" spans="7:8" x14ac:dyDescent="0.3">
      <c r="G1352" s="24">
        <v>1340</v>
      </c>
      <c r="H1352">
        <f t="shared" ca="1" si="23"/>
        <v>0.11188866437218827</v>
      </c>
    </row>
    <row r="1353" spans="7:8" x14ac:dyDescent="0.3">
      <c r="G1353" s="24">
        <v>1341</v>
      </c>
      <c r="H1353">
        <f t="shared" ca="1" si="23"/>
        <v>3.3794766401297124E-2</v>
      </c>
    </row>
    <row r="1354" spans="7:8" x14ac:dyDescent="0.3">
      <c r="G1354" s="24">
        <v>1342</v>
      </c>
      <c r="H1354">
        <f t="shared" ca="1" si="23"/>
        <v>-3.092449839081372E-2</v>
      </c>
    </row>
    <row r="1355" spans="7:8" x14ac:dyDescent="0.3">
      <c r="G1355" s="24">
        <v>1343</v>
      </c>
      <c r="H1355">
        <f t="shared" ca="1" si="23"/>
        <v>-9.7220458997071796E-2</v>
      </c>
    </row>
    <row r="1356" spans="7:8" x14ac:dyDescent="0.3">
      <c r="G1356" s="24">
        <v>1344</v>
      </c>
      <c r="H1356">
        <f t="shared" ca="1" si="23"/>
        <v>-3.3000126943808557E-2</v>
      </c>
    </row>
    <row r="1357" spans="7:8" x14ac:dyDescent="0.3">
      <c r="G1357" s="24">
        <v>1345</v>
      </c>
      <c r="H1357">
        <f t="shared" ca="1" si="23"/>
        <v>-1.0538837153603842E-2</v>
      </c>
    </row>
    <row r="1358" spans="7:8" x14ac:dyDescent="0.3">
      <c r="G1358" s="24">
        <v>1346</v>
      </c>
      <c r="H1358">
        <f t="shared" ref="H1358:H1421" ca="1" si="24">_xlfn.NORM.INV(RAND(),N$13,N$14)</f>
        <v>-1.177126890163978E-2</v>
      </c>
    </row>
    <row r="1359" spans="7:8" x14ac:dyDescent="0.3">
      <c r="G1359" s="24">
        <v>1347</v>
      </c>
      <c r="H1359">
        <f t="shared" ca="1" si="24"/>
        <v>-1.4391447311897315E-2</v>
      </c>
    </row>
    <row r="1360" spans="7:8" x14ac:dyDescent="0.3">
      <c r="G1360" s="24">
        <v>1348</v>
      </c>
      <c r="H1360">
        <f t="shared" ca="1" si="24"/>
        <v>3.1349250766439102E-2</v>
      </c>
    </row>
    <row r="1361" spans="7:8" x14ac:dyDescent="0.3">
      <c r="G1361" s="24">
        <v>1349</v>
      </c>
      <c r="H1361">
        <f t="shared" ca="1" si="24"/>
        <v>-0.12542521046798752</v>
      </c>
    </row>
    <row r="1362" spans="7:8" x14ac:dyDescent="0.3">
      <c r="G1362" s="24">
        <v>1350</v>
      </c>
      <c r="H1362">
        <f t="shared" ca="1" si="24"/>
        <v>-0.11533105584530108</v>
      </c>
    </row>
    <row r="1363" spans="7:8" x14ac:dyDescent="0.3">
      <c r="G1363" s="24">
        <v>1351</v>
      </c>
      <c r="H1363">
        <f t="shared" ca="1" si="24"/>
        <v>2.8246152287100604E-2</v>
      </c>
    </row>
    <row r="1364" spans="7:8" x14ac:dyDescent="0.3">
      <c r="G1364" s="24">
        <v>1352</v>
      </c>
      <c r="H1364">
        <f t="shared" ca="1" si="24"/>
        <v>8.1822304900965842E-2</v>
      </c>
    </row>
    <row r="1365" spans="7:8" x14ac:dyDescent="0.3">
      <c r="G1365" s="24">
        <v>1353</v>
      </c>
      <c r="H1365">
        <f t="shared" ca="1" si="24"/>
        <v>8.0165816207314611E-2</v>
      </c>
    </row>
    <row r="1366" spans="7:8" x14ac:dyDescent="0.3">
      <c r="G1366" s="24">
        <v>1354</v>
      </c>
      <c r="H1366">
        <f t="shared" ca="1" si="24"/>
        <v>-9.8879220967036774E-2</v>
      </c>
    </row>
    <row r="1367" spans="7:8" x14ac:dyDescent="0.3">
      <c r="G1367" s="24">
        <v>1355</v>
      </c>
      <c r="H1367">
        <f t="shared" ca="1" si="24"/>
        <v>-8.0363863208067349E-2</v>
      </c>
    </row>
    <row r="1368" spans="7:8" x14ac:dyDescent="0.3">
      <c r="G1368" s="24">
        <v>1356</v>
      </c>
      <c r="H1368">
        <f t="shared" ca="1" si="24"/>
        <v>6.0133655604689799E-2</v>
      </c>
    </row>
    <row r="1369" spans="7:8" x14ac:dyDescent="0.3">
      <c r="G1369" s="24">
        <v>1357</v>
      </c>
      <c r="H1369">
        <f t="shared" ca="1" si="24"/>
        <v>-4.0097424969952951E-2</v>
      </c>
    </row>
    <row r="1370" spans="7:8" x14ac:dyDescent="0.3">
      <c r="G1370" s="24">
        <v>1358</v>
      </c>
      <c r="H1370">
        <f t="shared" ca="1" si="24"/>
        <v>-4.0273560671560613E-2</v>
      </c>
    </row>
    <row r="1371" spans="7:8" x14ac:dyDescent="0.3">
      <c r="G1371" s="24">
        <v>1359</v>
      </c>
      <c r="H1371">
        <f t="shared" ca="1" si="24"/>
        <v>4.9100923125858169E-2</v>
      </c>
    </row>
    <row r="1372" spans="7:8" x14ac:dyDescent="0.3">
      <c r="G1372" s="24">
        <v>1360</v>
      </c>
      <c r="H1372">
        <f t="shared" ca="1" si="24"/>
        <v>7.3445461906341256E-2</v>
      </c>
    </row>
    <row r="1373" spans="7:8" x14ac:dyDescent="0.3">
      <c r="G1373" s="24">
        <v>1361</v>
      </c>
      <c r="H1373">
        <f t="shared" ca="1" si="24"/>
        <v>-8.9434734489835261E-3</v>
      </c>
    </row>
    <row r="1374" spans="7:8" x14ac:dyDescent="0.3">
      <c r="G1374" s="24">
        <v>1362</v>
      </c>
      <c r="H1374">
        <f t="shared" ca="1" si="24"/>
        <v>0.13110534082541381</v>
      </c>
    </row>
    <row r="1375" spans="7:8" x14ac:dyDescent="0.3">
      <c r="G1375" s="24">
        <v>1363</v>
      </c>
      <c r="H1375">
        <f t="shared" ca="1" si="24"/>
        <v>-1.4150336551432857E-2</v>
      </c>
    </row>
    <row r="1376" spans="7:8" x14ac:dyDescent="0.3">
      <c r="G1376" s="24">
        <v>1364</v>
      </c>
      <c r="H1376">
        <f t="shared" ca="1" si="24"/>
        <v>-5.6061210347810465E-3</v>
      </c>
    </row>
    <row r="1377" spans="7:8" x14ac:dyDescent="0.3">
      <c r="G1377" s="24">
        <v>1365</v>
      </c>
      <c r="H1377">
        <f t="shared" ca="1" si="24"/>
        <v>-8.9902956163126102E-2</v>
      </c>
    </row>
    <row r="1378" spans="7:8" x14ac:dyDescent="0.3">
      <c r="G1378" s="24">
        <v>1366</v>
      </c>
      <c r="H1378">
        <f t="shared" ca="1" si="24"/>
        <v>0.1206678228975198</v>
      </c>
    </row>
    <row r="1379" spans="7:8" x14ac:dyDescent="0.3">
      <c r="G1379" s="24">
        <v>1367</v>
      </c>
      <c r="H1379">
        <f t="shared" ca="1" si="24"/>
        <v>7.1501568360856749E-2</v>
      </c>
    </row>
    <row r="1380" spans="7:8" x14ac:dyDescent="0.3">
      <c r="G1380" s="24">
        <v>1368</v>
      </c>
      <c r="H1380">
        <f t="shared" ca="1" si="24"/>
        <v>-9.8188419274829172E-2</v>
      </c>
    </row>
    <row r="1381" spans="7:8" x14ac:dyDescent="0.3">
      <c r="G1381" s="24">
        <v>1369</v>
      </c>
      <c r="H1381">
        <f t="shared" ca="1" si="24"/>
        <v>-0.15276220531149673</v>
      </c>
    </row>
    <row r="1382" spans="7:8" x14ac:dyDescent="0.3">
      <c r="G1382" s="24">
        <v>1370</v>
      </c>
      <c r="H1382">
        <f t="shared" ca="1" si="24"/>
        <v>5.3952328620215817E-2</v>
      </c>
    </row>
    <row r="1383" spans="7:8" x14ac:dyDescent="0.3">
      <c r="G1383" s="24">
        <v>1371</v>
      </c>
      <c r="H1383">
        <f t="shared" ca="1" si="24"/>
        <v>3.1815302576333769E-2</v>
      </c>
    </row>
    <row r="1384" spans="7:8" x14ac:dyDescent="0.3">
      <c r="G1384" s="24">
        <v>1372</v>
      </c>
      <c r="H1384">
        <f t="shared" ca="1" si="24"/>
        <v>6.9508707995833918E-2</v>
      </c>
    </row>
    <row r="1385" spans="7:8" x14ac:dyDescent="0.3">
      <c r="G1385" s="24">
        <v>1373</v>
      </c>
      <c r="H1385">
        <f t="shared" ca="1" si="24"/>
        <v>0.10106618804903325</v>
      </c>
    </row>
    <row r="1386" spans="7:8" x14ac:dyDescent="0.3">
      <c r="G1386" s="24">
        <v>1374</v>
      </c>
      <c r="H1386">
        <f t="shared" ca="1" si="24"/>
        <v>7.8944151470637422E-2</v>
      </c>
    </row>
    <row r="1387" spans="7:8" x14ac:dyDescent="0.3">
      <c r="G1387" s="24">
        <v>1375</v>
      </c>
      <c r="H1387">
        <f t="shared" ca="1" si="24"/>
        <v>-2.8798019352047383E-3</v>
      </c>
    </row>
    <row r="1388" spans="7:8" x14ac:dyDescent="0.3">
      <c r="G1388" s="24">
        <v>1376</v>
      </c>
      <c r="H1388">
        <f t="shared" ca="1" si="24"/>
        <v>1.3074093087702137E-2</v>
      </c>
    </row>
    <row r="1389" spans="7:8" x14ac:dyDescent="0.3">
      <c r="G1389" s="24">
        <v>1377</v>
      </c>
      <c r="H1389">
        <f t="shared" ca="1" si="24"/>
        <v>1.752747890461006E-4</v>
      </c>
    </row>
    <row r="1390" spans="7:8" x14ac:dyDescent="0.3">
      <c r="G1390" s="24">
        <v>1378</v>
      </c>
      <c r="H1390">
        <f t="shared" ca="1" si="24"/>
        <v>-4.9540074487073767E-2</v>
      </c>
    </row>
    <row r="1391" spans="7:8" x14ac:dyDescent="0.3">
      <c r="G1391" s="24">
        <v>1379</v>
      </c>
      <c r="H1391">
        <f t="shared" ca="1" si="24"/>
        <v>3.7474018938626154E-2</v>
      </c>
    </row>
    <row r="1392" spans="7:8" x14ac:dyDescent="0.3">
      <c r="G1392" s="24">
        <v>1380</v>
      </c>
      <c r="H1392">
        <f t="shared" ca="1" si="24"/>
        <v>2.3072594443423705E-3</v>
      </c>
    </row>
    <row r="1393" spans="7:8" x14ac:dyDescent="0.3">
      <c r="G1393" s="24">
        <v>1381</v>
      </c>
      <c r="H1393">
        <f t="shared" ca="1" si="24"/>
        <v>2.2365032214760407E-2</v>
      </c>
    </row>
    <row r="1394" spans="7:8" x14ac:dyDescent="0.3">
      <c r="G1394" s="24">
        <v>1382</v>
      </c>
      <c r="H1394">
        <f t="shared" ca="1" si="24"/>
        <v>3.853769020317642E-2</v>
      </c>
    </row>
    <row r="1395" spans="7:8" x14ac:dyDescent="0.3">
      <c r="G1395" s="24">
        <v>1383</v>
      </c>
      <c r="H1395">
        <f t="shared" ca="1" si="24"/>
        <v>-4.3714795277883141E-2</v>
      </c>
    </row>
    <row r="1396" spans="7:8" x14ac:dyDescent="0.3">
      <c r="G1396" s="24">
        <v>1384</v>
      </c>
      <c r="H1396">
        <f t="shared" ca="1" si="24"/>
        <v>3.848555898487498E-3</v>
      </c>
    </row>
    <row r="1397" spans="7:8" x14ac:dyDescent="0.3">
      <c r="G1397" s="24">
        <v>1385</v>
      </c>
      <c r="H1397">
        <f t="shared" ca="1" si="24"/>
        <v>-6.6577553902500183E-2</v>
      </c>
    </row>
    <row r="1398" spans="7:8" x14ac:dyDescent="0.3">
      <c r="G1398" s="24">
        <v>1386</v>
      </c>
      <c r="H1398">
        <f t="shared" ca="1" si="24"/>
        <v>-6.8228729164589302E-2</v>
      </c>
    </row>
    <row r="1399" spans="7:8" x14ac:dyDescent="0.3">
      <c r="G1399" s="24">
        <v>1387</v>
      </c>
      <c r="H1399">
        <f t="shared" ca="1" si="24"/>
        <v>-7.1351527212491373E-3</v>
      </c>
    </row>
    <row r="1400" spans="7:8" x14ac:dyDescent="0.3">
      <c r="G1400" s="24">
        <v>1388</v>
      </c>
      <c r="H1400">
        <f t="shared" ca="1" si="24"/>
        <v>8.1037095951482868E-2</v>
      </c>
    </row>
    <row r="1401" spans="7:8" x14ac:dyDescent="0.3">
      <c r="G1401" s="24">
        <v>1389</v>
      </c>
      <c r="H1401">
        <f t="shared" ca="1" si="24"/>
        <v>-1.1888472169789888E-2</v>
      </c>
    </row>
    <row r="1402" spans="7:8" x14ac:dyDescent="0.3">
      <c r="G1402" s="24">
        <v>1390</v>
      </c>
      <c r="H1402">
        <f t="shared" ca="1" si="24"/>
        <v>2.7699043114736633E-2</v>
      </c>
    </row>
    <row r="1403" spans="7:8" x14ac:dyDescent="0.3">
      <c r="G1403" s="24">
        <v>1391</v>
      </c>
      <c r="H1403">
        <f t="shared" ca="1" si="24"/>
        <v>-7.7378172704319501E-2</v>
      </c>
    </row>
    <row r="1404" spans="7:8" x14ac:dyDescent="0.3">
      <c r="G1404" s="24">
        <v>1392</v>
      </c>
      <c r="H1404">
        <f t="shared" ca="1" si="24"/>
        <v>-7.618713727824919E-2</v>
      </c>
    </row>
    <row r="1405" spans="7:8" x14ac:dyDescent="0.3">
      <c r="G1405" s="24">
        <v>1393</v>
      </c>
      <c r="H1405">
        <f t="shared" ca="1" si="24"/>
        <v>-0.11898953299164802</v>
      </c>
    </row>
    <row r="1406" spans="7:8" x14ac:dyDescent="0.3">
      <c r="G1406" s="24">
        <v>1394</v>
      </c>
      <c r="H1406">
        <f t="shared" ca="1" si="24"/>
        <v>3.4104102264892085E-2</v>
      </c>
    </row>
    <row r="1407" spans="7:8" x14ac:dyDescent="0.3">
      <c r="G1407" s="24">
        <v>1395</v>
      </c>
      <c r="H1407">
        <f t="shared" ca="1" si="24"/>
        <v>-0.10901792744047213</v>
      </c>
    </row>
    <row r="1408" spans="7:8" x14ac:dyDescent="0.3">
      <c r="G1408" s="24">
        <v>1396</v>
      </c>
      <c r="H1408">
        <f t="shared" ca="1" si="24"/>
        <v>0.11791859754088052</v>
      </c>
    </row>
    <row r="1409" spans="7:8" x14ac:dyDescent="0.3">
      <c r="G1409" s="24">
        <v>1397</v>
      </c>
      <c r="H1409">
        <f t="shared" ca="1" si="24"/>
        <v>-3.0912357255438592E-2</v>
      </c>
    </row>
    <row r="1410" spans="7:8" x14ac:dyDescent="0.3">
      <c r="G1410" s="24">
        <v>1398</v>
      </c>
      <c r="H1410">
        <f t="shared" ca="1" si="24"/>
        <v>9.7819779630498552E-2</v>
      </c>
    </row>
    <row r="1411" spans="7:8" x14ac:dyDescent="0.3">
      <c r="G1411" s="24">
        <v>1399</v>
      </c>
      <c r="H1411">
        <f t="shared" ca="1" si="24"/>
        <v>5.2678144499910061E-2</v>
      </c>
    </row>
    <row r="1412" spans="7:8" x14ac:dyDescent="0.3">
      <c r="G1412" s="24">
        <v>1400</v>
      </c>
      <c r="H1412">
        <f t="shared" ca="1" si="24"/>
        <v>-0.10497538508250878</v>
      </c>
    </row>
    <row r="1413" spans="7:8" x14ac:dyDescent="0.3">
      <c r="G1413" s="24">
        <v>1401</v>
      </c>
      <c r="H1413">
        <f t="shared" ca="1" si="24"/>
        <v>-2.2971140765210948E-2</v>
      </c>
    </row>
    <row r="1414" spans="7:8" x14ac:dyDescent="0.3">
      <c r="G1414" s="24">
        <v>1402</v>
      </c>
      <c r="H1414">
        <f t="shared" ca="1" si="24"/>
        <v>2.2265678388934527E-2</v>
      </c>
    </row>
    <row r="1415" spans="7:8" x14ac:dyDescent="0.3">
      <c r="G1415" s="24">
        <v>1403</v>
      </c>
      <c r="H1415">
        <f t="shared" ca="1" si="24"/>
        <v>7.5905885477322924E-2</v>
      </c>
    </row>
    <row r="1416" spans="7:8" x14ac:dyDescent="0.3">
      <c r="G1416" s="24">
        <v>1404</v>
      </c>
      <c r="H1416">
        <f t="shared" ca="1" si="24"/>
        <v>-7.6559629692112621E-3</v>
      </c>
    </row>
    <row r="1417" spans="7:8" x14ac:dyDescent="0.3">
      <c r="G1417" s="24">
        <v>1405</v>
      </c>
      <c r="H1417">
        <f t="shared" ca="1" si="24"/>
        <v>-1.5831662070657958E-2</v>
      </c>
    </row>
    <row r="1418" spans="7:8" x14ac:dyDescent="0.3">
      <c r="G1418" s="24">
        <v>1406</v>
      </c>
      <c r="H1418">
        <f t="shared" ca="1" si="24"/>
        <v>-6.6140068961715398E-2</v>
      </c>
    </row>
    <row r="1419" spans="7:8" x14ac:dyDescent="0.3">
      <c r="G1419" s="24">
        <v>1407</v>
      </c>
      <c r="H1419">
        <f t="shared" ca="1" si="24"/>
        <v>3.9312564564446796E-2</v>
      </c>
    </row>
    <row r="1420" spans="7:8" x14ac:dyDescent="0.3">
      <c r="G1420" s="24">
        <v>1408</v>
      </c>
      <c r="H1420">
        <f t="shared" ca="1" si="24"/>
        <v>-5.4683862122934877E-2</v>
      </c>
    </row>
    <row r="1421" spans="7:8" x14ac:dyDescent="0.3">
      <c r="G1421" s="24">
        <v>1409</v>
      </c>
      <c r="H1421">
        <f t="shared" ca="1" si="24"/>
        <v>8.2334601941548125E-2</v>
      </c>
    </row>
    <row r="1422" spans="7:8" x14ac:dyDescent="0.3">
      <c r="G1422" s="24">
        <v>1410</v>
      </c>
      <c r="H1422">
        <f t="shared" ref="H1422:H1485" ca="1" si="25">_xlfn.NORM.INV(RAND(),N$13,N$14)</f>
        <v>-7.7993786499636161E-2</v>
      </c>
    </row>
    <row r="1423" spans="7:8" x14ac:dyDescent="0.3">
      <c r="G1423" s="24">
        <v>1411</v>
      </c>
      <c r="H1423">
        <f t="shared" ca="1" si="25"/>
        <v>2.8739938491345353E-2</v>
      </c>
    </row>
    <row r="1424" spans="7:8" x14ac:dyDescent="0.3">
      <c r="G1424" s="24">
        <v>1412</v>
      </c>
      <c r="H1424">
        <f t="shared" ca="1" si="25"/>
        <v>8.0598839788331947E-2</v>
      </c>
    </row>
    <row r="1425" spans="7:8" x14ac:dyDescent="0.3">
      <c r="G1425" s="24">
        <v>1413</v>
      </c>
      <c r="H1425">
        <f t="shared" ca="1" si="25"/>
        <v>-1.1644724973028958E-2</v>
      </c>
    </row>
    <row r="1426" spans="7:8" x14ac:dyDescent="0.3">
      <c r="G1426" s="24">
        <v>1414</v>
      </c>
      <c r="H1426">
        <f t="shared" ca="1" si="25"/>
        <v>-9.9954540834942762E-2</v>
      </c>
    </row>
    <row r="1427" spans="7:8" x14ac:dyDescent="0.3">
      <c r="G1427" s="24">
        <v>1415</v>
      </c>
      <c r="H1427">
        <f t="shared" ca="1" si="25"/>
        <v>-7.4023179085947521E-2</v>
      </c>
    </row>
    <row r="1428" spans="7:8" x14ac:dyDescent="0.3">
      <c r="G1428" s="24">
        <v>1416</v>
      </c>
      <c r="H1428">
        <f t="shared" ca="1" si="25"/>
        <v>9.8732220902993578E-2</v>
      </c>
    </row>
    <row r="1429" spans="7:8" x14ac:dyDescent="0.3">
      <c r="G1429" s="24">
        <v>1417</v>
      </c>
      <c r="H1429">
        <f t="shared" ca="1" si="25"/>
        <v>-8.9412388968274414E-2</v>
      </c>
    </row>
    <row r="1430" spans="7:8" x14ac:dyDescent="0.3">
      <c r="G1430" s="24">
        <v>1418</v>
      </c>
      <c r="H1430">
        <f t="shared" ca="1" si="25"/>
        <v>2.7445314549083499E-2</v>
      </c>
    </row>
    <row r="1431" spans="7:8" x14ac:dyDescent="0.3">
      <c r="G1431" s="24">
        <v>1419</v>
      </c>
      <c r="H1431">
        <f t="shared" ca="1" si="25"/>
        <v>6.1251618291530939E-2</v>
      </c>
    </row>
    <row r="1432" spans="7:8" x14ac:dyDescent="0.3">
      <c r="G1432" s="24">
        <v>1420</v>
      </c>
      <c r="H1432">
        <f t="shared" ca="1" si="25"/>
        <v>4.9226709479674183E-2</v>
      </c>
    </row>
    <row r="1433" spans="7:8" x14ac:dyDescent="0.3">
      <c r="G1433" s="24">
        <v>1421</v>
      </c>
      <c r="H1433">
        <f t="shared" ca="1" si="25"/>
        <v>-2.5857685106501091E-2</v>
      </c>
    </row>
    <row r="1434" spans="7:8" x14ac:dyDescent="0.3">
      <c r="G1434" s="24">
        <v>1422</v>
      </c>
      <c r="H1434">
        <f t="shared" ca="1" si="25"/>
        <v>4.0829561902227446E-2</v>
      </c>
    </row>
    <row r="1435" spans="7:8" x14ac:dyDescent="0.3">
      <c r="G1435" s="24">
        <v>1423</v>
      </c>
      <c r="H1435">
        <f t="shared" ca="1" si="25"/>
        <v>-2.9631809284575487E-2</v>
      </c>
    </row>
    <row r="1436" spans="7:8" x14ac:dyDescent="0.3">
      <c r="G1436" s="24">
        <v>1424</v>
      </c>
      <c r="H1436">
        <f t="shared" ca="1" si="25"/>
        <v>-3.9173969832385594E-2</v>
      </c>
    </row>
    <row r="1437" spans="7:8" x14ac:dyDescent="0.3">
      <c r="G1437" s="24">
        <v>1425</v>
      </c>
      <c r="H1437">
        <f t="shared" ca="1" si="25"/>
        <v>4.7945722401814151E-3</v>
      </c>
    </row>
    <row r="1438" spans="7:8" x14ac:dyDescent="0.3">
      <c r="G1438" s="24">
        <v>1426</v>
      </c>
      <c r="H1438">
        <f t="shared" ca="1" si="25"/>
        <v>-6.3719949054195937E-2</v>
      </c>
    </row>
    <row r="1439" spans="7:8" x14ac:dyDescent="0.3">
      <c r="G1439" s="24">
        <v>1427</v>
      </c>
      <c r="H1439">
        <f t="shared" ca="1" si="25"/>
        <v>8.0398244310766295E-2</v>
      </c>
    </row>
    <row r="1440" spans="7:8" x14ac:dyDescent="0.3">
      <c r="G1440" s="24">
        <v>1428</v>
      </c>
      <c r="H1440">
        <f t="shared" ca="1" si="25"/>
        <v>-7.9661235069595319E-3</v>
      </c>
    </row>
    <row r="1441" spans="7:8" x14ac:dyDescent="0.3">
      <c r="G1441" s="24">
        <v>1429</v>
      </c>
      <c r="H1441">
        <f t="shared" ca="1" si="25"/>
        <v>-5.0682587363377121E-2</v>
      </c>
    </row>
    <row r="1442" spans="7:8" x14ac:dyDescent="0.3">
      <c r="G1442" s="24">
        <v>1430</v>
      </c>
      <c r="H1442">
        <f t="shared" ca="1" si="25"/>
        <v>7.8276889927773374E-2</v>
      </c>
    </row>
    <row r="1443" spans="7:8" x14ac:dyDescent="0.3">
      <c r="G1443" s="24">
        <v>1431</v>
      </c>
      <c r="H1443">
        <f t="shared" ca="1" si="25"/>
        <v>-2.2226588257270148E-2</v>
      </c>
    </row>
    <row r="1444" spans="7:8" x14ac:dyDescent="0.3">
      <c r="G1444" s="24">
        <v>1432</v>
      </c>
      <c r="H1444">
        <f t="shared" ca="1" si="25"/>
        <v>7.2999691486293396E-3</v>
      </c>
    </row>
    <row r="1445" spans="7:8" x14ac:dyDescent="0.3">
      <c r="G1445" s="24">
        <v>1433</v>
      </c>
      <c r="H1445">
        <f t="shared" ca="1" si="25"/>
        <v>2.8874421978076451E-2</v>
      </c>
    </row>
    <row r="1446" spans="7:8" x14ac:dyDescent="0.3">
      <c r="G1446" s="24">
        <v>1434</v>
      </c>
      <c r="H1446">
        <f t="shared" ca="1" si="25"/>
        <v>5.5707000397620603E-2</v>
      </c>
    </row>
    <row r="1447" spans="7:8" x14ac:dyDescent="0.3">
      <c r="G1447" s="24">
        <v>1435</v>
      </c>
      <c r="H1447">
        <f t="shared" ca="1" si="25"/>
        <v>-6.1105477230370877E-3</v>
      </c>
    </row>
    <row r="1448" spans="7:8" x14ac:dyDescent="0.3">
      <c r="G1448" s="24">
        <v>1436</v>
      </c>
      <c r="H1448">
        <f t="shared" ca="1" si="25"/>
        <v>9.0698950664174563E-2</v>
      </c>
    </row>
    <row r="1449" spans="7:8" x14ac:dyDescent="0.3">
      <c r="G1449" s="24">
        <v>1437</v>
      </c>
      <c r="H1449">
        <f t="shared" ca="1" si="25"/>
        <v>2.3203161797713673E-2</v>
      </c>
    </row>
    <row r="1450" spans="7:8" x14ac:dyDescent="0.3">
      <c r="G1450" s="24">
        <v>1438</v>
      </c>
      <c r="H1450">
        <f t="shared" ca="1" si="25"/>
        <v>-1.5919518951599668E-2</v>
      </c>
    </row>
    <row r="1451" spans="7:8" x14ac:dyDescent="0.3">
      <c r="G1451" s="24">
        <v>1439</v>
      </c>
      <c r="H1451">
        <f t="shared" ca="1" si="25"/>
        <v>7.5121918773634402E-2</v>
      </c>
    </row>
    <row r="1452" spans="7:8" x14ac:dyDescent="0.3">
      <c r="G1452" s="24">
        <v>1440</v>
      </c>
      <c r="H1452">
        <f t="shared" ca="1" si="25"/>
        <v>2.8705216610880966E-2</v>
      </c>
    </row>
    <row r="1453" spans="7:8" x14ac:dyDescent="0.3">
      <c r="G1453" s="24">
        <v>1441</v>
      </c>
      <c r="H1453">
        <f t="shared" ca="1" si="25"/>
        <v>0.1045633981729653</v>
      </c>
    </row>
    <row r="1454" spans="7:8" x14ac:dyDescent="0.3">
      <c r="G1454" s="24">
        <v>1442</v>
      </c>
      <c r="H1454">
        <f t="shared" ca="1" si="25"/>
        <v>7.5192671908470302E-2</v>
      </c>
    </row>
    <row r="1455" spans="7:8" x14ac:dyDescent="0.3">
      <c r="G1455" s="24">
        <v>1443</v>
      </c>
      <c r="H1455">
        <f t="shared" ca="1" si="25"/>
        <v>1.1344124939430425E-2</v>
      </c>
    </row>
    <row r="1456" spans="7:8" x14ac:dyDescent="0.3">
      <c r="G1456" s="24">
        <v>1444</v>
      </c>
      <c r="H1456">
        <f t="shared" ca="1" si="25"/>
        <v>-0.17710630443099692</v>
      </c>
    </row>
    <row r="1457" spans="7:8" x14ac:dyDescent="0.3">
      <c r="G1457" s="24">
        <v>1445</v>
      </c>
      <c r="H1457">
        <f t="shared" ca="1" si="25"/>
        <v>8.9190102830743287E-2</v>
      </c>
    </row>
    <row r="1458" spans="7:8" x14ac:dyDescent="0.3">
      <c r="G1458" s="24">
        <v>1446</v>
      </c>
      <c r="H1458">
        <f t="shared" ca="1" si="25"/>
        <v>5.5567616277044193E-2</v>
      </c>
    </row>
    <row r="1459" spans="7:8" x14ac:dyDescent="0.3">
      <c r="G1459" s="24">
        <v>1447</v>
      </c>
      <c r="H1459">
        <f t="shared" ca="1" si="25"/>
        <v>1.9449944028068503E-2</v>
      </c>
    </row>
    <row r="1460" spans="7:8" x14ac:dyDescent="0.3">
      <c r="G1460" s="24">
        <v>1448</v>
      </c>
      <c r="H1460">
        <f t="shared" ca="1" si="25"/>
        <v>-2.4246897406589266E-2</v>
      </c>
    </row>
    <row r="1461" spans="7:8" x14ac:dyDescent="0.3">
      <c r="G1461" s="24">
        <v>1449</v>
      </c>
      <c r="H1461">
        <f t="shared" ca="1" si="25"/>
        <v>1.9840261182016473E-2</v>
      </c>
    </row>
    <row r="1462" spans="7:8" x14ac:dyDescent="0.3">
      <c r="G1462" s="24">
        <v>1450</v>
      </c>
      <c r="H1462">
        <f t="shared" ca="1" si="25"/>
        <v>7.0481846755238206E-2</v>
      </c>
    </row>
    <row r="1463" spans="7:8" x14ac:dyDescent="0.3">
      <c r="G1463" s="24">
        <v>1451</v>
      </c>
      <c r="H1463">
        <f t="shared" ca="1" si="25"/>
        <v>0.10026506113547158</v>
      </c>
    </row>
    <row r="1464" spans="7:8" x14ac:dyDescent="0.3">
      <c r="G1464" s="24">
        <v>1452</v>
      </c>
      <c r="H1464">
        <f t="shared" ca="1" si="25"/>
        <v>3.1436638744339912E-2</v>
      </c>
    </row>
    <row r="1465" spans="7:8" x14ac:dyDescent="0.3">
      <c r="G1465" s="24">
        <v>1453</v>
      </c>
      <c r="H1465">
        <f t="shared" ca="1" si="25"/>
        <v>5.2009795757249233E-2</v>
      </c>
    </row>
    <row r="1466" spans="7:8" x14ac:dyDescent="0.3">
      <c r="G1466" s="24">
        <v>1454</v>
      </c>
      <c r="H1466">
        <f t="shared" ca="1" si="25"/>
        <v>9.6571579607781385E-2</v>
      </c>
    </row>
    <row r="1467" spans="7:8" x14ac:dyDescent="0.3">
      <c r="G1467" s="24">
        <v>1455</v>
      </c>
      <c r="H1467">
        <f t="shared" ca="1" si="25"/>
        <v>3.0332721962551736E-3</v>
      </c>
    </row>
    <row r="1468" spans="7:8" x14ac:dyDescent="0.3">
      <c r="G1468" s="24">
        <v>1456</v>
      </c>
      <c r="H1468">
        <f t="shared" ca="1" si="25"/>
        <v>-3.9696098832316229E-2</v>
      </c>
    </row>
    <row r="1469" spans="7:8" x14ac:dyDescent="0.3">
      <c r="G1469" s="24">
        <v>1457</v>
      </c>
      <c r="H1469">
        <f t="shared" ca="1" si="25"/>
        <v>1.2460620996625302E-2</v>
      </c>
    </row>
    <row r="1470" spans="7:8" x14ac:dyDescent="0.3">
      <c r="G1470" s="24">
        <v>1458</v>
      </c>
      <c r="H1470">
        <f t="shared" ca="1" si="25"/>
        <v>-0.12781743254604599</v>
      </c>
    </row>
    <row r="1471" spans="7:8" x14ac:dyDescent="0.3">
      <c r="G1471" s="24">
        <v>1459</v>
      </c>
      <c r="H1471">
        <f t="shared" ca="1" si="25"/>
        <v>-7.185828495653343E-2</v>
      </c>
    </row>
    <row r="1472" spans="7:8" x14ac:dyDescent="0.3">
      <c r="G1472" s="24">
        <v>1460</v>
      </c>
      <c r="H1472">
        <f t="shared" ca="1" si="25"/>
        <v>9.3382682628528561E-3</v>
      </c>
    </row>
    <row r="1473" spans="7:8" x14ac:dyDescent="0.3">
      <c r="G1473" s="24">
        <v>1461</v>
      </c>
      <c r="H1473">
        <f t="shared" ca="1" si="25"/>
        <v>4.7680334494718681E-2</v>
      </c>
    </row>
    <row r="1474" spans="7:8" x14ac:dyDescent="0.3">
      <c r="G1474" s="24">
        <v>1462</v>
      </c>
      <c r="H1474">
        <f t="shared" ca="1" si="25"/>
        <v>5.1778355194504876E-2</v>
      </c>
    </row>
    <row r="1475" spans="7:8" x14ac:dyDescent="0.3">
      <c r="G1475" s="24">
        <v>1463</v>
      </c>
      <c r="H1475">
        <f t="shared" ca="1" si="25"/>
        <v>-0.10935443894299665</v>
      </c>
    </row>
    <row r="1476" spans="7:8" x14ac:dyDescent="0.3">
      <c r="G1476" s="24">
        <v>1464</v>
      </c>
      <c r="H1476">
        <f t="shared" ca="1" si="25"/>
        <v>3.5835668626587859E-2</v>
      </c>
    </row>
    <row r="1477" spans="7:8" x14ac:dyDescent="0.3">
      <c r="G1477" s="24">
        <v>1465</v>
      </c>
      <c r="H1477">
        <f t="shared" ca="1" si="25"/>
        <v>0.11264119163380015</v>
      </c>
    </row>
    <row r="1478" spans="7:8" x14ac:dyDescent="0.3">
      <c r="G1478" s="24">
        <v>1466</v>
      </c>
      <c r="H1478">
        <f t="shared" ca="1" si="25"/>
        <v>-5.9675359477920714E-2</v>
      </c>
    </row>
    <row r="1479" spans="7:8" x14ac:dyDescent="0.3">
      <c r="G1479" s="24">
        <v>1467</v>
      </c>
      <c r="H1479">
        <f t="shared" ca="1" si="25"/>
        <v>-9.4244809393309332E-3</v>
      </c>
    </row>
    <row r="1480" spans="7:8" x14ac:dyDescent="0.3">
      <c r="G1480" s="24">
        <v>1468</v>
      </c>
      <c r="H1480">
        <f t="shared" ca="1" si="25"/>
        <v>-9.2984376690623038E-2</v>
      </c>
    </row>
    <row r="1481" spans="7:8" x14ac:dyDescent="0.3">
      <c r="G1481" s="24">
        <v>1469</v>
      </c>
      <c r="H1481">
        <f t="shared" ca="1" si="25"/>
        <v>9.7752294396943815E-3</v>
      </c>
    </row>
    <row r="1482" spans="7:8" x14ac:dyDescent="0.3">
      <c r="G1482" s="24">
        <v>1470</v>
      </c>
      <c r="H1482">
        <f t="shared" ca="1" si="25"/>
        <v>-5.1757347408660573E-3</v>
      </c>
    </row>
    <row r="1483" spans="7:8" x14ac:dyDescent="0.3">
      <c r="G1483" s="24">
        <v>1471</v>
      </c>
      <c r="H1483">
        <f t="shared" ca="1" si="25"/>
        <v>8.1736917699170124E-3</v>
      </c>
    </row>
    <row r="1484" spans="7:8" x14ac:dyDescent="0.3">
      <c r="G1484" s="24">
        <v>1472</v>
      </c>
      <c r="H1484">
        <f t="shared" ca="1" si="25"/>
        <v>-6.0980652625718799E-2</v>
      </c>
    </row>
    <row r="1485" spans="7:8" x14ac:dyDescent="0.3">
      <c r="G1485" s="24">
        <v>1473</v>
      </c>
      <c r="H1485">
        <f t="shared" ca="1" si="25"/>
        <v>0.11307657571964791</v>
      </c>
    </row>
    <row r="1486" spans="7:8" x14ac:dyDescent="0.3">
      <c r="G1486" s="24">
        <v>1474</v>
      </c>
      <c r="H1486">
        <f t="shared" ref="H1486:H1549" ca="1" si="26">_xlfn.NORM.INV(RAND(),N$13,N$14)</f>
        <v>-3.7286580753317464E-2</v>
      </c>
    </row>
    <row r="1487" spans="7:8" x14ac:dyDescent="0.3">
      <c r="G1487" s="24">
        <v>1475</v>
      </c>
      <c r="H1487">
        <f t="shared" ca="1" si="26"/>
        <v>-5.4606594303542901E-2</v>
      </c>
    </row>
    <row r="1488" spans="7:8" x14ac:dyDescent="0.3">
      <c r="G1488" s="24">
        <v>1476</v>
      </c>
      <c r="H1488">
        <f t="shared" ca="1" si="26"/>
        <v>6.678240382619384E-2</v>
      </c>
    </row>
    <row r="1489" spans="7:8" x14ac:dyDescent="0.3">
      <c r="G1489" s="24">
        <v>1477</v>
      </c>
      <c r="H1489">
        <f t="shared" ca="1" si="26"/>
        <v>-4.1513579885573262E-2</v>
      </c>
    </row>
    <row r="1490" spans="7:8" x14ac:dyDescent="0.3">
      <c r="G1490" s="24">
        <v>1478</v>
      </c>
      <c r="H1490">
        <f t="shared" ca="1" si="26"/>
        <v>1.4550198122231555E-2</v>
      </c>
    </row>
    <row r="1491" spans="7:8" x14ac:dyDescent="0.3">
      <c r="G1491" s="24">
        <v>1479</v>
      </c>
      <c r="H1491">
        <f t="shared" ca="1" si="26"/>
        <v>6.7838026251553765E-4</v>
      </c>
    </row>
    <row r="1492" spans="7:8" x14ac:dyDescent="0.3">
      <c r="G1492" s="24">
        <v>1480</v>
      </c>
      <c r="H1492">
        <f t="shared" ca="1" si="26"/>
        <v>-1.5565813460415797E-2</v>
      </c>
    </row>
    <row r="1493" spans="7:8" x14ac:dyDescent="0.3">
      <c r="G1493" s="24">
        <v>1481</v>
      </c>
      <c r="H1493">
        <f t="shared" ca="1" si="26"/>
        <v>7.0581683440772522E-2</v>
      </c>
    </row>
    <row r="1494" spans="7:8" x14ac:dyDescent="0.3">
      <c r="G1494" s="24">
        <v>1482</v>
      </c>
      <c r="H1494">
        <f t="shared" ca="1" si="26"/>
        <v>-2.7918334415776215E-2</v>
      </c>
    </row>
    <row r="1495" spans="7:8" x14ac:dyDescent="0.3">
      <c r="G1495" s="24">
        <v>1483</v>
      </c>
      <c r="H1495">
        <f t="shared" ca="1" si="26"/>
        <v>6.9530463078271293E-2</v>
      </c>
    </row>
    <row r="1496" spans="7:8" x14ac:dyDescent="0.3">
      <c r="G1496" s="24">
        <v>1484</v>
      </c>
      <c r="H1496">
        <f t="shared" ca="1" si="26"/>
        <v>3.7122476317755629E-2</v>
      </c>
    </row>
    <row r="1497" spans="7:8" x14ac:dyDescent="0.3">
      <c r="G1497" s="24">
        <v>1485</v>
      </c>
      <c r="H1497">
        <f t="shared" ca="1" si="26"/>
        <v>2.3635296870078034E-2</v>
      </c>
    </row>
    <row r="1498" spans="7:8" x14ac:dyDescent="0.3">
      <c r="G1498" s="24">
        <v>1486</v>
      </c>
      <c r="H1498">
        <f t="shared" ca="1" si="26"/>
        <v>0.113420802649465</v>
      </c>
    </row>
    <row r="1499" spans="7:8" x14ac:dyDescent="0.3">
      <c r="G1499" s="24">
        <v>1487</v>
      </c>
      <c r="H1499">
        <f t="shared" ca="1" si="26"/>
        <v>-5.4098746239647916E-3</v>
      </c>
    </row>
    <row r="1500" spans="7:8" x14ac:dyDescent="0.3">
      <c r="G1500" s="24">
        <v>1488</v>
      </c>
      <c r="H1500">
        <f t="shared" ca="1" si="26"/>
        <v>5.662189598256806E-2</v>
      </c>
    </row>
    <row r="1501" spans="7:8" x14ac:dyDescent="0.3">
      <c r="G1501" s="24">
        <v>1489</v>
      </c>
      <c r="H1501">
        <f t="shared" ca="1" si="26"/>
        <v>4.1318299877396311E-2</v>
      </c>
    </row>
    <row r="1502" spans="7:8" x14ac:dyDescent="0.3">
      <c r="G1502" s="24">
        <v>1490</v>
      </c>
      <c r="H1502">
        <f t="shared" ca="1" si="26"/>
        <v>-0.15336848831896657</v>
      </c>
    </row>
    <row r="1503" spans="7:8" x14ac:dyDescent="0.3">
      <c r="G1503" s="24">
        <v>1491</v>
      </c>
      <c r="H1503">
        <f t="shared" ca="1" si="26"/>
        <v>0.15409437956665939</v>
      </c>
    </row>
    <row r="1504" spans="7:8" x14ac:dyDescent="0.3">
      <c r="G1504" s="24">
        <v>1492</v>
      </c>
      <c r="H1504">
        <f t="shared" ca="1" si="26"/>
        <v>-5.1367760166465187E-2</v>
      </c>
    </row>
    <row r="1505" spans="7:8" x14ac:dyDescent="0.3">
      <c r="G1505" s="24">
        <v>1493</v>
      </c>
      <c r="H1505">
        <f t="shared" ca="1" si="26"/>
        <v>5.9940223375554894E-2</v>
      </c>
    </row>
    <row r="1506" spans="7:8" x14ac:dyDescent="0.3">
      <c r="G1506" s="24">
        <v>1494</v>
      </c>
      <c r="H1506">
        <f t="shared" ca="1" si="26"/>
        <v>-0.12173480237604616</v>
      </c>
    </row>
    <row r="1507" spans="7:8" x14ac:dyDescent="0.3">
      <c r="G1507" s="24">
        <v>1495</v>
      </c>
      <c r="H1507">
        <f t="shared" ca="1" si="26"/>
        <v>1.3388352490458364E-2</v>
      </c>
    </row>
    <row r="1508" spans="7:8" x14ac:dyDescent="0.3">
      <c r="G1508" s="24">
        <v>1496</v>
      </c>
      <c r="H1508">
        <f t="shared" ca="1" si="26"/>
        <v>-5.1676291698088038E-2</v>
      </c>
    </row>
    <row r="1509" spans="7:8" x14ac:dyDescent="0.3">
      <c r="G1509" s="24">
        <v>1497</v>
      </c>
      <c r="H1509">
        <f t="shared" ca="1" si="26"/>
        <v>-1.1538552667677506E-2</v>
      </c>
    </row>
    <row r="1510" spans="7:8" x14ac:dyDescent="0.3">
      <c r="G1510" s="24">
        <v>1498</v>
      </c>
      <c r="H1510">
        <f t="shared" ca="1" si="26"/>
        <v>-6.7494483486864959E-2</v>
      </c>
    </row>
    <row r="1511" spans="7:8" x14ac:dyDescent="0.3">
      <c r="G1511" s="24">
        <v>1499</v>
      </c>
      <c r="H1511">
        <f t="shared" ca="1" si="26"/>
        <v>-4.6746918019129127E-2</v>
      </c>
    </row>
    <row r="1512" spans="7:8" x14ac:dyDescent="0.3">
      <c r="G1512" s="24">
        <v>1500</v>
      </c>
      <c r="H1512">
        <f t="shared" ca="1" si="26"/>
        <v>5.7219664951471863E-2</v>
      </c>
    </row>
    <row r="1513" spans="7:8" x14ac:dyDescent="0.3">
      <c r="G1513" s="24">
        <v>1501</v>
      </c>
      <c r="H1513">
        <f t="shared" ca="1" si="26"/>
        <v>-2.734019134585956E-2</v>
      </c>
    </row>
    <row r="1514" spans="7:8" x14ac:dyDescent="0.3">
      <c r="G1514" s="24">
        <v>1502</v>
      </c>
      <c r="H1514">
        <f t="shared" ca="1" si="26"/>
        <v>-7.5572062083380062E-2</v>
      </c>
    </row>
    <row r="1515" spans="7:8" x14ac:dyDescent="0.3">
      <c r="G1515" s="24">
        <v>1503</v>
      </c>
      <c r="H1515">
        <f t="shared" ca="1" si="26"/>
        <v>-0.14752352714716971</v>
      </c>
    </row>
    <row r="1516" spans="7:8" x14ac:dyDescent="0.3">
      <c r="G1516" s="24">
        <v>1504</v>
      </c>
      <c r="H1516">
        <f t="shared" ca="1" si="26"/>
        <v>-4.1808107722989284E-2</v>
      </c>
    </row>
    <row r="1517" spans="7:8" x14ac:dyDescent="0.3">
      <c r="G1517" s="24">
        <v>1505</v>
      </c>
      <c r="H1517">
        <f t="shared" ca="1" si="26"/>
        <v>3.8328984869442043E-2</v>
      </c>
    </row>
    <row r="1518" spans="7:8" x14ac:dyDescent="0.3">
      <c r="G1518" s="24">
        <v>1506</v>
      </c>
      <c r="H1518">
        <f t="shared" ca="1" si="26"/>
        <v>-8.5486719285794127E-2</v>
      </c>
    </row>
    <row r="1519" spans="7:8" x14ac:dyDescent="0.3">
      <c r="G1519" s="24">
        <v>1507</v>
      </c>
      <c r="H1519">
        <f t="shared" ca="1" si="26"/>
        <v>0.10942416673010638</v>
      </c>
    </row>
    <row r="1520" spans="7:8" x14ac:dyDescent="0.3">
      <c r="G1520" s="24">
        <v>1508</v>
      </c>
      <c r="H1520">
        <f t="shared" ca="1" si="26"/>
        <v>-9.9087676249845338E-2</v>
      </c>
    </row>
    <row r="1521" spans="7:8" x14ac:dyDescent="0.3">
      <c r="G1521" s="24">
        <v>1509</v>
      </c>
      <c r="H1521">
        <f t="shared" ca="1" si="26"/>
        <v>-9.2974929416764513E-3</v>
      </c>
    </row>
    <row r="1522" spans="7:8" x14ac:dyDescent="0.3">
      <c r="G1522" s="24">
        <v>1510</v>
      </c>
      <c r="H1522">
        <f t="shared" ca="1" si="26"/>
        <v>5.3973868916254594E-2</v>
      </c>
    </row>
    <row r="1523" spans="7:8" x14ac:dyDescent="0.3">
      <c r="G1523" s="24">
        <v>1511</v>
      </c>
      <c r="H1523">
        <f t="shared" ca="1" si="26"/>
        <v>5.387118782436242E-2</v>
      </c>
    </row>
    <row r="1524" spans="7:8" x14ac:dyDescent="0.3">
      <c r="G1524" s="24">
        <v>1512</v>
      </c>
      <c r="H1524">
        <f t="shared" ca="1" si="26"/>
        <v>1.0035224178206856E-2</v>
      </c>
    </row>
    <row r="1525" spans="7:8" x14ac:dyDescent="0.3">
      <c r="G1525" s="24">
        <v>1513</v>
      </c>
      <c r="H1525">
        <f t="shared" ca="1" si="26"/>
        <v>0.10546115616276208</v>
      </c>
    </row>
    <row r="1526" spans="7:8" x14ac:dyDescent="0.3">
      <c r="G1526" s="24">
        <v>1514</v>
      </c>
      <c r="H1526">
        <f t="shared" ca="1" si="26"/>
        <v>1.1401501570553647E-2</v>
      </c>
    </row>
    <row r="1527" spans="7:8" x14ac:dyDescent="0.3">
      <c r="G1527" s="24">
        <v>1515</v>
      </c>
      <c r="H1527">
        <f t="shared" ca="1" si="26"/>
        <v>0.10388333078007526</v>
      </c>
    </row>
    <row r="1528" spans="7:8" x14ac:dyDescent="0.3">
      <c r="G1528" s="24">
        <v>1516</v>
      </c>
      <c r="H1528">
        <f t="shared" ca="1" si="26"/>
        <v>-2.7785872771738423E-2</v>
      </c>
    </row>
    <row r="1529" spans="7:8" x14ac:dyDescent="0.3">
      <c r="G1529" s="24">
        <v>1517</v>
      </c>
      <c r="H1529">
        <f t="shared" ca="1" si="26"/>
        <v>2.1641828047910577E-2</v>
      </c>
    </row>
    <row r="1530" spans="7:8" x14ac:dyDescent="0.3">
      <c r="G1530" s="24">
        <v>1518</v>
      </c>
      <c r="H1530">
        <f t="shared" ca="1" si="26"/>
        <v>-0.17785641437576336</v>
      </c>
    </row>
    <row r="1531" spans="7:8" x14ac:dyDescent="0.3">
      <c r="G1531" s="24">
        <v>1519</v>
      </c>
      <c r="H1531">
        <f t="shared" ca="1" si="26"/>
        <v>4.9993471889653394E-3</v>
      </c>
    </row>
    <row r="1532" spans="7:8" x14ac:dyDescent="0.3">
      <c r="G1532" s="24">
        <v>1520</v>
      </c>
      <c r="H1532">
        <f t="shared" ca="1" si="26"/>
        <v>-7.5041246324575026E-2</v>
      </c>
    </row>
    <row r="1533" spans="7:8" x14ac:dyDescent="0.3">
      <c r="G1533" s="24">
        <v>1521</v>
      </c>
      <c r="H1533">
        <f t="shared" ca="1" si="26"/>
        <v>-7.0824841072996927E-2</v>
      </c>
    </row>
    <row r="1534" spans="7:8" x14ac:dyDescent="0.3">
      <c r="G1534" s="24">
        <v>1522</v>
      </c>
      <c r="H1534">
        <f t="shared" ca="1" si="26"/>
        <v>-3.4852303503012258E-2</v>
      </c>
    </row>
    <row r="1535" spans="7:8" x14ac:dyDescent="0.3">
      <c r="G1535" s="24">
        <v>1523</v>
      </c>
      <c r="H1535">
        <f t="shared" ca="1" si="26"/>
        <v>8.5051028974063442E-3</v>
      </c>
    </row>
    <row r="1536" spans="7:8" x14ac:dyDescent="0.3">
      <c r="G1536" s="24">
        <v>1524</v>
      </c>
      <c r="H1536">
        <f t="shared" ca="1" si="26"/>
        <v>9.3828386140787423E-2</v>
      </c>
    </row>
    <row r="1537" spans="7:8" x14ac:dyDescent="0.3">
      <c r="G1537" s="24">
        <v>1525</v>
      </c>
      <c r="H1537">
        <f t="shared" ca="1" si="26"/>
        <v>-0.18540490160632978</v>
      </c>
    </row>
    <row r="1538" spans="7:8" x14ac:dyDescent="0.3">
      <c r="G1538" s="24">
        <v>1526</v>
      </c>
      <c r="H1538">
        <f t="shared" ca="1" si="26"/>
        <v>1.0902596471967202E-2</v>
      </c>
    </row>
    <row r="1539" spans="7:8" x14ac:dyDescent="0.3">
      <c r="G1539" s="24">
        <v>1527</v>
      </c>
      <c r="H1539">
        <f t="shared" ca="1" si="26"/>
        <v>-8.3719246669707537E-2</v>
      </c>
    </row>
    <row r="1540" spans="7:8" x14ac:dyDescent="0.3">
      <c r="G1540" s="24">
        <v>1528</v>
      </c>
      <c r="H1540">
        <f t="shared" ca="1" si="26"/>
        <v>9.4770582467689199E-2</v>
      </c>
    </row>
    <row r="1541" spans="7:8" x14ac:dyDescent="0.3">
      <c r="G1541" s="24">
        <v>1529</v>
      </c>
      <c r="H1541">
        <f t="shared" ca="1" si="26"/>
        <v>-1.5393989162962394E-2</v>
      </c>
    </row>
    <row r="1542" spans="7:8" x14ac:dyDescent="0.3">
      <c r="G1542" s="24">
        <v>1530</v>
      </c>
      <c r="H1542">
        <f t="shared" ca="1" si="26"/>
        <v>1.3919132099087335E-2</v>
      </c>
    </row>
    <row r="1543" spans="7:8" x14ac:dyDescent="0.3">
      <c r="G1543" s="24">
        <v>1531</v>
      </c>
      <c r="H1543">
        <f t="shared" ca="1" si="26"/>
        <v>4.045678279673999E-2</v>
      </c>
    </row>
    <row r="1544" spans="7:8" x14ac:dyDescent="0.3">
      <c r="G1544" s="24">
        <v>1532</v>
      </c>
      <c r="H1544">
        <f t="shared" ca="1" si="26"/>
        <v>-3.7632504850114289E-2</v>
      </c>
    </row>
    <row r="1545" spans="7:8" x14ac:dyDescent="0.3">
      <c r="G1545" s="24">
        <v>1533</v>
      </c>
      <c r="H1545">
        <f t="shared" ca="1" si="26"/>
        <v>-5.6629064777512603E-2</v>
      </c>
    </row>
    <row r="1546" spans="7:8" x14ac:dyDescent="0.3">
      <c r="G1546" s="24">
        <v>1534</v>
      </c>
      <c r="H1546">
        <f t="shared" ca="1" si="26"/>
        <v>3.9271425663046831E-2</v>
      </c>
    </row>
    <row r="1547" spans="7:8" x14ac:dyDescent="0.3">
      <c r="G1547" s="24">
        <v>1535</v>
      </c>
      <c r="H1547">
        <f t="shared" ca="1" si="26"/>
        <v>-0.14557862470638952</v>
      </c>
    </row>
    <row r="1548" spans="7:8" x14ac:dyDescent="0.3">
      <c r="G1548" s="24">
        <v>1536</v>
      </c>
      <c r="H1548">
        <f t="shared" ca="1" si="26"/>
        <v>-4.5100183871139886E-4</v>
      </c>
    </row>
    <row r="1549" spans="7:8" x14ac:dyDescent="0.3">
      <c r="G1549" s="24">
        <v>1537</v>
      </c>
      <c r="H1549">
        <f t="shared" ca="1" si="26"/>
        <v>-7.9033186671803556E-3</v>
      </c>
    </row>
    <row r="1550" spans="7:8" x14ac:dyDescent="0.3">
      <c r="G1550" s="24">
        <v>1538</v>
      </c>
      <c r="H1550">
        <f t="shared" ref="H1550:H1613" ca="1" si="27">_xlfn.NORM.INV(RAND(),N$13,N$14)</f>
        <v>-5.0276583000837816E-2</v>
      </c>
    </row>
    <row r="1551" spans="7:8" x14ac:dyDescent="0.3">
      <c r="G1551" s="24">
        <v>1539</v>
      </c>
      <c r="H1551">
        <f t="shared" ca="1" si="27"/>
        <v>-2.0521012177848372E-3</v>
      </c>
    </row>
    <row r="1552" spans="7:8" x14ac:dyDescent="0.3">
      <c r="G1552" s="24">
        <v>1540</v>
      </c>
      <c r="H1552">
        <f t="shared" ca="1" si="27"/>
        <v>2.1905398573180907E-3</v>
      </c>
    </row>
    <row r="1553" spans="7:8" x14ac:dyDescent="0.3">
      <c r="G1553" s="24">
        <v>1541</v>
      </c>
      <c r="H1553">
        <f t="shared" ca="1" si="27"/>
        <v>-7.3606166261380945E-2</v>
      </c>
    </row>
    <row r="1554" spans="7:8" x14ac:dyDescent="0.3">
      <c r="G1554" s="24">
        <v>1542</v>
      </c>
      <c r="H1554">
        <f t="shared" ca="1" si="27"/>
        <v>-6.5805545180304556E-2</v>
      </c>
    </row>
    <row r="1555" spans="7:8" x14ac:dyDescent="0.3">
      <c r="G1555" s="24">
        <v>1543</v>
      </c>
      <c r="H1555">
        <f t="shared" ca="1" si="27"/>
        <v>0.12444273787789877</v>
      </c>
    </row>
    <row r="1556" spans="7:8" x14ac:dyDescent="0.3">
      <c r="G1556" s="24">
        <v>1544</v>
      </c>
      <c r="H1556">
        <f t="shared" ca="1" si="27"/>
        <v>0.12734248455423761</v>
      </c>
    </row>
    <row r="1557" spans="7:8" x14ac:dyDescent="0.3">
      <c r="G1557" s="24">
        <v>1545</v>
      </c>
      <c r="H1557">
        <f t="shared" ca="1" si="27"/>
        <v>0.10221334860368096</v>
      </c>
    </row>
    <row r="1558" spans="7:8" x14ac:dyDescent="0.3">
      <c r="G1558" s="24">
        <v>1546</v>
      </c>
      <c r="H1558">
        <f t="shared" ca="1" si="27"/>
        <v>-0.14262147118875973</v>
      </c>
    </row>
    <row r="1559" spans="7:8" x14ac:dyDescent="0.3">
      <c r="G1559" s="24">
        <v>1547</v>
      </c>
      <c r="H1559">
        <f t="shared" ca="1" si="27"/>
        <v>1.4369107625707077E-2</v>
      </c>
    </row>
    <row r="1560" spans="7:8" x14ac:dyDescent="0.3">
      <c r="G1560" s="24">
        <v>1548</v>
      </c>
      <c r="H1560">
        <f t="shared" ca="1" si="27"/>
        <v>-4.5821935949713226E-2</v>
      </c>
    </row>
    <row r="1561" spans="7:8" x14ac:dyDescent="0.3">
      <c r="G1561" s="24">
        <v>1549</v>
      </c>
      <c r="H1561">
        <f t="shared" ca="1" si="27"/>
        <v>-0.17531826818414994</v>
      </c>
    </row>
    <row r="1562" spans="7:8" x14ac:dyDescent="0.3">
      <c r="G1562" s="24">
        <v>1550</v>
      </c>
      <c r="H1562">
        <f t="shared" ca="1" si="27"/>
        <v>-0.14523261131265303</v>
      </c>
    </row>
    <row r="1563" spans="7:8" x14ac:dyDescent="0.3">
      <c r="G1563" s="24">
        <v>1551</v>
      </c>
      <c r="H1563">
        <f t="shared" ca="1" si="27"/>
        <v>5.2978270979882267E-2</v>
      </c>
    </row>
    <row r="1564" spans="7:8" x14ac:dyDescent="0.3">
      <c r="G1564" s="24">
        <v>1552</v>
      </c>
      <c r="H1564">
        <f t="shared" ca="1" si="27"/>
        <v>-0.11544878467522769</v>
      </c>
    </row>
    <row r="1565" spans="7:8" x14ac:dyDescent="0.3">
      <c r="G1565" s="24">
        <v>1553</v>
      </c>
      <c r="H1565">
        <f t="shared" ca="1" si="27"/>
        <v>-3.7916292446891674E-2</v>
      </c>
    </row>
    <row r="1566" spans="7:8" x14ac:dyDescent="0.3">
      <c r="G1566" s="24">
        <v>1554</v>
      </c>
      <c r="H1566">
        <f t="shared" ca="1" si="27"/>
        <v>2.2094090750149733E-4</v>
      </c>
    </row>
    <row r="1567" spans="7:8" x14ac:dyDescent="0.3">
      <c r="G1567" s="24">
        <v>1555</v>
      </c>
      <c r="H1567">
        <f t="shared" ca="1" si="27"/>
        <v>6.1734265768651278E-3</v>
      </c>
    </row>
    <row r="1568" spans="7:8" x14ac:dyDescent="0.3">
      <c r="G1568" s="24">
        <v>1556</v>
      </c>
      <c r="H1568">
        <f t="shared" ca="1" si="27"/>
        <v>-2.0481931982894299E-2</v>
      </c>
    </row>
    <row r="1569" spans="7:8" x14ac:dyDescent="0.3">
      <c r="G1569" s="24">
        <v>1557</v>
      </c>
      <c r="H1569">
        <f t="shared" ca="1" si="27"/>
        <v>6.8313397867453912E-2</v>
      </c>
    </row>
    <row r="1570" spans="7:8" x14ac:dyDescent="0.3">
      <c r="G1570" s="24">
        <v>1558</v>
      </c>
      <c r="H1570">
        <f t="shared" ca="1" si="27"/>
        <v>-5.2489722670845097E-2</v>
      </c>
    </row>
    <row r="1571" spans="7:8" x14ac:dyDescent="0.3">
      <c r="G1571" s="24">
        <v>1559</v>
      </c>
      <c r="H1571">
        <f t="shared" ca="1" si="27"/>
        <v>-2.4997552517595435E-2</v>
      </c>
    </row>
    <row r="1572" spans="7:8" x14ac:dyDescent="0.3">
      <c r="G1572" s="24">
        <v>1560</v>
      </c>
      <c r="H1572">
        <f t="shared" ca="1" si="27"/>
        <v>-1.4185449172771484E-2</v>
      </c>
    </row>
    <row r="1573" spans="7:8" x14ac:dyDescent="0.3">
      <c r="G1573" s="24">
        <v>1561</v>
      </c>
      <c r="H1573">
        <f t="shared" ca="1" si="27"/>
        <v>1.9809975296762816E-2</v>
      </c>
    </row>
    <row r="1574" spans="7:8" x14ac:dyDescent="0.3">
      <c r="G1574" s="24">
        <v>1562</v>
      </c>
      <c r="H1574">
        <f t="shared" ca="1" si="27"/>
        <v>-9.1247038511915693E-2</v>
      </c>
    </row>
    <row r="1575" spans="7:8" x14ac:dyDescent="0.3">
      <c r="G1575" s="24">
        <v>1563</v>
      </c>
      <c r="H1575">
        <f t="shared" ca="1" si="27"/>
        <v>-2.5921666331342835E-2</v>
      </c>
    </row>
    <row r="1576" spans="7:8" x14ac:dyDescent="0.3">
      <c r="G1576" s="24">
        <v>1564</v>
      </c>
      <c r="H1576">
        <f t="shared" ca="1" si="27"/>
        <v>3.4487309587408074E-2</v>
      </c>
    </row>
    <row r="1577" spans="7:8" x14ac:dyDescent="0.3">
      <c r="G1577" s="24">
        <v>1565</v>
      </c>
      <c r="H1577">
        <f t="shared" ca="1" si="27"/>
        <v>-2.4826709783620702E-2</v>
      </c>
    </row>
    <row r="1578" spans="7:8" x14ac:dyDescent="0.3">
      <c r="G1578" s="24">
        <v>1566</v>
      </c>
      <c r="H1578">
        <f t="shared" ca="1" si="27"/>
        <v>5.6490855501514343E-2</v>
      </c>
    </row>
    <row r="1579" spans="7:8" x14ac:dyDescent="0.3">
      <c r="G1579" s="24">
        <v>1567</v>
      </c>
      <c r="H1579">
        <f t="shared" ca="1" si="27"/>
        <v>-2.9442871137825701E-2</v>
      </c>
    </row>
    <row r="1580" spans="7:8" x14ac:dyDescent="0.3">
      <c r="G1580" s="24">
        <v>1568</v>
      </c>
      <c r="H1580">
        <f t="shared" ca="1" si="27"/>
        <v>7.0092825193784764E-2</v>
      </c>
    </row>
    <row r="1581" spans="7:8" x14ac:dyDescent="0.3">
      <c r="G1581" s="24">
        <v>1569</v>
      </c>
      <c r="H1581">
        <f t="shared" ca="1" si="27"/>
        <v>-9.3490372141378272E-2</v>
      </c>
    </row>
    <row r="1582" spans="7:8" x14ac:dyDescent="0.3">
      <c r="G1582" s="24">
        <v>1570</v>
      </c>
      <c r="H1582">
        <f t="shared" ca="1" si="27"/>
        <v>0.19525306990413552</v>
      </c>
    </row>
    <row r="1583" spans="7:8" x14ac:dyDescent="0.3">
      <c r="G1583" s="24">
        <v>1571</v>
      </c>
      <c r="H1583">
        <f t="shared" ca="1" si="27"/>
        <v>0.10133616447886834</v>
      </c>
    </row>
    <row r="1584" spans="7:8" x14ac:dyDescent="0.3">
      <c r="G1584" s="24">
        <v>1572</v>
      </c>
      <c r="H1584">
        <f t="shared" ca="1" si="27"/>
        <v>0.15712857196087215</v>
      </c>
    </row>
    <row r="1585" spans="7:8" x14ac:dyDescent="0.3">
      <c r="G1585" s="24">
        <v>1573</v>
      </c>
      <c r="H1585">
        <f t="shared" ca="1" si="27"/>
        <v>2.0742221670524086E-2</v>
      </c>
    </row>
    <row r="1586" spans="7:8" x14ac:dyDescent="0.3">
      <c r="G1586" s="24">
        <v>1574</v>
      </c>
      <c r="H1586">
        <f t="shared" ca="1" si="27"/>
        <v>2.7957659085392675E-2</v>
      </c>
    </row>
    <row r="1587" spans="7:8" x14ac:dyDescent="0.3">
      <c r="G1587" s="24">
        <v>1575</v>
      </c>
      <c r="H1587">
        <f t="shared" ca="1" si="27"/>
        <v>-3.7816263101816155E-2</v>
      </c>
    </row>
    <row r="1588" spans="7:8" x14ac:dyDescent="0.3">
      <c r="G1588" s="24">
        <v>1576</v>
      </c>
      <c r="H1588">
        <f t="shared" ca="1" si="27"/>
        <v>-3.668966839285815E-2</v>
      </c>
    </row>
    <row r="1589" spans="7:8" x14ac:dyDescent="0.3">
      <c r="G1589" s="24">
        <v>1577</v>
      </c>
      <c r="H1589">
        <f t="shared" ca="1" si="27"/>
        <v>-6.4854753922180625E-2</v>
      </c>
    </row>
    <row r="1590" spans="7:8" x14ac:dyDescent="0.3">
      <c r="G1590" s="24">
        <v>1578</v>
      </c>
      <c r="H1590">
        <f t="shared" ca="1" si="27"/>
        <v>-5.7928152983708736E-2</v>
      </c>
    </row>
    <row r="1591" spans="7:8" x14ac:dyDescent="0.3">
      <c r="G1591" s="24">
        <v>1579</v>
      </c>
      <c r="H1591">
        <f t="shared" ca="1" si="27"/>
        <v>-6.2898904040384826E-2</v>
      </c>
    </row>
    <row r="1592" spans="7:8" x14ac:dyDescent="0.3">
      <c r="G1592" s="24">
        <v>1580</v>
      </c>
      <c r="H1592">
        <f t="shared" ca="1" si="27"/>
        <v>0.12281268145243526</v>
      </c>
    </row>
    <row r="1593" spans="7:8" x14ac:dyDescent="0.3">
      <c r="G1593" s="24">
        <v>1581</v>
      </c>
      <c r="H1593">
        <f t="shared" ca="1" si="27"/>
        <v>-1.6987677977240736E-2</v>
      </c>
    </row>
    <row r="1594" spans="7:8" x14ac:dyDescent="0.3">
      <c r="G1594" s="24">
        <v>1582</v>
      </c>
      <c r="H1594">
        <f t="shared" ca="1" si="27"/>
        <v>-2.6155399358757592E-2</v>
      </c>
    </row>
    <row r="1595" spans="7:8" x14ac:dyDescent="0.3">
      <c r="G1595" s="24">
        <v>1583</v>
      </c>
      <c r="H1595">
        <f t="shared" ca="1" si="27"/>
        <v>5.7307584681783028E-2</v>
      </c>
    </row>
    <row r="1596" spans="7:8" x14ac:dyDescent="0.3">
      <c r="G1596" s="24">
        <v>1584</v>
      </c>
      <c r="H1596">
        <f t="shared" ca="1" si="27"/>
        <v>7.56706033267288E-2</v>
      </c>
    </row>
    <row r="1597" spans="7:8" x14ac:dyDescent="0.3">
      <c r="G1597" s="24">
        <v>1585</v>
      </c>
      <c r="H1597">
        <f t="shared" ca="1" si="27"/>
        <v>8.2310687860255721E-2</v>
      </c>
    </row>
    <row r="1598" spans="7:8" x14ac:dyDescent="0.3">
      <c r="G1598" s="24">
        <v>1586</v>
      </c>
      <c r="H1598">
        <f t="shared" ca="1" si="27"/>
        <v>0.10365950801099023</v>
      </c>
    </row>
    <row r="1599" spans="7:8" x14ac:dyDescent="0.3">
      <c r="G1599" s="24">
        <v>1587</v>
      </c>
      <c r="H1599">
        <f t="shared" ca="1" si="27"/>
        <v>-5.8964203748720717E-2</v>
      </c>
    </row>
    <row r="1600" spans="7:8" x14ac:dyDescent="0.3">
      <c r="G1600" s="24">
        <v>1588</v>
      </c>
      <c r="H1600">
        <f t="shared" ca="1" si="27"/>
        <v>0.10535285824651723</v>
      </c>
    </row>
    <row r="1601" spans="7:8" x14ac:dyDescent="0.3">
      <c r="G1601" s="24">
        <v>1589</v>
      </c>
      <c r="H1601">
        <f t="shared" ca="1" si="27"/>
        <v>-7.0229366708844353E-3</v>
      </c>
    </row>
    <row r="1602" spans="7:8" x14ac:dyDescent="0.3">
      <c r="G1602" s="24">
        <v>1590</v>
      </c>
      <c r="H1602">
        <f t="shared" ca="1" si="27"/>
        <v>5.1598429833426177E-2</v>
      </c>
    </row>
    <row r="1603" spans="7:8" x14ac:dyDescent="0.3">
      <c r="G1603" s="24">
        <v>1591</v>
      </c>
      <c r="H1603">
        <f t="shared" ca="1" si="27"/>
        <v>9.2867698962042125E-2</v>
      </c>
    </row>
    <row r="1604" spans="7:8" x14ac:dyDescent="0.3">
      <c r="G1604" s="24">
        <v>1592</v>
      </c>
      <c r="H1604">
        <f t="shared" ca="1" si="27"/>
        <v>6.4618776562951702E-2</v>
      </c>
    </row>
    <row r="1605" spans="7:8" x14ac:dyDescent="0.3">
      <c r="G1605" s="24">
        <v>1593</v>
      </c>
      <c r="H1605">
        <f t="shared" ca="1" si="27"/>
        <v>7.3862794739603319E-2</v>
      </c>
    </row>
    <row r="1606" spans="7:8" x14ac:dyDescent="0.3">
      <c r="G1606" s="24">
        <v>1594</v>
      </c>
      <c r="H1606">
        <f t="shared" ca="1" si="27"/>
        <v>1.0897143086061694E-2</v>
      </c>
    </row>
    <row r="1607" spans="7:8" x14ac:dyDescent="0.3">
      <c r="G1607" s="24">
        <v>1595</v>
      </c>
      <c r="H1607">
        <f t="shared" ca="1" si="27"/>
        <v>1.9071799258985726E-2</v>
      </c>
    </row>
    <row r="1608" spans="7:8" x14ac:dyDescent="0.3">
      <c r="G1608" s="24">
        <v>1596</v>
      </c>
      <c r="H1608">
        <f t="shared" ca="1" si="27"/>
        <v>-3.2475018209984566E-2</v>
      </c>
    </row>
    <row r="1609" spans="7:8" x14ac:dyDescent="0.3">
      <c r="G1609" s="24">
        <v>1597</v>
      </c>
      <c r="H1609">
        <f t="shared" ca="1" si="27"/>
        <v>2.5313288268637383E-2</v>
      </c>
    </row>
    <row r="1610" spans="7:8" x14ac:dyDescent="0.3">
      <c r="G1610" s="24">
        <v>1598</v>
      </c>
      <c r="H1610">
        <f t="shared" ca="1" si="27"/>
        <v>9.7565677575708637E-2</v>
      </c>
    </row>
    <row r="1611" spans="7:8" x14ac:dyDescent="0.3">
      <c r="G1611" s="24">
        <v>1599</v>
      </c>
      <c r="H1611">
        <f t="shared" ca="1" si="27"/>
        <v>-1.1066431969948417E-2</v>
      </c>
    </row>
    <row r="1612" spans="7:8" x14ac:dyDescent="0.3">
      <c r="G1612" s="24">
        <v>1600</v>
      </c>
      <c r="H1612">
        <f t="shared" ca="1" si="27"/>
        <v>-1.461134792972623E-2</v>
      </c>
    </row>
    <row r="1613" spans="7:8" x14ac:dyDescent="0.3">
      <c r="G1613" s="24">
        <v>1601</v>
      </c>
      <c r="H1613">
        <f t="shared" ca="1" si="27"/>
        <v>-0.12837630368209124</v>
      </c>
    </row>
    <row r="1614" spans="7:8" x14ac:dyDescent="0.3">
      <c r="G1614" s="24">
        <v>1602</v>
      </c>
      <c r="H1614">
        <f t="shared" ref="H1614:H1677" ca="1" si="28">_xlfn.NORM.INV(RAND(),N$13,N$14)</f>
        <v>2.4883617684984304E-4</v>
      </c>
    </row>
    <row r="1615" spans="7:8" x14ac:dyDescent="0.3">
      <c r="G1615" s="24">
        <v>1603</v>
      </c>
      <c r="H1615">
        <f t="shared" ca="1" si="28"/>
        <v>1.2281856609486911E-2</v>
      </c>
    </row>
    <row r="1616" spans="7:8" x14ac:dyDescent="0.3">
      <c r="G1616" s="24">
        <v>1604</v>
      </c>
      <c r="H1616">
        <f t="shared" ca="1" si="28"/>
        <v>7.4948460975249195E-2</v>
      </c>
    </row>
    <row r="1617" spans="7:8" x14ac:dyDescent="0.3">
      <c r="G1617" s="24">
        <v>1605</v>
      </c>
      <c r="H1617">
        <f t="shared" ca="1" si="28"/>
        <v>-4.8773565779284579E-2</v>
      </c>
    </row>
    <row r="1618" spans="7:8" x14ac:dyDescent="0.3">
      <c r="G1618" s="24">
        <v>1606</v>
      </c>
      <c r="H1618">
        <f t="shared" ca="1" si="28"/>
        <v>5.7311560768459203E-2</v>
      </c>
    </row>
    <row r="1619" spans="7:8" x14ac:dyDescent="0.3">
      <c r="G1619" s="24">
        <v>1607</v>
      </c>
      <c r="H1619">
        <f t="shared" ca="1" si="28"/>
        <v>3.1955886290206896E-2</v>
      </c>
    </row>
    <row r="1620" spans="7:8" x14ac:dyDescent="0.3">
      <c r="G1620" s="24">
        <v>1608</v>
      </c>
      <c r="H1620">
        <f t="shared" ca="1" si="28"/>
        <v>6.8953632694621403E-2</v>
      </c>
    </row>
    <row r="1621" spans="7:8" x14ac:dyDescent="0.3">
      <c r="G1621" s="24">
        <v>1609</v>
      </c>
      <c r="H1621">
        <f t="shared" ca="1" si="28"/>
        <v>-6.64135810570088E-2</v>
      </c>
    </row>
    <row r="1622" spans="7:8" x14ac:dyDescent="0.3">
      <c r="G1622" s="24">
        <v>1610</v>
      </c>
      <c r="H1622">
        <f t="shared" ca="1" si="28"/>
        <v>0.11283942937592463</v>
      </c>
    </row>
    <row r="1623" spans="7:8" x14ac:dyDescent="0.3">
      <c r="G1623" s="24">
        <v>1611</v>
      </c>
      <c r="H1623">
        <f t="shared" ca="1" si="28"/>
        <v>2.4406865453971912E-2</v>
      </c>
    </row>
    <row r="1624" spans="7:8" x14ac:dyDescent="0.3">
      <c r="G1624" s="24">
        <v>1612</v>
      </c>
      <c r="H1624">
        <f t="shared" ca="1" si="28"/>
        <v>-7.3537870801869659E-2</v>
      </c>
    </row>
    <row r="1625" spans="7:8" x14ac:dyDescent="0.3">
      <c r="G1625" s="24">
        <v>1613</v>
      </c>
      <c r="H1625">
        <f t="shared" ca="1" si="28"/>
        <v>-4.112838655719088E-2</v>
      </c>
    </row>
    <row r="1626" spans="7:8" x14ac:dyDescent="0.3">
      <c r="G1626" s="24">
        <v>1614</v>
      </c>
      <c r="H1626">
        <f t="shared" ca="1" si="28"/>
        <v>4.3865944532992106E-2</v>
      </c>
    </row>
    <row r="1627" spans="7:8" x14ac:dyDescent="0.3">
      <c r="G1627" s="24">
        <v>1615</v>
      </c>
      <c r="H1627">
        <f t="shared" ca="1" si="28"/>
        <v>-1.2601142119137607E-2</v>
      </c>
    </row>
    <row r="1628" spans="7:8" x14ac:dyDescent="0.3">
      <c r="G1628" s="24">
        <v>1616</v>
      </c>
      <c r="H1628">
        <f t="shared" ca="1" si="28"/>
        <v>0.10147811065182717</v>
      </c>
    </row>
    <row r="1629" spans="7:8" x14ac:dyDescent="0.3">
      <c r="G1629" s="24">
        <v>1617</v>
      </c>
      <c r="H1629">
        <f t="shared" ca="1" si="28"/>
        <v>5.4886579475066734E-2</v>
      </c>
    </row>
    <row r="1630" spans="7:8" x14ac:dyDescent="0.3">
      <c r="G1630" s="24">
        <v>1618</v>
      </c>
      <c r="H1630">
        <f t="shared" ca="1" si="28"/>
        <v>0.13509750240844537</v>
      </c>
    </row>
    <row r="1631" spans="7:8" x14ac:dyDescent="0.3">
      <c r="G1631" s="24">
        <v>1619</v>
      </c>
      <c r="H1631">
        <f t="shared" ca="1" si="28"/>
        <v>-2.5784666547028708E-2</v>
      </c>
    </row>
    <row r="1632" spans="7:8" x14ac:dyDescent="0.3">
      <c r="G1632" s="24">
        <v>1620</v>
      </c>
      <c r="H1632">
        <f t="shared" ca="1" si="28"/>
        <v>8.6391191642399986E-2</v>
      </c>
    </row>
    <row r="1633" spans="7:8" x14ac:dyDescent="0.3">
      <c r="G1633" s="24">
        <v>1621</v>
      </c>
      <c r="H1633">
        <f t="shared" ca="1" si="28"/>
        <v>2.1318239643106002E-2</v>
      </c>
    </row>
    <row r="1634" spans="7:8" x14ac:dyDescent="0.3">
      <c r="G1634" s="24">
        <v>1622</v>
      </c>
      <c r="H1634">
        <f t="shared" ca="1" si="28"/>
        <v>-1.7892067038807712E-2</v>
      </c>
    </row>
    <row r="1635" spans="7:8" x14ac:dyDescent="0.3">
      <c r="G1635" s="24">
        <v>1623</v>
      </c>
      <c r="H1635">
        <f t="shared" ca="1" si="28"/>
        <v>8.8874596190891594E-2</v>
      </c>
    </row>
    <row r="1636" spans="7:8" x14ac:dyDescent="0.3">
      <c r="G1636" s="24">
        <v>1624</v>
      </c>
      <c r="H1636">
        <f t="shared" ca="1" si="28"/>
        <v>-8.0744909507664608E-2</v>
      </c>
    </row>
    <row r="1637" spans="7:8" x14ac:dyDescent="0.3">
      <c r="G1637" s="24">
        <v>1625</v>
      </c>
      <c r="H1637">
        <f t="shared" ca="1" si="28"/>
        <v>-9.048564702945773E-2</v>
      </c>
    </row>
    <row r="1638" spans="7:8" x14ac:dyDescent="0.3">
      <c r="G1638" s="24">
        <v>1626</v>
      </c>
      <c r="H1638">
        <f t="shared" ca="1" si="28"/>
        <v>8.6215404820913277E-2</v>
      </c>
    </row>
    <row r="1639" spans="7:8" x14ac:dyDescent="0.3">
      <c r="G1639" s="24">
        <v>1627</v>
      </c>
      <c r="H1639">
        <f t="shared" ca="1" si="28"/>
        <v>6.3279579503724273E-2</v>
      </c>
    </row>
    <row r="1640" spans="7:8" x14ac:dyDescent="0.3">
      <c r="G1640" s="24">
        <v>1628</v>
      </c>
      <c r="H1640">
        <f t="shared" ca="1" si="28"/>
        <v>-2.9451300401830829E-2</v>
      </c>
    </row>
    <row r="1641" spans="7:8" x14ac:dyDescent="0.3">
      <c r="G1641" s="24">
        <v>1629</v>
      </c>
      <c r="H1641">
        <f t="shared" ca="1" si="28"/>
        <v>2.4025961241637101E-2</v>
      </c>
    </row>
    <row r="1642" spans="7:8" x14ac:dyDescent="0.3">
      <c r="G1642" s="24">
        <v>1630</v>
      </c>
      <c r="H1642">
        <f t="shared" ca="1" si="28"/>
        <v>9.1128478818918182E-2</v>
      </c>
    </row>
    <row r="1643" spans="7:8" x14ac:dyDescent="0.3">
      <c r="G1643" s="24">
        <v>1631</v>
      </c>
      <c r="H1643">
        <f t="shared" ca="1" si="28"/>
        <v>5.3817928369525779E-2</v>
      </c>
    </row>
    <row r="1644" spans="7:8" x14ac:dyDescent="0.3">
      <c r="G1644" s="24">
        <v>1632</v>
      </c>
      <c r="H1644">
        <f t="shared" ca="1" si="28"/>
        <v>-3.4242217863047477E-4</v>
      </c>
    </row>
    <row r="1645" spans="7:8" x14ac:dyDescent="0.3">
      <c r="G1645" s="24">
        <v>1633</v>
      </c>
      <c r="H1645">
        <f t="shared" ca="1" si="28"/>
        <v>6.7073063935092686E-2</v>
      </c>
    </row>
    <row r="1646" spans="7:8" x14ac:dyDescent="0.3">
      <c r="G1646" s="24">
        <v>1634</v>
      </c>
      <c r="H1646">
        <f t="shared" ca="1" si="28"/>
        <v>9.9079126550828747E-3</v>
      </c>
    </row>
    <row r="1647" spans="7:8" x14ac:dyDescent="0.3">
      <c r="G1647" s="24">
        <v>1635</v>
      </c>
      <c r="H1647">
        <f t="shared" ca="1" si="28"/>
        <v>-8.5751483999258679E-2</v>
      </c>
    </row>
    <row r="1648" spans="7:8" x14ac:dyDescent="0.3">
      <c r="G1648" s="24">
        <v>1636</v>
      </c>
      <c r="H1648">
        <f t="shared" ca="1" si="28"/>
        <v>4.8905920557938527E-2</v>
      </c>
    </row>
    <row r="1649" spans="7:8" x14ac:dyDescent="0.3">
      <c r="G1649" s="24">
        <v>1637</v>
      </c>
      <c r="H1649">
        <f t="shared" ca="1" si="28"/>
        <v>-1.0912969815286286E-2</v>
      </c>
    </row>
    <row r="1650" spans="7:8" x14ac:dyDescent="0.3">
      <c r="G1650" s="24">
        <v>1638</v>
      </c>
      <c r="H1650">
        <f t="shared" ca="1" si="28"/>
        <v>5.3962886165290887E-2</v>
      </c>
    </row>
    <row r="1651" spans="7:8" x14ac:dyDescent="0.3">
      <c r="G1651" s="24">
        <v>1639</v>
      </c>
      <c r="H1651">
        <f t="shared" ca="1" si="28"/>
        <v>-2.0636485675780591E-2</v>
      </c>
    </row>
    <row r="1652" spans="7:8" x14ac:dyDescent="0.3">
      <c r="G1652" s="24">
        <v>1640</v>
      </c>
      <c r="H1652">
        <f t="shared" ca="1" si="28"/>
        <v>2.5630396911888596E-2</v>
      </c>
    </row>
    <row r="1653" spans="7:8" x14ac:dyDescent="0.3">
      <c r="G1653" s="24">
        <v>1641</v>
      </c>
      <c r="H1653">
        <f t="shared" ca="1" si="28"/>
        <v>-5.2382589227611173E-2</v>
      </c>
    </row>
    <row r="1654" spans="7:8" x14ac:dyDescent="0.3">
      <c r="G1654" s="24">
        <v>1642</v>
      </c>
      <c r="H1654">
        <f t="shared" ca="1" si="28"/>
        <v>-9.1369785635139728E-2</v>
      </c>
    </row>
    <row r="1655" spans="7:8" x14ac:dyDescent="0.3">
      <c r="G1655" s="24">
        <v>1643</v>
      </c>
      <c r="H1655">
        <f t="shared" ca="1" si="28"/>
        <v>6.2270004104736813E-2</v>
      </c>
    </row>
    <row r="1656" spans="7:8" x14ac:dyDescent="0.3">
      <c r="G1656" s="24">
        <v>1644</v>
      </c>
      <c r="H1656">
        <f t="shared" ca="1" si="28"/>
        <v>-0.10205095441601154</v>
      </c>
    </row>
    <row r="1657" spans="7:8" x14ac:dyDescent="0.3">
      <c r="G1657" s="24">
        <v>1645</v>
      </c>
      <c r="H1657">
        <f t="shared" ca="1" si="28"/>
        <v>5.5476891679479459E-2</v>
      </c>
    </row>
    <row r="1658" spans="7:8" x14ac:dyDescent="0.3">
      <c r="G1658" s="24">
        <v>1646</v>
      </c>
      <c r="H1658">
        <f t="shared" ca="1" si="28"/>
        <v>-8.5507452400748155E-2</v>
      </c>
    </row>
    <row r="1659" spans="7:8" x14ac:dyDescent="0.3">
      <c r="G1659" s="24">
        <v>1647</v>
      </c>
      <c r="H1659">
        <f t="shared" ca="1" si="28"/>
        <v>4.1381273089504386E-2</v>
      </c>
    </row>
    <row r="1660" spans="7:8" x14ac:dyDescent="0.3">
      <c r="G1660" s="24">
        <v>1648</v>
      </c>
      <c r="H1660">
        <f t="shared" ca="1" si="28"/>
        <v>-8.9237866666693512E-3</v>
      </c>
    </row>
    <row r="1661" spans="7:8" x14ac:dyDescent="0.3">
      <c r="G1661" s="24">
        <v>1649</v>
      </c>
      <c r="H1661">
        <f t="shared" ca="1" si="28"/>
        <v>3.2961920766110958E-2</v>
      </c>
    </row>
    <row r="1662" spans="7:8" x14ac:dyDescent="0.3">
      <c r="G1662" s="24">
        <v>1650</v>
      </c>
      <c r="H1662">
        <f t="shared" ca="1" si="28"/>
        <v>-4.717425562490319E-3</v>
      </c>
    </row>
    <row r="1663" spans="7:8" x14ac:dyDescent="0.3">
      <c r="G1663" s="24">
        <v>1651</v>
      </c>
      <c r="H1663">
        <f t="shared" ca="1" si="28"/>
        <v>2.0903155247401682E-2</v>
      </c>
    </row>
    <row r="1664" spans="7:8" x14ac:dyDescent="0.3">
      <c r="G1664" s="24">
        <v>1652</v>
      </c>
      <c r="H1664">
        <f t="shared" ca="1" si="28"/>
        <v>-1.603336629865822E-2</v>
      </c>
    </row>
    <row r="1665" spans="7:8" x14ac:dyDescent="0.3">
      <c r="G1665" s="24">
        <v>1653</v>
      </c>
      <c r="H1665">
        <f t="shared" ca="1" si="28"/>
        <v>-0.12480038082100789</v>
      </c>
    </row>
    <row r="1666" spans="7:8" x14ac:dyDescent="0.3">
      <c r="G1666" s="24">
        <v>1654</v>
      </c>
      <c r="H1666">
        <f t="shared" ca="1" si="28"/>
        <v>6.1328445511032087E-2</v>
      </c>
    </row>
    <row r="1667" spans="7:8" x14ac:dyDescent="0.3">
      <c r="G1667" s="24">
        <v>1655</v>
      </c>
      <c r="H1667">
        <f t="shared" ca="1" si="28"/>
        <v>-0.1450753984493289</v>
      </c>
    </row>
    <row r="1668" spans="7:8" x14ac:dyDescent="0.3">
      <c r="G1668" s="24">
        <v>1656</v>
      </c>
      <c r="H1668">
        <f t="shared" ca="1" si="28"/>
        <v>-6.2642164833211833E-2</v>
      </c>
    </row>
    <row r="1669" spans="7:8" x14ac:dyDescent="0.3">
      <c r="G1669" s="24">
        <v>1657</v>
      </c>
      <c r="H1669">
        <f t="shared" ca="1" si="28"/>
        <v>-4.3903608253415341E-4</v>
      </c>
    </row>
    <row r="1670" spans="7:8" x14ac:dyDescent="0.3">
      <c r="G1670" s="24">
        <v>1658</v>
      </c>
      <c r="H1670">
        <f t="shared" ca="1" si="28"/>
        <v>1.9233302815736836E-2</v>
      </c>
    </row>
    <row r="1671" spans="7:8" x14ac:dyDescent="0.3">
      <c r="G1671" s="24">
        <v>1659</v>
      </c>
      <c r="H1671">
        <f t="shared" ca="1" si="28"/>
        <v>-4.7462013753809314E-4</v>
      </c>
    </row>
    <row r="1672" spans="7:8" x14ac:dyDescent="0.3">
      <c r="G1672" s="24">
        <v>1660</v>
      </c>
      <c r="H1672">
        <f t="shared" ca="1" si="28"/>
        <v>-3.971115503930616E-2</v>
      </c>
    </row>
    <row r="1673" spans="7:8" x14ac:dyDescent="0.3">
      <c r="G1673" s="24">
        <v>1661</v>
      </c>
      <c r="H1673">
        <f t="shared" ca="1" si="28"/>
        <v>-0.10475172693535066</v>
      </c>
    </row>
    <row r="1674" spans="7:8" x14ac:dyDescent="0.3">
      <c r="G1674" s="24">
        <v>1662</v>
      </c>
      <c r="H1674">
        <f t="shared" ca="1" si="28"/>
        <v>-0.11794169504158077</v>
      </c>
    </row>
    <row r="1675" spans="7:8" x14ac:dyDescent="0.3">
      <c r="G1675" s="24">
        <v>1663</v>
      </c>
      <c r="H1675">
        <f t="shared" ca="1" si="28"/>
        <v>5.3234184008021879E-2</v>
      </c>
    </row>
    <row r="1676" spans="7:8" x14ac:dyDescent="0.3">
      <c r="G1676" s="24">
        <v>1664</v>
      </c>
      <c r="H1676">
        <f t="shared" ca="1" si="28"/>
        <v>-6.3945906966764457E-2</v>
      </c>
    </row>
    <row r="1677" spans="7:8" x14ac:dyDescent="0.3">
      <c r="G1677" s="24">
        <v>1665</v>
      </c>
      <c r="H1677">
        <f t="shared" ca="1" si="28"/>
        <v>5.6136846214737225E-2</v>
      </c>
    </row>
    <row r="1678" spans="7:8" x14ac:dyDescent="0.3">
      <c r="G1678" s="24">
        <v>1666</v>
      </c>
      <c r="H1678">
        <f t="shared" ref="H1678:H1741" ca="1" si="29">_xlfn.NORM.INV(RAND(),N$13,N$14)</f>
        <v>-4.4320055643044774E-3</v>
      </c>
    </row>
    <row r="1679" spans="7:8" x14ac:dyDescent="0.3">
      <c r="G1679" s="24">
        <v>1667</v>
      </c>
      <c r="H1679">
        <f t="shared" ca="1" si="29"/>
        <v>2.7645881213901949E-3</v>
      </c>
    </row>
    <row r="1680" spans="7:8" x14ac:dyDescent="0.3">
      <c r="G1680" s="24">
        <v>1668</v>
      </c>
      <c r="H1680">
        <f t="shared" ca="1" si="29"/>
        <v>-7.2366038740230704E-2</v>
      </c>
    </row>
    <row r="1681" spans="7:8" x14ac:dyDescent="0.3">
      <c r="G1681" s="24">
        <v>1669</v>
      </c>
      <c r="H1681">
        <f t="shared" ca="1" si="29"/>
        <v>2.8497934305335506E-2</v>
      </c>
    </row>
    <row r="1682" spans="7:8" x14ac:dyDescent="0.3">
      <c r="G1682" s="24">
        <v>1670</v>
      </c>
      <c r="H1682">
        <f t="shared" ca="1" si="29"/>
        <v>1.8677438059054227E-3</v>
      </c>
    </row>
    <row r="1683" spans="7:8" x14ac:dyDescent="0.3">
      <c r="G1683" s="24">
        <v>1671</v>
      </c>
      <c r="H1683">
        <f t="shared" ca="1" si="29"/>
        <v>-7.9919143008594148E-3</v>
      </c>
    </row>
    <row r="1684" spans="7:8" x14ac:dyDescent="0.3">
      <c r="G1684" s="24">
        <v>1672</v>
      </c>
      <c r="H1684">
        <f t="shared" ca="1" si="29"/>
        <v>6.1963849186950283E-2</v>
      </c>
    </row>
    <row r="1685" spans="7:8" x14ac:dyDescent="0.3">
      <c r="G1685" s="24">
        <v>1673</v>
      </c>
      <c r="H1685">
        <f t="shared" ca="1" si="29"/>
        <v>1.3726690263386965E-2</v>
      </c>
    </row>
    <row r="1686" spans="7:8" x14ac:dyDescent="0.3">
      <c r="G1686" s="24">
        <v>1674</v>
      </c>
      <c r="H1686">
        <f t="shared" ca="1" si="29"/>
        <v>-3.2838775065516829E-2</v>
      </c>
    </row>
    <row r="1687" spans="7:8" x14ac:dyDescent="0.3">
      <c r="G1687" s="24">
        <v>1675</v>
      </c>
      <c r="H1687">
        <f t="shared" ca="1" si="29"/>
        <v>3.8729118237614886E-2</v>
      </c>
    </row>
    <row r="1688" spans="7:8" x14ac:dyDescent="0.3">
      <c r="G1688" s="24">
        <v>1676</v>
      </c>
      <c r="H1688">
        <f t="shared" ca="1" si="29"/>
        <v>0.13841506561351949</v>
      </c>
    </row>
    <row r="1689" spans="7:8" x14ac:dyDescent="0.3">
      <c r="G1689" s="24">
        <v>1677</v>
      </c>
      <c r="H1689">
        <f t="shared" ca="1" si="29"/>
        <v>-5.4001606781007884E-2</v>
      </c>
    </row>
    <row r="1690" spans="7:8" x14ac:dyDescent="0.3">
      <c r="G1690" s="24">
        <v>1678</v>
      </c>
      <c r="H1690">
        <f t="shared" ca="1" si="29"/>
        <v>-0.13105988052718881</v>
      </c>
    </row>
    <row r="1691" spans="7:8" x14ac:dyDescent="0.3">
      <c r="G1691" s="24">
        <v>1679</v>
      </c>
      <c r="H1691">
        <f t="shared" ca="1" si="29"/>
        <v>-8.9160137462892489E-2</v>
      </c>
    </row>
    <row r="1692" spans="7:8" x14ac:dyDescent="0.3">
      <c r="G1692" s="24">
        <v>1680</v>
      </c>
      <c r="H1692">
        <f t="shared" ca="1" si="29"/>
        <v>-0.17791397592934843</v>
      </c>
    </row>
    <row r="1693" spans="7:8" x14ac:dyDescent="0.3">
      <c r="G1693" s="24">
        <v>1681</v>
      </c>
      <c r="H1693">
        <f t="shared" ca="1" si="29"/>
        <v>3.9906657135082124E-2</v>
      </c>
    </row>
    <row r="1694" spans="7:8" x14ac:dyDescent="0.3">
      <c r="G1694" s="24">
        <v>1682</v>
      </c>
      <c r="H1694">
        <f t="shared" ca="1" si="29"/>
        <v>-1.7999208758730453E-2</v>
      </c>
    </row>
    <row r="1695" spans="7:8" x14ac:dyDescent="0.3">
      <c r="G1695" s="24">
        <v>1683</v>
      </c>
      <c r="H1695">
        <f t="shared" ca="1" si="29"/>
        <v>-0.14345684140811471</v>
      </c>
    </row>
    <row r="1696" spans="7:8" x14ac:dyDescent="0.3">
      <c r="G1696" s="24">
        <v>1684</v>
      </c>
      <c r="H1696">
        <f t="shared" ca="1" si="29"/>
        <v>-5.1578693863654851E-2</v>
      </c>
    </row>
    <row r="1697" spans="7:8" x14ac:dyDescent="0.3">
      <c r="G1697" s="24">
        <v>1685</v>
      </c>
      <c r="H1697">
        <f t="shared" ca="1" si="29"/>
        <v>2.0612974291014195E-2</v>
      </c>
    </row>
    <row r="1698" spans="7:8" x14ac:dyDescent="0.3">
      <c r="G1698" s="24">
        <v>1686</v>
      </c>
      <c r="H1698">
        <f t="shared" ca="1" si="29"/>
        <v>4.7071929019779652E-3</v>
      </c>
    </row>
    <row r="1699" spans="7:8" x14ac:dyDescent="0.3">
      <c r="G1699" s="24">
        <v>1687</v>
      </c>
      <c r="H1699">
        <f t="shared" ca="1" si="29"/>
        <v>-2.7479422101502532E-2</v>
      </c>
    </row>
    <row r="1700" spans="7:8" x14ac:dyDescent="0.3">
      <c r="G1700" s="24">
        <v>1688</v>
      </c>
      <c r="H1700">
        <f t="shared" ca="1" si="29"/>
        <v>-7.1568462952956546E-2</v>
      </c>
    </row>
    <row r="1701" spans="7:8" x14ac:dyDescent="0.3">
      <c r="G1701" s="24">
        <v>1689</v>
      </c>
      <c r="H1701">
        <f t="shared" ca="1" si="29"/>
        <v>5.9094216541904381E-2</v>
      </c>
    </row>
    <row r="1702" spans="7:8" x14ac:dyDescent="0.3">
      <c r="G1702" s="24">
        <v>1690</v>
      </c>
      <c r="H1702">
        <f t="shared" ca="1" si="29"/>
        <v>4.0847494268614969E-2</v>
      </c>
    </row>
    <row r="1703" spans="7:8" x14ac:dyDescent="0.3">
      <c r="G1703" s="24">
        <v>1691</v>
      </c>
      <c r="H1703">
        <f t="shared" ca="1" si="29"/>
        <v>-4.0192937881951683E-2</v>
      </c>
    </row>
    <row r="1704" spans="7:8" x14ac:dyDescent="0.3">
      <c r="G1704" s="24">
        <v>1692</v>
      </c>
      <c r="H1704">
        <f t="shared" ca="1" si="29"/>
        <v>-4.116207758954913E-2</v>
      </c>
    </row>
    <row r="1705" spans="7:8" x14ac:dyDescent="0.3">
      <c r="G1705" s="24">
        <v>1693</v>
      </c>
      <c r="H1705">
        <f t="shared" ca="1" si="29"/>
        <v>-8.6454192100171343E-2</v>
      </c>
    </row>
    <row r="1706" spans="7:8" x14ac:dyDescent="0.3">
      <c r="G1706" s="24">
        <v>1694</v>
      </c>
      <c r="H1706">
        <f t="shared" ca="1" si="29"/>
        <v>-6.9112876047586147E-2</v>
      </c>
    </row>
    <row r="1707" spans="7:8" x14ac:dyDescent="0.3">
      <c r="G1707" s="24">
        <v>1695</v>
      </c>
      <c r="H1707">
        <f t="shared" ca="1" si="29"/>
        <v>7.6351360032960742E-3</v>
      </c>
    </row>
    <row r="1708" spans="7:8" x14ac:dyDescent="0.3">
      <c r="G1708" s="24">
        <v>1696</v>
      </c>
      <c r="H1708">
        <f t="shared" ca="1" si="29"/>
        <v>1.2595435878728181E-2</v>
      </c>
    </row>
    <row r="1709" spans="7:8" x14ac:dyDescent="0.3">
      <c r="G1709" s="24">
        <v>1697</v>
      </c>
      <c r="H1709">
        <f t="shared" ca="1" si="29"/>
        <v>-4.4751547946595537E-3</v>
      </c>
    </row>
    <row r="1710" spans="7:8" x14ac:dyDescent="0.3">
      <c r="G1710" s="24">
        <v>1698</v>
      </c>
      <c r="H1710">
        <f t="shared" ca="1" si="29"/>
        <v>0.11359212310563732</v>
      </c>
    </row>
    <row r="1711" spans="7:8" x14ac:dyDescent="0.3">
      <c r="G1711" s="24">
        <v>1699</v>
      </c>
      <c r="H1711">
        <f t="shared" ca="1" si="29"/>
        <v>-4.9300151399199889E-2</v>
      </c>
    </row>
    <row r="1712" spans="7:8" x14ac:dyDescent="0.3">
      <c r="G1712" s="24">
        <v>1700</v>
      </c>
      <c r="H1712">
        <f t="shared" ca="1" si="29"/>
        <v>-0.11347627925078876</v>
      </c>
    </row>
    <row r="1713" spans="7:8" x14ac:dyDescent="0.3">
      <c r="G1713" s="24">
        <v>1701</v>
      </c>
      <c r="H1713">
        <f t="shared" ca="1" si="29"/>
        <v>-4.1008691624427822E-2</v>
      </c>
    </row>
    <row r="1714" spans="7:8" x14ac:dyDescent="0.3">
      <c r="G1714" s="24">
        <v>1702</v>
      </c>
      <c r="H1714">
        <f t="shared" ca="1" si="29"/>
        <v>0.14655175505471682</v>
      </c>
    </row>
    <row r="1715" spans="7:8" x14ac:dyDescent="0.3">
      <c r="G1715" s="24">
        <v>1703</v>
      </c>
      <c r="H1715">
        <f t="shared" ca="1" si="29"/>
        <v>5.9665316621789852E-2</v>
      </c>
    </row>
    <row r="1716" spans="7:8" x14ac:dyDescent="0.3">
      <c r="G1716" s="24">
        <v>1704</v>
      </c>
      <c r="H1716">
        <f t="shared" ca="1" si="29"/>
        <v>-1.9109054829603941E-2</v>
      </c>
    </row>
    <row r="1717" spans="7:8" x14ac:dyDescent="0.3">
      <c r="G1717" s="24">
        <v>1705</v>
      </c>
      <c r="H1717">
        <f t="shared" ca="1" si="29"/>
        <v>9.0132020661735535E-2</v>
      </c>
    </row>
    <row r="1718" spans="7:8" x14ac:dyDescent="0.3">
      <c r="G1718" s="24">
        <v>1706</v>
      </c>
      <c r="H1718">
        <f t="shared" ca="1" si="29"/>
        <v>5.9098808958403443E-2</v>
      </c>
    </row>
    <row r="1719" spans="7:8" x14ac:dyDescent="0.3">
      <c r="G1719" s="24">
        <v>1707</v>
      </c>
      <c r="H1719">
        <f t="shared" ca="1" si="29"/>
        <v>4.1418913425622289E-2</v>
      </c>
    </row>
    <row r="1720" spans="7:8" x14ac:dyDescent="0.3">
      <c r="G1720" s="24">
        <v>1708</v>
      </c>
      <c r="H1720">
        <f t="shared" ca="1" si="29"/>
        <v>5.4350605816460437E-2</v>
      </c>
    </row>
    <row r="1721" spans="7:8" x14ac:dyDescent="0.3">
      <c r="G1721" s="24">
        <v>1709</v>
      </c>
      <c r="H1721">
        <f t="shared" ca="1" si="29"/>
        <v>2.8020854836926769E-2</v>
      </c>
    </row>
    <row r="1722" spans="7:8" x14ac:dyDescent="0.3">
      <c r="G1722" s="24">
        <v>1710</v>
      </c>
      <c r="H1722">
        <f t="shared" ca="1" si="29"/>
        <v>-2.6222325368148201E-2</v>
      </c>
    </row>
    <row r="1723" spans="7:8" x14ac:dyDescent="0.3">
      <c r="G1723" s="24">
        <v>1711</v>
      </c>
      <c r="H1723">
        <f t="shared" ca="1" si="29"/>
        <v>9.2928244448316263E-3</v>
      </c>
    </row>
    <row r="1724" spans="7:8" x14ac:dyDescent="0.3">
      <c r="G1724" s="24">
        <v>1712</v>
      </c>
      <c r="H1724">
        <f t="shared" ca="1" si="29"/>
        <v>-2.6903530335508678E-2</v>
      </c>
    </row>
    <row r="1725" spans="7:8" x14ac:dyDescent="0.3">
      <c r="G1725" s="24">
        <v>1713</v>
      </c>
      <c r="H1725">
        <f t="shared" ca="1" si="29"/>
        <v>0.20902183899968019</v>
      </c>
    </row>
    <row r="1726" spans="7:8" x14ac:dyDescent="0.3">
      <c r="G1726" s="24">
        <v>1714</v>
      </c>
      <c r="H1726">
        <f t="shared" ca="1" si="29"/>
        <v>1.8515247106791154E-2</v>
      </c>
    </row>
    <row r="1727" spans="7:8" x14ac:dyDescent="0.3">
      <c r="G1727" s="24">
        <v>1715</v>
      </c>
      <c r="H1727">
        <f t="shared" ca="1" si="29"/>
        <v>-0.11070805586215929</v>
      </c>
    </row>
    <row r="1728" spans="7:8" x14ac:dyDescent="0.3">
      <c r="G1728" s="24">
        <v>1716</v>
      </c>
      <c r="H1728">
        <f t="shared" ca="1" si="29"/>
        <v>-4.047259343675489E-2</v>
      </c>
    </row>
    <row r="1729" spans="7:8" x14ac:dyDescent="0.3">
      <c r="G1729" s="24">
        <v>1717</v>
      </c>
      <c r="H1729">
        <f t="shared" ca="1" si="29"/>
        <v>-6.3307743750979417E-2</v>
      </c>
    </row>
    <row r="1730" spans="7:8" x14ac:dyDescent="0.3">
      <c r="G1730" s="24">
        <v>1718</v>
      </c>
      <c r="H1730">
        <f t="shared" ca="1" si="29"/>
        <v>-7.2333265240992151E-2</v>
      </c>
    </row>
    <row r="1731" spans="7:8" x14ac:dyDescent="0.3">
      <c r="G1731" s="24">
        <v>1719</v>
      </c>
      <c r="H1731">
        <f t="shared" ca="1" si="29"/>
        <v>-0.11775237024865702</v>
      </c>
    </row>
    <row r="1732" spans="7:8" x14ac:dyDescent="0.3">
      <c r="G1732" s="24">
        <v>1720</v>
      </c>
      <c r="H1732">
        <f t="shared" ca="1" si="29"/>
        <v>-6.2708387192869433E-2</v>
      </c>
    </row>
    <row r="1733" spans="7:8" x14ac:dyDescent="0.3">
      <c r="G1733" s="24">
        <v>1721</v>
      </c>
      <c r="H1733">
        <f t="shared" ca="1" si="29"/>
        <v>-3.8548889112022922E-2</v>
      </c>
    </row>
    <row r="1734" spans="7:8" x14ac:dyDescent="0.3">
      <c r="G1734" s="24">
        <v>1722</v>
      </c>
      <c r="H1734">
        <f t="shared" ca="1" si="29"/>
        <v>3.0058297526215881E-2</v>
      </c>
    </row>
    <row r="1735" spans="7:8" x14ac:dyDescent="0.3">
      <c r="G1735" s="24">
        <v>1723</v>
      </c>
      <c r="H1735">
        <f t="shared" ca="1" si="29"/>
        <v>1.6079645019075939E-2</v>
      </c>
    </row>
    <row r="1736" spans="7:8" x14ac:dyDescent="0.3">
      <c r="G1736" s="24">
        <v>1724</v>
      </c>
      <c r="H1736">
        <f t="shared" ca="1" si="29"/>
        <v>9.2158510052988335E-2</v>
      </c>
    </row>
    <row r="1737" spans="7:8" x14ac:dyDescent="0.3">
      <c r="G1737" s="24">
        <v>1725</v>
      </c>
      <c r="H1737">
        <f t="shared" ca="1" si="29"/>
        <v>-2.9400089061766912E-2</v>
      </c>
    </row>
    <row r="1738" spans="7:8" x14ac:dyDescent="0.3">
      <c r="G1738" s="24">
        <v>1726</v>
      </c>
      <c r="H1738">
        <f t="shared" ca="1" si="29"/>
        <v>0.10155741384702716</v>
      </c>
    </row>
    <row r="1739" spans="7:8" x14ac:dyDescent="0.3">
      <c r="G1739" s="24">
        <v>1727</v>
      </c>
      <c r="H1739">
        <f t="shared" ca="1" si="29"/>
        <v>-7.3611788586219778E-2</v>
      </c>
    </row>
    <row r="1740" spans="7:8" x14ac:dyDescent="0.3">
      <c r="G1740" s="24">
        <v>1728</v>
      </c>
      <c r="H1740">
        <f t="shared" ca="1" si="29"/>
        <v>2.6947915842407702E-2</v>
      </c>
    </row>
    <row r="1741" spans="7:8" x14ac:dyDescent="0.3">
      <c r="G1741" s="24">
        <v>1729</v>
      </c>
      <c r="H1741">
        <f t="shared" ca="1" si="29"/>
        <v>7.2691948261439501E-2</v>
      </c>
    </row>
    <row r="1742" spans="7:8" x14ac:dyDescent="0.3">
      <c r="G1742" s="24">
        <v>1730</v>
      </c>
      <c r="H1742">
        <f t="shared" ref="H1742:H1805" ca="1" si="30">_xlfn.NORM.INV(RAND(),N$13,N$14)</f>
        <v>1.6633897881301114E-2</v>
      </c>
    </row>
    <row r="1743" spans="7:8" x14ac:dyDescent="0.3">
      <c r="G1743" s="24">
        <v>1731</v>
      </c>
      <c r="H1743">
        <f t="shared" ca="1" si="30"/>
        <v>-2.9228430998980291E-3</v>
      </c>
    </row>
    <row r="1744" spans="7:8" x14ac:dyDescent="0.3">
      <c r="G1744" s="24">
        <v>1732</v>
      </c>
      <c r="H1744">
        <f t="shared" ca="1" si="30"/>
        <v>8.0618468091102152E-2</v>
      </c>
    </row>
    <row r="1745" spans="7:8" x14ac:dyDescent="0.3">
      <c r="G1745" s="24">
        <v>1733</v>
      </c>
      <c r="H1745">
        <f t="shared" ca="1" si="30"/>
        <v>-9.6715212943488685E-2</v>
      </c>
    </row>
    <row r="1746" spans="7:8" x14ac:dyDescent="0.3">
      <c r="G1746" s="24">
        <v>1734</v>
      </c>
      <c r="H1746">
        <f t="shared" ca="1" si="30"/>
        <v>6.8261154068250035E-2</v>
      </c>
    </row>
    <row r="1747" spans="7:8" x14ac:dyDescent="0.3">
      <c r="G1747" s="24">
        <v>1735</v>
      </c>
      <c r="H1747">
        <f t="shared" ca="1" si="30"/>
        <v>8.6755084824628473E-2</v>
      </c>
    </row>
    <row r="1748" spans="7:8" x14ac:dyDescent="0.3">
      <c r="G1748" s="24">
        <v>1736</v>
      </c>
      <c r="H1748">
        <f t="shared" ca="1" si="30"/>
        <v>0.12864403677649072</v>
      </c>
    </row>
    <row r="1749" spans="7:8" x14ac:dyDescent="0.3">
      <c r="G1749" s="24">
        <v>1737</v>
      </c>
      <c r="H1749">
        <f t="shared" ca="1" si="30"/>
        <v>7.2733390027335757E-3</v>
      </c>
    </row>
    <row r="1750" spans="7:8" x14ac:dyDescent="0.3">
      <c r="G1750" s="24">
        <v>1738</v>
      </c>
      <c r="H1750">
        <f t="shared" ca="1" si="30"/>
        <v>5.8657493784838016E-3</v>
      </c>
    </row>
    <row r="1751" spans="7:8" x14ac:dyDescent="0.3">
      <c r="G1751" s="24">
        <v>1739</v>
      </c>
      <c r="H1751">
        <f t="shared" ca="1" si="30"/>
        <v>-1.7083157931877788E-2</v>
      </c>
    </row>
    <row r="1752" spans="7:8" x14ac:dyDescent="0.3">
      <c r="G1752" s="24">
        <v>1740</v>
      </c>
      <c r="H1752">
        <f t="shared" ca="1" si="30"/>
        <v>-6.599419141810868E-2</v>
      </c>
    </row>
    <row r="1753" spans="7:8" x14ac:dyDescent="0.3">
      <c r="G1753" s="24">
        <v>1741</v>
      </c>
      <c r="H1753">
        <f t="shared" ca="1" si="30"/>
        <v>-2.9670560227638487E-2</v>
      </c>
    </row>
    <row r="1754" spans="7:8" x14ac:dyDescent="0.3">
      <c r="G1754" s="24">
        <v>1742</v>
      </c>
      <c r="H1754">
        <f t="shared" ca="1" si="30"/>
        <v>-0.13718355365634449</v>
      </c>
    </row>
    <row r="1755" spans="7:8" x14ac:dyDescent="0.3">
      <c r="G1755" s="24">
        <v>1743</v>
      </c>
      <c r="H1755">
        <f t="shared" ca="1" si="30"/>
        <v>-6.6267620477981432E-2</v>
      </c>
    </row>
    <row r="1756" spans="7:8" x14ac:dyDescent="0.3">
      <c r="G1756" s="24">
        <v>1744</v>
      </c>
      <c r="H1756">
        <f t="shared" ca="1" si="30"/>
        <v>-5.7897227646686721E-2</v>
      </c>
    </row>
    <row r="1757" spans="7:8" x14ac:dyDescent="0.3">
      <c r="G1757" s="24">
        <v>1745</v>
      </c>
      <c r="H1757">
        <f t="shared" ca="1" si="30"/>
        <v>2.984860545872622E-2</v>
      </c>
    </row>
    <row r="1758" spans="7:8" x14ac:dyDescent="0.3">
      <c r="G1758" s="24">
        <v>1746</v>
      </c>
      <c r="H1758">
        <f t="shared" ca="1" si="30"/>
        <v>-3.2138421986101152E-2</v>
      </c>
    </row>
    <row r="1759" spans="7:8" x14ac:dyDescent="0.3">
      <c r="G1759" s="24">
        <v>1747</v>
      </c>
      <c r="H1759">
        <f t="shared" ca="1" si="30"/>
        <v>2.6714208400986334E-2</v>
      </c>
    </row>
    <row r="1760" spans="7:8" x14ac:dyDescent="0.3">
      <c r="G1760" s="24">
        <v>1748</v>
      </c>
      <c r="H1760">
        <f t="shared" ca="1" si="30"/>
        <v>-1.6415038572481479E-2</v>
      </c>
    </row>
    <row r="1761" spans="7:8" x14ac:dyDescent="0.3">
      <c r="G1761" s="24">
        <v>1749</v>
      </c>
      <c r="H1761">
        <f t="shared" ca="1" si="30"/>
        <v>1.1345712828962705E-2</v>
      </c>
    </row>
    <row r="1762" spans="7:8" x14ac:dyDescent="0.3">
      <c r="G1762" s="24">
        <v>1750</v>
      </c>
      <c r="H1762">
        <f t="shared" ca="1" si="30"/>
        <v>8.8907730698704265E-2</v>
      </c>
    </row>
    <row r="1763" spans="7:8" x14ac:dyDescent="0.3">
      <c r="G1763" s="24">
        <v>1751</v>
      </c>
      <c r="H1763">
        <f t="shared" ca="1" si="30"/>
        <v>9.7416524103059496E-2</v>
      </c>
    </row>
    <row r="1764" spans="7:8" x14ac:dyDescent="0.3">
      <c r="G1764" s="24">
        <v>1752</v>
      </c>
      <c r="H1764">
        <f t="shared" ca="1" si="30"/>
        <v>-0.10056587797228281</v>
      </c>
    </row>
    <row r="1765" spans="7:8" x14ac:dyDescent="0.3">
      <c r="G1765" s="24">
        <v>1753</v>
      </c>
      <c r="H1765">
        <f t="shared" ca="1" si="30"/>
        <v>6.5652479886306445E-2</v>
      </c>
    </row>
    <row r="1766" spans="7:8" x14ac:dyDescent="0.3">
      <c r="G1766" s="24">
        <v>1754</v>
      </c>
      <c r="H1766">
        <f t="shared" ca="1" si="30"/>
        <v>5.0417972144256328E-2</v>
      </c>
    </row>
    <row r="1767" spans="7:8" x14ac:dyDescent="0.3">
      <c r="G1767" s="24">
        <v>1755</v>
      </c>
      <c r="H1767">
        <f t="shared" ca="1" si="30"/>
        <v>7.0852593335981207E-2</v>
      </c>
    </row>
    <row r="1768" spans="7:8" x14ac:dyDescent="0.3">
      <c r="G1768" s="24">
        <v>1756</v>
      </c>
      <c r="H1768">
        <f t="shared" ca="1" si="30"/>
        <v>3.6107755788394175E-2</v>
      </c>
    </row>
    <row r="1769" spans="7:8" x14ac:dyDescent="0.3">
      <c r="G1769" s="24">
        <v>1757</v>
      </c>
      <c r="H1769">
        <f t="shared" ca="1" si="30"/>
        <v>2.9554419137641629E-2</v>
      </c>
    </row>
    <row r="1770" spans="7:8" x14ac:dyDescent="0.3">
      <c r="G1770" s="24">
        <v>1758</v>
      </c>
      <c r="H1770">
        <f t="shared" ca="1" si="30"/>
        <v>0.14108236916825748</v>
      </c>
    </row>
    <row r="1771" spans="7:8" x14ac:dyDescent="0.3">
      <c r="G1771" s="24">
        <v>1759</v>
      </c>
      <c r="H1771">
        <f t="shared" ca="1" si="30"/>
        <v>7.6673270786165551E-2</v>
      </c>
    </row>
    <row r="1772" spans="7:8" x14ac:dyDescent="0.3">
      <c r="G1772" s="24">
        <v>1760</v>
      </c>
      <c r="H1772">
        <f t="shared" ca="1" si="30"/>
        <v>-9.2435380533928205E-2</v>
      </c>
    </row>
    <row r="1773" spans="7:8" x14ac:dyDescent="0.3">
      <c r="G1773" s="24">
        <v>1761</v>
      </c>
      <c r="H1773">
        <f t="shared" ca="1" si="30"/>
        <v>9.4200732899399592E-2</v>
      </c>
    </row>
    <row r="1774" spans="7:8" x14ac:dyDescent="0.3">
      <c r="G1774" s="24">
        <v>1762</v>
      </c>
      <c r="H1774">
        <f t="shared" ca="1" si="30"/>
        <v>3.620995921687413E-2</v>
      </c>
    </row>
    <row r="1775" spans="7:8" x14ac:dyDescent="0.3">
      <c r="G1775" s="24">
        <v>1763</v>
      </c>
      <c r="H1775">
        <f t="shared" ca="1" si="30"/>
        <v>5.9263256651840387E-2</v>
      </c>
    </row>
    <row r="1776" spans="7:8" x14ac:dyDescent="0.3">
      <c r="G1776" s="24">
        <v>1764</v>
      </c>
      <c r="H1776">
        <f t="shared" ca="1" si="30"/>
        <v>1.9667178912489522E-2</v>
      </c>
    </row>
    <row r="1777" spans="7:8" x14ac:dyDescent="0.3">
      <c r="G1777" s="24">
        <v>1765</v>
      </c>
      <c r="H1777">
        <f t="shared" ca="1" si="30"/>
        <v>-7.2466142478117349E-2</v>
      </c>
    </row>
    <row r="1778" spans="7:8" x14ac:dyDescent="0.3">
      <c r="G1778" s="24">
        <v>1766</v>
      </c>
      <c r="H1778">
        <f t="shared" ca="1" si="30"/>
        <v>5.6769419560463354E-3</v>
      </c>
    </row>
    <row r="1779" spans="7:8" x14ac:dyDescent="0.3">
      <c r="G1779" s="24">
        <v>1767</v>
      </c>
      <c r="H1779">
        <f t="shared" ca="1" si="30"/>
        <v>0.12873900461120522</v>
      </c>
    </row>
    <row r="1780" spans="7:8" x14ac:dyDescent="0.3">
      <c r="G1780" s="24">
        <v>1768</v>
      </c>
      <c r="H1780">
        <f t="shared" ca="1" si="30"/>
        <v>-3.1091892718543841E-3</v>
      </c>
    </row>
    <row r="1781" spans="7:8" x14ac:dyDescent="0.3">
      <c r="G1781" s="24">
        <v>1769</v>
      </c>
      <c r="H1781">
        <f t="shared" ca="1" si="30"/>
        <v>-2.6899892439043012E-2</v>
      </c>
    </row>
    <row r="1782" spans="7:8" x14ac:dyDescent="0.3">
      <c r="G1782" s="24">
        <v>1770</v>
      </c>
      <c r="H1782">
        <f t="shared" ca="1" si="30"/>
        <v>0.11525972513383867</v>
      </c>
    </row>
    <row r="1783" spans="7:8" x14ac:dyDescent="0.3">
      <c r="G1783" s="24">
        <v>1771</v>
      </c>
      <c r="H1783">
        <f t="shared" ca="1" si="30"/>
        <v>2.8481452877476696E-2</v>
      </c>
    </row>
    <row r="1784" spans="7:8" x14ac:dyDescent="0.3">
      <c r="G1784" s="24">
        <v>1772</v>
      </c>
      <c r="H1784">
        <f t="shared" ca="1" si="30"/>
        <v>6.9138531644664492E-2</v>
      </c>
    </row>
    <row r="1785" spans="7:8" x14ac:dyDescent="0.3">
      <c r="G1785" s="24">
        <v>1773</v>
      </c>
      <c r="H1785">
        <f t="shared" ca="1" si="30"/>
        <v>1.3548821731136763E-2</v>
      </c>
    </row>
    <row r="1786" spans="7:8" x14ac:dyDescent="0.3">
      <c r="G1786" s="24">
        <v>1774</v>
      </c>
      <c r="H1786">
        <f t="shared" ca="1" si="30"/>
        <v>-0.16206978165903094</v>
      </c>
    </row>
    <row r="1787" spans="7:8" x14ac:dyDescent="0.3">
      <c r="G1787" s="24">
        <v>1775</v>
      </c>
      <c r="H1787">
        <f t="shared" ca="1" si="30"/>
        <v>5.7660586973674502E-2</v>
      </c>
    </row>
    <row r="1788" spans="7:8" x14ac:dyDescent="0.3">
      <c r="G1788" s="24">
        <v>1776</v>
      </c>
      <c r="H1788">
        <f t="shared" ca="1" si="30"/>
        <v>-1.5145874902414962E-2</v>
      </c>
    </row>
    <row r="1789" spans="7:8" x14ac:dyDescent="0.3">
      <c r="G1789" s="24">
        <v>1777</v>
      </c>
      <c r="H1789">
        <f t="shared" ca="1" si="30"/>
        <v>-4.4550664956162798E-2</v>
      </c>
    </row>
    <row r="1790" spans="7:8" x14ac:dyDescent="0.3">
      <c r="G1790" s="24">
        <v>1778</v>
      </c>
      <c r="H1790">
        <f t="shared" ca="1" si="30"/>
        <v>-6.3686951066634023E-2</v>
      </c>
    </row>
    <row r="1791" spans="7:8" x14ac:dyDescent="0.3">
      <c r="G1791" s="24">
        <v>1779</v>
      </c>
      <c r="H1791">
        <f t="shared" ca="1" si="30"/>
        <v>1.3620439513117755E-2</v>
      </c>
    </row>
    <row r="1792" spans="7:8" x14ac:dyDescent="0.3">
      <c r="G1792" s="24">
        <v>1780</v>
      </c>
      <c r="H1792">
        <f t="shared" ca="1" si="30"/>
        <v>5.6068637807937007E-2</v>
      </c>
    </row>
    <row r="1793" spans="7:8" x14ac:dyDescent="0.3">
      <c r="G1793" s="24">
        <v>1781</v>
      </c>
      <c r="H1793">
        <f t="shared" ca="1" si="30"/>
        <v>-4.4454950806955593E-2</v>
      </c>
    </row>
    <row r="1794" spans="7:8" x14ac:dyDescent="0.3">
      <c r="G1794" s="24">
        <v>1782</v>
      </c>
      <c r="H1794">
        <f t="shared" ca="1" si="30"/>
        <v>-4.4638162740582209E-2</v>
      </c>
    </row>
    <row r="1795" spans="7:8" x14ac:dyDescent="0.3">
      <c r="G1795" s="24">
        <v>1783</v>
      </c>
      <c r="H1795">
        <f t="shared" ca="1" si="30"/>
        <v>-3.5072061586143968E-2</v>
      </c>
    </row>
    <row r="1796" spans="7:8" x14ac:dyDescent="0.3">
      <c r="G1796" s="24">
        <v>1784</v>
      </c>
      <c r="H1796">
        <f t="shared" ca="1" si="30"/>
        <v>-3.1989844132647251E-2</v>
      </c>
    </row>
    <row r="1797" spans="7:8" x14ac:dyDescent="0.3">
      <c r="G1797" s="24">
        <v>1785</v>
      </c>
      <c r="H1797">
        <f t="shared" ca="1" si="30"/>
        <v>-7.1009789424752459E-2</v>
      </c>
    </row>
    <row r="1798" spans="7:8" x14ac:dyDescent="0.3">
      <c r="G1798" s="24">
        <v>1786</v>
      </c>
      <c r="H1798">
        <f t="shared" ca="1" si="30"/>
        <v>0.16241146528848166</v>
      </c>
    </row>
    <row r="1799" spans="7:8" x14ac:dyDescent="0.3">
      <c r="G1799" s="24">
        <v>1787</v>
      </c>
      <c r="H1799">
        <f t="shared" ca="1" si="30"/>
        <v>8.5016439672711379E-3</v>
      </c>
    </row>
    <row r="1800" spans="7:8" x14ac:dyDescent="0.3">
      <c r="G1800" s="24">
        <v>1788</v>
      </c>
      <c r="H1800">
        <f t="shared" ca="1" si="30"/>
        <v>-1.2449134794991283E-2</v>
      </c>
    </row>
    <row r="1801" spans="7:8" x14ac:dyDescent="0.3">
      <c r="G1801" s="24">
        <v>1789</v>
      </c>
      <c r="H1801">
        <f t="shared" ca="1" si="30"/>
        <v>4.0359772065590813E-2</v>
      </c>
    </row>
    <row r="1802" spans="7:8" x14ac:dyDescent="0.3">
      <c r="G1802" s="24">
        <v>1790</v>
      </c>
      <c r="H1802">
        <f t="shared" ca="1" si="30"/>
        <v>2.0985255317793335E-2</v>
      </c>
    </row>
    <row r="1803" spans="7:8" x14ac:dyDescent="0.3">
      <c r="G1803" s="24">
        <v>1791</v>
      </c>
      <c r="H1803">
        <f t="shared" ca="1" si="30"/>
        <v>0.14304039973399454</v>
      </c>
    </row>
    <row r="1804" spans="7:8" x14ac:dyDescent="0.3">
      <c r="G1804" s="24">
        <v>1792</v>
      </c>
      <c r="H1804">
        <f t="shared" ca="1" si="30"/>
        <v>6.7776768290206971E-2</v>
      </c>
    </row>
    <row r="1805" spans="7:8" x14ac:dyDescent="0.3">
      <c r="G1805" s="24">
        <v>1793</v>
      </c>
      <c r="H1805">
        <f t="shared" ca="1" si="30"/>
        <v>5.3718317425103114E-2</v>
      </c>
    </row>
    <row r="1806" spans="7:8" x14ac:dyDescent="0.3">
      <c r="G1806" s="24">
        <v>1794</v>
      </c>
      <c r="H1806">
        <f t="shared" ref="H1806:H1869" ca="1" si="31">_xlfn.NORM.INV(RAND(),N$13,N$14)</f>
        <v>-0.12931482828279725</v>
      </c>
    </row>
    <row r="1807" spans="7:8" x14ac:dyDescent="0.3">
      <c r="G1807" s="24">
        <v>1795</v>
      </c>
      <c r="H1807">
        <f t="shared" ca="1" si="31"/>
        <v>-8.3866966684274652E-2</v>
      </c>
    </row>
    <row r="1808" spans="7:8" x14ac:dyDescent="0.3">
      <c r="G1808" s="24">
        <v>1796</v>
      </c>
      <c r="H1808">
        <f t="shared" ca="1" si="31"/>
        <v>-1.7724487779575377E-2</v>
      </c>
    </row>
    <row r="1809" spans="7:8" x14ac:dyDescent="0.3">
      <c r="G1809" s="24">
        <v>1797</v>
      </c>
      <c r="H1809">
        <f t="shared" ca="1" si="31"/>
        <v>8.7776606809106365E-3</v>
      </c>
    </row>
    <row r="1810" spans="7:8" x14ac:dyDescent="0.3">
      <c r="G1810" s="24">
        <v>1798</v>
      </c>
      <c r="H1810">
        <f t="shared" ca="1" si="31"/>
        <v>-8.9573431091096209E-2</v>
      </c>
    </row>
    <row r="1811" spans="7:8" x14ac:dyDescent="0.3">
      <c r="G1811" s="24">
        <v>1799</v>
      </c>
      <c r="H1811">
        <f t="shared" ca="1" si="31"/>
        <v>8.3523278381315777E-2</v>
      </c>
    </row>
    <row r="1812" spans="7:8" x14ac:dyDescent="0.3">
      <c r="G1812" s="24">
        <v>1800</v>
      </c>
      <c r="H1812">
        <f t="shared" ca="1" si="31"/>
        <v>8.9732303025024593E-3</v>
      </c>
    </row>
    <row r="1813" spans="7:8" x14ac:dyDescent="0.3">
      <c r="G1813" s="24">
        <v>1801</v>
      </c>
      <c r="H1813">
        <f t="shared" ca="1" si="31"/>
        <v>9.2706207844371974E-2</v>
      </c>
    </row>
    <row r="1814" spans="7:8" x14ac:dyDescent="0.3">
      <c r="G1814" s="24">
        <v>1802</v>
      </c>
      <c r="H1814">
        <f t="shared" ca="1" si="31"/>
        <v>0.14001963355419439</v>
      </c>
    </row>
    <row r="1815" spans="7:8" x14ac:dyDescent="0.3">
      <c r="G1815" s="24">
        <v>1803</v>
      </c>
      <c r="H1815">
        <f t="shared" ca="1" si="31"/>
        <v>6.153425373019026E-3</v>
      </c>
    </row>
    <row r="1816" spans="7:8" x14ac:dyDescent="0.3">
      <c r="G1816" s="24">
        <v>1804</v>
      </c>
      <c r="H1816">
        <f t="shared" ca="1" si="31"/>
        <v>-3.0797433927564111E-2</v>
      </c>
    </row>
    <row r="1817" spans="7:8" x14ac:dyDescent="0.3">
      <c r="G1817" s="24">
        <v>1805</v>
      </c>
      <c r="H1817">
        <f t="shared" ca="1" si="31"/>
        <v>-3.0738229141511458E-2</v>
      </c>
    </row>
    <row r="1818" spans="7:8" x14ac:dyDescent="0.3">
      <c r="G1818" s="24">
        <v>1806</v>
      </c>
      <c r="H1818">
        <f t="shared" ca="1" si="31"/>
        <v>3.616475836525769E-2</v>
      </c>
    </row>
    <row r="1819" spans="7:8" x14ac:dyDescent="0.3">
      <c r="G1819" s="24">
        <v>1807</v>
      </c>
      <c r="H1819">
        <f t="shared" ca="1" si="31"/>
        <v>2.292663014239165E-2</v>
      </c>
    </row>
    <row r="1820" spans="7:8" x14ac:dyDescent="0.3">
      <c r="G1820" s="24">
        <v>1808</v>
      </c>
      <c r="H1820">
        <f t="shared" ca="1" si="31"/>
        <v>5.952293876566795E-2</v>
      </c>
    </row>
    <row r="1821" spans="7:8" x14ac:dyDescent="0.3">
      <c r="G1821" s="24">
        <v>1809</v>
      </c>
      <c r="H1821">
        <f t="shared" ca="1" si="31"/>
        <v>7.6216474415124663E-2</v>
      </c>
    </row>
    <row r="1822" spans="7:8" x14ac:dyDescent="0.3">
      <c r="G1822" s="24">
        <v>1810</v>
      </c>
      <c r="H1822">
        <f t="shared" ca="1" si="31"/>
        <v>-6.7173580369813718E-2</v>
      </c>
    </row>
    <row r="1823" spans="7:8" x14ac:dyDescent="0.3">
      <c r="G1823" s="24">
        <v>1811</v>
      </c>
      <c r="H1823">
        <f t="shared" ca="1" si="31"/>
        <v>9.1442589329022786E-2</v>
      </c>
    </row>
    <row r="1824" spans="7:8" x14ac:dyDescent="0.3">
      <c r="G1824" s="24">
        <v>1812</v>
      </c>
      <c r="H1824">
        <f t="shared" ca="1" si="31"/>
        <v>2.1961070762927679E-2</v>
      </c>
    </row>
    <row r="1825" spans="7:8" x14ac:dyDescent="0.3">
      <c r="G1825" s="24">
        <v>1813</v>
      </c>
      <c r="H1825">
        <f t="shared" ca="1" si="31"/>
        <v>1.2962438745073366E-2</v>
      </c>
    </row>
    <row r="1826" spans="7:8" x14ac:dyDescent="0.3">
      <c r="G1826" s="24">
        <v>1814</v>
      </c>
      <c r="H1826">
        <f t="shared" ca="1" si="31"/>
        <v>-7.826027111464974E-2</v>
      </c>
    </row>
    <row r="1827" spans="7:8" x14ac:dyDescent="0.3">
      <c r="G1827" s="24">
        <v>1815</v>
      </c>
      <c r="H1827">
        <f t="shared" ca="1" si="31"/>
        <v>2.8460044162371828E-3</v>
      </c>
    </row>
    <row r="1828" spans="7:8" x14ac:dyDescent="0.3">
      <c r="G1828" s="24">
        <v>1816</v>
      </c>
      <c r="H1828">
        <f t="shared" ca="1" si="31"/>
        <v>-7.0447134171882697E-2</v>
      </c>
    </row>
    <row r="1829" spans="7:8" x14ac:dyDescent="0.3">
      <c r="G1829" s="24">
        <v>1817</v>
      </c>
      <c r="H1829">
        <f t="shared" ca="1" si="31"/>
        <v>-2.2086574739422567E-3</v>
      </c>
    </row>
    <row r="1830" spans="7:8" x14ac:dyDescent="0.3">
      <c r="G1830" s="24">
        <v>1818</v>
      </c>
      <c r="H1830">
        <f t="shared" ca="1" si="31"/>
        <v>-1.3952102674022939E-2</v>
      </c>
    </row>
    <row r="1831" spans="7:8" x14ac:dyDescent="0.3">
      <c r="G1831" s="24">
        <v>1819</v>
      </c>
      <c r="H1831">
        <f t="shared" ca="1" si="31"/>
        <v>7.2958949251669555E-2</v>
      </c>
    </row>
    <row r="1832" spans="7:8" x14ac:dyDescent="0.3">
      <c r="G1832" s="24">
        <v>1820</v>
      </c>
      <c r="H1832">
        <f t="shared" ca="1" si="31"/>
        <v>-8.3315005942231429E-2</v>
      </c>
    </row>
    <row r="1833" spans="7:8" x14ac:dyDescent="0.3">
      <c r="G1833" s="24">
        <v>1821</v>
      </c>
      <c r="H1833">
        <f t="shared" ca="1" si="31"/>
        <v>7.6415830259259451E-2</v>
      </c>
    </row>
    <row r="1834" spans="7:8" x14ac:dyDescent="0.3">
      <c r="G1834" s="24">
        <v>1822</v>
      </c>
      <c r="H1834">
        <f t="shared" ca="1" si="31"/>
        <v>-8.1854116730122987E-3</v>
      </c>
    </row>
    <row r="1835" spans="7:8" x14ac:dyDescent="0.3">
      <c r="G1835" s="24">
        <v>1823</v>
      </c>
      <c r="H1835">
        <f t="shared" ca="1" si="31"/>
        <v>7.6844476042977117E-2</v>
      </c>
    </row>
    <row r="1836" spans="7:8" x14ac:dyDescent="0.3">
      <c r="G1836" s="24">
        <v>1824</v>
      </c>
      <c r="H1836">
        <f t="shared" ca="1" si="31"/>
        <v>-0.11142546054345373</v>
      </c>
    </row>
    <row r="1837" spans="7:8" x14ac:dyDescent="0.3">
      <c r="G1837" s="24">
        <v>1825</v>
      </c>
      <c r="H1837">
        <f t="shared" ca="1" si="31"/>
        <v>4.4938654015816232E-2</v>
      </c>
    </row>
    <row r="1838" spans="7:8" x14ac:dyDescent="0.3">
      <c r="G1838" s="24">
        <v>1826</v>
      </c>
      <c r="H1838">
        <f t="shared" ca="1" si="31"/>
        <v>0.13838690186108879</v>
      </c>
    </row>
    <row r="1839" spans="7:8" x14ac:dyDescent="0.3">
      <c r="G1839" s="24">
        <v>1827</v>
      </c>
      <c r="H1839">
        <f t="shared" ca="1" si="31"/>
        <v>9.9169014192154233E-3</v>
      </c>
    </row>
    <row r="1840" spans="7:8" x14ac:dyDescent="0.3">
      <c r="G1840" s="24">
        <v>1828</v>
      </c>
      <c r="H1840">
        <f t="shared" ca="1" si="31"/>
        <v>7.3495998606403753E-2</v>
      </c>
    </row>
    <row r="1841" spans="7:8" x14ac:dyDescent="0.3">
      <c r="G1841" s="24">
        <v>1829</v>
      </c>
      <c r="H1841">
        <f t="shared" ca="1" si="31"/>
        <v>2.0077955510651932E-2</v>
      </c>
    </row>
    <row r="1842" spans="7:8" x14ac:dyDescent="0.3">
      <c r="G1842" s="24">
        <v>1830</v>
      </c>
      <c r="H1842">
        <f t="shared" ca="1" si="31"/>
        <v>-6.6772790608550774E-3</v>
      </c>
    </row>
    <row r="1843" spans="7:8" x14ac:dyDescent="0.3">
      <c r="G1843" s="24">
        <v>1831</v>
      </c>
      <c r="H1843">
        <f t="shared" ca="1" si="31"/>
        <v>-4.4334351253846001E-2</v>
      </c>
    </row>
    <row r="1844" spans="7:8" x14ac:dyDescent="0.3">
      <c r="G1844" s="24">
        <v>1832</v>
      </c>
      <c r="H1844">
        <f t="shared" ca="1" si="31"/>
        <v>-4.4620283354063796E-2</v>
      </c>
    </row>
    <row r="1845" spans="7:8" x14ac:dyDescent="0.3">
      <c r="G1845" s="24">
        <v>1833</v>
      </c>
      <c r="H1845">
        <f t="shared" ca="1" si="31"/>
        <v>6.8593819300870842E-2</v>
      </c>
    </row>
    <row r="1846" spans="7:8" x14ac:dyDescent="0.3">
      <c r="G1846" s="24">
        <v>1834</v>
      </c>
      <c r="H1846">
        <f t="shared" ca="1" si="31"/>
        <v>8.9990751626629392E-3</v>
      </c>
    </row>
    <row r="1847" spans="7:8" x14ac:dyDescent="0.3">
      <c r="G1847" s="24">
        <v>1835</v>
      </c>
      <c r="H1847">
        <f t="shared" ca="1" si="31"/>
        <v>6.1680931031853365E-3</v>
      </c>
    </row>
    <row r="1848" spans="7:8" x14ac:dyDescent="0.3">
      <c r="G1848" s="24">
        <v>1836</v>
      </c>
      <c r="H1848">
        <f t="shared" ca="1" si="31"/>
        <v>-0.14213736230865984</v>
      </c>
    </row>
    <row r="1849" spans="7:8" x14ac:dyDescent="0.3">
      <c r="G1849" s="24">
        <v>1837</v>
      </c>
      <c r="H1849">
        <f t="shared" ca="1" si="31"/>
        <v>-4.9073762730295872E-2</v>
      </c>
    </row>
    <row r="1850" spans="7:8" x14ac:dyDescent="0.3">
      <c r="G1850" s="24">
        <v>1838</v>
      </c>
      <c r="H1850">
        <f t="shared" ca="1" si="31"/>
        <v>-1.8091022747496147E-2</v>
      </c>
    </row>
    <row r="1851" spans="7:8" x14ac:dyDescent="0.3">
      <c r="G1851" s="24">
        <v>1839</v>
      </c>
      <c r="H1851">
        <f t="shared" ca="1" si="31"/>
        <v>-6.8515932197105556E-2</v>
      </c>
    </row>
    <row r="1852" spans="7:8" x14ac:dyDescent="0.3">
      <c r="G1852" s="24">
        <v>1840</v>
      </c>
      <c r="H1852">
        <f t="shared" ca="1" si="31"/>
        <v>-5.8123324727985683E-2</v>
      </c>
    </row>
    <row r="1853" spans="7:8" x14ac:dyDescent="0.3">
      <c r="G1853" s="24">
        <v>1841</v>
      </c>
      <c r="H1853">
        <f t="shared" ca="1" si="31"/>
        <v>-0.12038335908264768</v>
      </c>
    </row>
    <row r="1854" spans="7:8" x14ac:dyDescent="0.3">
      <c r="G1854" s="24">
        <v>1842</v>
      </c>
      <c r="H1854">
        <f t="shared" ca="1" si="31"/>
        <v>-5.3118059831846406E-2</v>
      </c>
    </row>
    <row r="1855" spans="7:8" x14ac:dyDescent="0.3">
      <c r="G1855" s="24">
        <v>1843</v>
      </c>
      <c r="H1855">
        <f t="shared" ca="1" si="31"/>
        <v>3.526110518583965E-2</v>
      </c>
    </row>
    <row r="1856" spans="7:8" x14ac:dyDescent="0.3">
      <c r="G1856" s="24">
        <v>1844</v>
      </c>
      <c r="H1856">
        <f t="shared" ca="1" si="31"/>
        <v>-0.13535503428433487</v>
      </c>
    </row>
    <row r="1857" spans="7:8" x14ac:dyDescent="0.3">
      <c r="G1857" s="24">
        <v>1845</v>
      </c>
      <c r="H1857">
        <f t="shared" ca="1" si="31"/>
        <v>2.4699683577437948E-2</v>
      </c>
    </row>
    <row r="1858" spans="7:8" x14ac:dyDescent="0.3">
      <c r="G1858" s="24">
        <v>1846</v>
      </c>
      <c r="H1858">
        <f t="shared" ca="1" si="31"/>
        <v>0.15074015801698099</v>
      </c>
    </row>
    <row r="1859" spans="7:8" x14ac:dyDescent="0.3">
      <c r="G1859" s="24">
        <v>1847</v>
      </c>
      <c r="H1859">
        <f t="shared" ca="1" si="31"/>
        <v>5.1517644105511816E-2</v>
      </c>
    </row>
    <row r="1860" spans="7:8" x14ac:dyDescent="0.3">
      <c r="G1860" s="24">
        <v>1848</v>
      </c>
      <c r="H1860">
        <f t="shared" ca="1" si="31"/>
        <v>6.0871184569886543E-3</v>
      </c>
    </row>
    <row r="1861" spans="7:8" x14ac:dyDescent="0.3">
      <c r="G1861" s="24">
        <v>1849</v>
      </c>
      <c r="H1861">
        <f t="shared" ca="1" si="31"/>
        <v>9.3561723887774333E-3</v>
      </c>
    </row>
    <row r="1862" spans="7:8" x14ac:dyDescent="0.3">
      <c r="G1862" s="24">
        <v>1850</v>
      </c>
      <c r="H1862">
        <f t="shared" ca="1" si="31"/>
        <v>-9.0975850090348462E-2</v>
      </c>
    </row>
    <row r="1863" spans="7:8" x14ac:dyDescent="0.3">
      <c r="G1863" s="24">
        <v>1851</v>
      </c>
      <c r="H1863">
        <f t="shared" ca="1" si="31"/>
        <v>6.8981074773616424E-2</v>
      </c>
    </row>
    <row r="1864" spans="7:8" x14ac:dyDescent="0.3">
      <c r="G1864" s="24">
        <v>1852</v>
      </c>
      <c r="H1864">
        <f t="shared" ca="1" si="31"/>
        <v>-0.12793584294417745</v>
      </c>
    </row>
    <row r="1865" spans="7:8" x14ac:dyDescent="0.3">
      <c r="G1865" s="24">
        <v>1853</v>
      </c>
      <c r="H1865">
        <f t="shared" ca="1" si="31"/>
        <v>-4.1293133230042418E-2</v>
      </c>
    </row>
    <row r="1866" spans="7:8" x14ac:dyDescent="0.3">
      <c r="G1866" s="24">
        <v>1854</v>
      </c>
      <c r="H1866">
        <f t="shared" ca="1" si="31"/>
        <v>8.8460606796240848E-2</v>
      </c>
    </row>
    <row r="1867" spans="7:8" x14ac:dyDescent="0.3">
      <c r="G1867" s="24">
        <v>1855</v>
      </c>
      <c r="H1867">
        <f t="shared" ca="1" si="31"/>
        <v>-4.0802345287202495E-2</v>
      </c>
    </row>
    <row r="1868" spans="7:8" x14ac:dyDescent="0.3">
      <c r="G1868" s="24">
        <v>1856</v>
      </c>
      <c r="H1868">
        <f t="shared" ca="1" si="31"/>
        <v>2.5862746581464174E-2</v>
      </c>
    </row>
    <row r="1869" spans="7:8" x14ac:dyDescent="0.3">
      <c r="G1869" s="24">
        <v>1857</v>
      </c>
      <c r="H1869">
        <f t="shared" ca="1" si="31"/>
        <v>-3.1172671857033298E-3</v>
      </c>
    </row>
    <row r="1870" spans="7:8" x14ac:dyDescent="0.3">
      <c r="G1870" s="24">
        <v>1858</v>
      </c>
      <c r="H1870">
        <f t="shared" ref="H1870:H1933" ca="1" si="32">_xlfn.NORM.INV(RAND(),N$13,N$14)</f>
        <v>-0.12420411301778389</v>
      </c>
    </row>
    <row r="1871" spans="7:8" x14ac:dyDescent="0.3">
      <c r="G1871" s="24">
        <v>1859</v>
      </c>
      <c r="H1871">
        <f t="shared" ca="1" si="32"/>
        <v>3.5961995405044876E-2</v>
      </c>
    </row>
    <row r="1872" spans="7:8" x14ac:dyDescent="0.3">
      <c r="G1872" s="24">
        <v>1860</v>
      </c>
      <c r="H1872">
        <f t="shared" ca="1" si="32"/>
        <v>0.13588089363477515</v>
      </c>
    </row>
    <row r="1873" spans="7:8" x14ac:dyDescent="0.3">
      <c r="G1873" s="24">
        <v>1861</v>
      </c>
      <c r="H1873">
        <f t="shared" ca="1" si="32"/>
        <v>-0.16064778710163652</v>
      </c>
    </row>
    <row r="1874" spans="7:8" x14ac:dyDescent="0.3">
      <c r="G1874" s="24">
        <v>1862</v>
      </c>
      <c r="H1874">
        <f t="shared" ca="1" si="32"/>
        <v>-6.3904574560924521E-2</v>
      </c>
    </row>
    <row r="1875" spans="7:8" x14ac:dyDescent="0.3">
      <c r="G1875" s="24">
        <v>1863</v>
      </c>
      <c r="H1875">
        <f t="shared" ca="1" si="32"/>
        <v>-3.0313168334379404E-2</v>
      </c>
    </row>
    <row r="1876" spans="7:8" x14ac:dyDescent="0.3">
      <c r="G1876" s="24">
        <v>1864</v>
      </c>
      <c r="H1876">
        <f t="shared" ca="1" si="32"/>
        <v>-4.2616879981032502E-2</v>
      </c>
    </row>
    <row r="1877" spans="7:8" x14ac:dyDescent="0.3">
      <c r="G1877" s="24">
        <v>1865</v>
      </c>
      <c r="H1877">
        <f t="shared" ca="1" si="32"/>
        <v>-6.0818111108257491E-3</v>
      </c>
    </row>
    <row r="1878" spans="7:8" x14ac:dyDescent="0.3">
      <c r="G1878" s="24">
        <v>1866</v>
      </c>
      <c r="H1878">
        <f t="shared" ca="1" si="32"/>
        <v>3.4755327544349811E-2</v>
      </c>
    </row>
    <row r="1879" spans="7:8" x14ac:dyDescent="0.3">
      <c r="G1879" s="24">
        <v>1867</v>
      </c>
      <c r="H1879">
        <f t="shared" ca="1" si="32"/>
        <v>4.1727535172829552E-2</v>
      </c>
    </row>
    <row r="1880" spans="7:8" x14ac:dyDescent="0.3">
      <c r="G1880" s="24">
        <v>1868</v>
      </c>
      <c r="H1880">
        <f t="shared" ca="1" si="32"/>
        <v>0.1355726395901693</v>
      </c>
    </row>
    <row r="1881" spans="7:8" x14ac:dyDescent="0.3">
      <c r="G1881" s="24">
        <v>1869</v>
      </c>
      <c r="H1881">
        <f t="shared" ca="1" si="32"/>
        <v>-1.7770829246409169E-2</v>
      </c>
    </row>
    <row r="1882" spans="7:8" x14ac:dyDescent="0.3">
      <c r="G1882" s="24">
        <v>1870</v>
      </c>
      <c r="H1882">
        <f t="shared" ca="1" si="32"/>
        <v>1.3632966176413528E-2</v>
      </c>
    </row>
    <row r="1883" spans="7:8" x14ac:dyDescent="0.3">
      <c r="G1883" s="24">
        <v>1871</v>
      </c>
      <c r="H1883">
        <f t="shared" ca="1" si="32"/>
        <v>9.9998184609262786E-3</v>
      </c>
    </row>
    <row r="1884" spans="7:8" x14ac:dyDescent="0.3">
      <c r="G1884" s="24">
        <v>1872</v>
      </c>
      <c r="H1884">
        <f t="shared" ca="1" si="32"/>
        <v>0.10405776547413191</v>
      </c>
    </row>
    <row r="1885" spans="7:8" x14ac:dyDescent="0.3">
      <c r="G1885" s="24">
        <v>1873</v>
      </c>
      <c r="H1885">
        <f t="shared" ca="1" si="32"/>
        <v>7.2961627967588399E-2</v>
      </c>
    </row>
    <row r="1886" spans="7:8" x14ac:dyDescent="0.3">
      <c r="G1886" s="24">
        <v>1874</v>
      </c>
      <c r="H1886">
        <f t="shared" ca="1" si="32"/>
        <v>-1.8304642685045933E-2</v>
      </c>
    </row>
    <row r="1887" spans="7:8" x14ac:dyDescent="0.3">
      <c r="G1887" s="24">
        <v>1875</v>
      </c>
      <c r="H1887">
        <f t="shared" ca="1" si="32"/>
        <v>-3.9885402256492099E-2</v>
      </c>
    </row>
    <row r="1888" spans="7:8" x14ac:dyDescent="0.3">
      <c r="G1888" s="24">
        <v>1876</v>
      </c>
      <c r="H1888">
        <f t="shared" ca="1" si="32"/>
        <v>-3.0181837349727274E-4</v>
      </c>
    </row>
    <row r="1889" spans="7:8" x14ac:dyDescent="0.3">
      <c r="G1889" s="24">
        <v>1877</v>
      </c>
      <c r="H1889">
        <f t="shared" ca="1" si="32"/>
        <v>-1.7754108691055332E-2</v>
      </c>
    </row>
    <row r="1890" spans="7:8" x14ac:dyDescent="0.3">
      <c r="G1890" s="24">
        <v>1878</v>
      </c>
      <c r="H1890">
        <f t="shared" ca="1" si="32"/>
        <v>-5.1168204331865502E-2</v>
      </c>
    </row>
    <row r="1891" spans="7:8" x14ac:dyDescent="0.3">
      <c r="G1891" s="24">
        <v>1879</v>
      </c>
      <c r="H1891">
        <f t="shared" ca="1" si="32"/>
        <v>0.15201061513234582</v>
      </c>
    </row>
    <row r="1892" spans="7:8" x14ac:dyDescent="0.3">
      <c r="G1892" s="24">
        <v>1880</v>
      </c>
      <c r="H1892">
        <f t="shared" ca="1" si="32"/>
        <v>0.16394301877306661</v>
      </c>
    </row>
    <row r="1893" spans="7:8" x14ac:dyDescent="0.3">
      <c r="G1893" s="24">
        <v>1881</v>
      </c>
      <c r="H1893">
        <f t="shared" ca="1" si="32"/>
        <v>5.2841308072052902E-2</v>
      </c>
    </row>
    <row r="1894" spans="7:8" x14ac:dyDescent="0.3">
      <c r="G1894" s="24">
        <v>1882</v>
      </c>
      <c r="H1894">
        <f t="shared" ca="1" si="32"/>
        <v>-8.3807764193781331E-2</v>
      </c>
    </row>
    <row r="1895" spans="7:8" x14ac:dyDescent="0.3">
      <c r="G1895" s="24">
        <v>1883</v>
      </c>
      <c r="H1895">
        <f t="shared" ca="1" si="32"/>
        <v>-3.8207686859662089E-2</v>
      </c>
    </row>
    <row r="1896" spans="7:8" x14ac:dyDescent="0.3">
      <c r="G1896" s="24">
        <v>1884</v>
      </c>
      <c r="H1896">
        <f t="shared" ca="1" si="32"/>
        <v>1.2024867165000416E-2</v>
      </c>
    </row>
    <row r="1897" spans="7:8" x14ac:dyDescent="0.3">
      <c r="G1897" s="24">
        <v>1885</v>
      </c>
      <c r="H1897">
        <f t="shared" ca="1" si="32"/>
        <v>2.2315588722354321E-3</v>
      </c>
    </row>
    <row r="1898" spans="7:8" x14ac:dyDescent="0.3">
      <c r="G1898" s="24">
        <v>1886</v>
      </c>
      <c r="H1898">
        <f t="shared" ca="1" si="32"/>
        <v>1.3001007670485488E-3</v>
      </c>
    </row>
    <row r="1899" spans="7:8" x14ac:dyDescent="0.3">
      <c r="G1899" s="24">
        <v>1887</v>
      </c>
      <c r="H1899">
        <f t="shared" ca="1" si="32"/>
        <v>-4.8454405214413427E-3</v>
      </c>
    </row>
    <row r="1900" spans="7:8" x14ac:dyDescent="0.3">
      <c r="G1900" s="24">
        <v>1888</v>
      </c>
      <c r="H1900">
        <f t="shared" ca="1" si="32"/>
        <v>4.4840230064591272E-2</v>
      </c>
    </row>
    <row r="1901" spans="7:8" x14ac:dyDescent="0.3">
      <c r="G1901" s="24">
        <v>1889</v>
      </c>
      <c r="H1901">
        <f t="shared" ca="1" si="32"/>
        <v>6.912201459774904E-2</v>
      </c>
    </row>
    <row r="1902" spans="7:8" x14ac:dyDescent="0.3">
      <c r="G1902" s="24">
        <v>1890</v>
      </c>
      <c r="H1902">
        <f t="shared" ca="1" si="32"/>
        <v>3.7910825995321973E-2</v>
      </c>
    </row>
    <row r="1903" spans="7:8" x14ac:dyDescent="0.3">
      <c r="G1903" s="24">
        <v>1891</v>
      </c>
      <c r="H1903">
        <f t="shared" ca="1" si="32"/>
        <v>4.862431167086621E-3</v>
      </c>
    </row>
    <row r="1904" spans="7:8" x14ac:dyDescent="0.3">
      <c r="G1904" s="24">
        <v>1892</v>
      </c>
      <c r="H1904">
        <f t="shared" ca="1" si="32"/>
        <v>0.10957878850298497</v>
      </c>
    </row>
    <row r="1905" spans="7:8" x14ac:dyDescent="0.3">
      <c r="G1905" s="24">
        <v>1893</v>
      </c>
      <c r="H1905">
        <f t="shared" ca="1" si="32"/>
        <v>-9.1898757592411756E-2</v>
      </c>
    </row>
    <row r="1906" spans="7:8" x14ac:dyDescent="0.3">
      <c r="G1906" s="24">
        <v>1894</v>
      </c>
      <c r="H1906">
        <f t="shared" ca="1" si="32"/>
        <v>-1.6689039865447477E-2</v>
      </c>
    </row>
    <row r="1907" spans="7:8" x14ac:dyDescent="0.3">
      <c r="G1907" s="24">
        <v>1895</v>
      </c>
      <c r="H1907">
        <f t="shared" ca="1" si="32"/>
        <v>-6.2593254809522811E-2</v>
      </c>
    </row>
    <row r="1908" spans="7:8" x14ac:dyDescent="0.3">
      <c r="G1908" s="24">
        <v>1896</v>
      </c>
      <c r="H1908">
        <f t="shared" ca="1" si="32"/>
        <v>-0.11922461224974074</v>
      </c>
    </row>
    <row r="1909" spans="7:8" x14ac:dyDescent="0.3">
      <c r="G1909" s="24">
        <v>1897</v>
      </c>
      <c r="H1909">
        <f t="shared" ca="1" si="32"/>
        <v>3.2028615526015436E-2</v>
      </c>
    </row>
    <row r="1910" spans="7:8" x14ac:dyDescent="0.3">
      <c r="G1910" s="24">
        <v>1898</v>
      </c>
      <c r="H1910">
        <f t="shared" ca="1" si="32"/>
        <v>1.7074105433532289E-2</v>
      </c>
    </row>
    <row r="1911" spans="7:8" x14ac:dyDescent="0.3">
      <c r="G1911" s="24">
        <v>1899</v>
      </c>
      <c r="H1911">
        <f t="shared" ca="1" si="32"/>
        <v>-4.6524297019989724E-2</v>
      </c>
    </row>
    <row r="1912" spans="7:8" x14ac:dyDescent="0.3">
      <c r="G1912" s="24">
        <v>1900</v>
      </c>
      <c r="H1912">
        <f t="shared" ca="1" si="32"/>
        <v>4.2915190721200057E-2</v>
      </c>
    </row>
    <row r="1913" spans="7:8" x14ac:dyDescent="0.3">
      <c r="G1913" s="24">
        <v>1901</v>
      </c>
      <c r="H1913">
        <f t="shared" ca="1" si="32"/>
        <v>2.0439597197480366E-2</v>
      </c>
    </row>
    <row r="1914" spans="7:8" x14ac:dyDescent="0.3">
      <c r="G1914" s="24">
        <v>1902</v>
      </c>
      <c r="H1914">
        <f t="shared" ca="1" si="32"/>
        <v>-6.5985183166231892E-2</v>
      </c>
    </row>
    <row r="1915" spans="7:8" x14ac:dyDescent="0.3">
      <c r="G1915" s="24">
        <v>1903</v>
      </c>
      <c r="H1915">
        <f t="shared" ca="1" si="32"/>
        <v>-0.1646704441734117</v>
      </c>
    </row>
    <row r="1916" spans="7:8" x14ac:dyDescent="0.3">
      <c r="G1916" s="24">
        <v>1904</v>
      </c>
      <c r="H1916">
        <f t="shared" ca="1" si="32"/>
        <v>5.7971345604415393E-2</v>
      </c>
    </row>
    <row r="1917" spans="7:8" x14ac:dyDescent="0.3">
      <c r="G1917" s="24">
        <v>1905</v>
      </c>
      <c r="H1917">
        <f t="shared" ca="1" si="32"/>
        <v>-0.17304703728484422</v>
      </c>
    </row>
    <row r="1918" spans="7:8" x14ac:dyDescent="0.3">
      <c r="G1918" s="24">
        <v>1906</v>
      </c>
      <c r="H1918">
        <f t="shared" ca="1" si="32"/>
        <v>0.11224159141676973</v>
      </c>
    </row>
    <row r="1919" spans="7:8" x14ac:dyDescent="0.3">
      <c r="G1919" s="24">
        <v>1907</v>
      </c>
      <c r="H1919">
        <f t="shared" ca="1" si="32"/>
        <v>-8.6025505093489163E-2</v>
      </c>
    </row>
    <row r="1920" spans="7:8" x14ac:dyDescent="0.3">
      <c r="G1920" s="24">
        <v>1908</v>
      </c>
      <c r="H1920">
        <f t="shared" ca="1" si="32"/>
        <v>-2.9223999172656199E-2</v>
      </c>
    </row>
    <row r="1921" spans="7:8" x14ac:dyDescent="0.3">
      <c r="G1921" s="24">
        <v>1909</v>
      </c>
      <c r="H1921">
        <f t="shared" ca="1" si="32"/>
        <v>-4.8106032120346712E-2</v>
      </c>
    </row>
    <row r="1922" spans="7:8" x14ac:dyDescent="0.3">
      <c r="G1922" s="24">
        <v>1910</v>
      </c>
      <c r="H1922">
        <f t="shared" ca="1" si="32"/>
        <v>7.2047430614989236E-3</v>
      </c>
    </row>
    <row r="1923" spans="7:8" x14ac:dyDescent="0.3">
      <c r="G1923" s="24">
        <v>1911</v>
      </c>
      <c r="H1923">
        <f t="shared" ca="1" si="32"/>
        <v>-8.5208694372976068E-2</v>
      </c>
    </row>
    <row r="1924" spans="7:8" x14ac:dyDescent="0.3">
      <c r="G1924" s="24">
        <v>1912</v>
      </c>
      <c r="H1924">
        <f t="shared" ca="1" si="32"/>
        <v>-9.7828965461988892E-5</v>
      </c>
    </row>
    <row r="1925" spans="7:8" x14ac:dyDescent="0.3">
      <c r="G1925" s="24">
        <v>1913</v>
      </c>
      <c r="H1925">
        <f t="shared" ca="1" si="32"/>
        <v>-3.0808561937652659E-2</v>
      </c>
    </row>
    <row r="1926" spans="7:8" x14ac:dyDescent="0.3">
      <c r="G1926" s="24">
        <v>1914</v>
      </c>
      <c r="H1926">
        <f t="shared" ca="1" si="32"/>
        <v>8.754038337269196E-2</v>
      </c>
    </row>
    <row r="1927" spans="7:8" x14ac:dyDescent="0.3">
      <c r="G1927" s="24">
        <v>1915</v>
      </c>
      <c r="H1927">
        <f t="shared" ca="1" si="32"/>
        <v>-3.0425634975602609E-2</v>
      </c>
    </row>
    <row r="1928" spans="7:8" x14ac:dyDescent="0.3">
      <c r="G1928" s="24">
        <v>1916</v>
      </c>
      <c r="H1928">
        <f t="shared" ca="1" si="32"/>
        <v>-3.5994571853643978E-2</v>
      </c>
    </row>
    <row r="1929" spans="7:8" x14ac:dyDescent="0.3">
      <c r="G1929" s="24">
        <v>1917</v>
      </c>
      <c r="H1929">
        <f t="shared" ca="1" si="32"/>
        <v>-0.12437741779469386</v>
      </c>
    </row>
    <row r="1930" spans="7:8" x14ac:dyDescent="0.3">
      <c r="G1930" s="24">
        <v>1918</v>
      </c>
      <c r="H1930">
        <f t="shared" ca="1" si="32"/>
        <v>-6.2065303338715338E-4</v>
      </c>
    </row>
    <row r="1931" spans="7:8" x14ac:dyDescent="0.3">
      <c r="G1931" s="24">
        <v>1919</v>
      </c>
      <c r="H1931">
        <f t="shared" ca="1" si="32"/>
        <v>-3.5561998602532015E-2</v>
      </c>
    </row>
    <row r="1932" spans="7:8" x14ac:dyDescent="0.3">
      <c r="G1932" s="24">
        <v>1920</v>
      </c>
      <c r="H1932">
        <f t="shared" ca="1" si="32"/>
        <v>0.11980164563786465</v>
      </c>
    </row>
    <row r="1933" spans="7:8" x14ac:dyDescent="0.3">
      <c r="G1933" s="24">
        <v>1921</v>
      </c>
      <c r="H1933">
        <f t="shared" ca="1" si="32"/>
        <v>-5.5310333147094361E-2</v>
      </c>
    </row>
    <row r="1934" spans="7:8" x14ac:dyDescent="0.3">
      <c r="G1934" s="24">
        <v>1922</v>
      </c>
      <c r="H1934">
        <f t="shared" ref="H1934:H1997" ca="1" si="33">_xlfn.NORM.INV(RAND(),N$13,N$14)</f>
        <v>0.13779472319305655</v>
      </c>
    </row>
    <row r="1935" spans="7:8" x14ac:dyDescent="0.3">
      <c r="G1935" s="24">
        <v>1923</v>
      </c>
      <c r="H1935">
        <f t="shared" ca="1" si="33"/>
        <v>-7.2444082388617978E-2</v>
      </c>
    </row>
    <row r="1936" spans="7:8" x14ac:dyDescent="0.3">
      <c r="G1936" s="24">
        <v>1924</v>
      </c>
      <c r="H1936">
        <f t="shared" ca="1" si="33"/>
        <v>-0.11210469005612669</v>
      </c>
    </row>
    <row r="1937" spans="7:8" x14ac:dyDescent="0.3">
      <c r="G1937" s="24">
        <v>1925</v>
      </c>
      <c r="H1937">
        <f t="shared" ca="1" si="33"/>
        <v>5.2284787186029205E-2</v>
      </c>
    </row>
    <row r="1938" spans="7:8" x14ac:dyDescent="0.3">
      <c r="G1938" s="24">
        <v>1926</v>
      </c>
      <c r="H1938">
        <f t="shared" ca="1" si="33"/>
        <v>4.9284611234072136E-2</v>
      </c>
    </row>
    <row r="1939" spans="7:8" x14ac:dyDescent="0.3">
      <c r="G1939" s="24">
        <v>1927</v>
      </c>
      <c r="H1939">
        <f t="shared" ca="1" si="33"/>
        <v>-2.4509447270678622E-2</v>
      </c>
    </row>
    <row r="1940" spans="7:8" x14ac:dyDescent="0.3">
      <c r="G1940" s="24">
        <v>1928</v>
      </c>
      <c r="H1940">
        <f t="shared" ca="1" si="33"/>
        <v>-1.4118369700589221E-2</v>
      </c>
    </row>
    <row r="1941" spans="7:8" x14ac:dyDescent="0.3">
      <c r="G1941" s="24">
        <v>1929</v>
      </c>
      <c r="H1941">
        <f t="shared" ca="1" si="33"/>
        <v>4.3880654222582856E-3</v>
      </c>
    </row>
    <row r="1942" spans="7:8" x14ac:dyDescent="0.3">
      <c r="G1942" s="24">
        <v>1930</v>
      </c>
      <c r="H1942">
        <f t="shared" ca="1" si="33"/>
        <v>3.2596128341373452E-2</v>
      </c>
    </row>
    <row r="1943" spans="7:8" x14ac:dyDescent="0.3">
      <c r="G1943" s="24">
        <v>1931</v>
      </c>
      <c r="H1943">
        <f t="shared" ca="1" si="33"/>
        <v>6.8481174644692361E-2</v>
      </c>
    </row>
    <row r="1944" spans="7:8" x14ac:dyDescent="0.3">
      <c r="G1944" s="24">
        <v>1932</v>
      </c>
      <c r="H1944">
        <f t="shared" ca="1" si="33"/>
        <v>-4.6540008718292999E-3</v>
      </c>
    </row>
    <row r="1945" spans="7:8" x14ac:dyDescent="0.3">
      <c r="G1945" s="24">
        <v>1933</v>
      </c>
      <c r="H1945">
        <f t="shared" ca="1" si="33"/>
        <v>5.1662640784800207E-2</v>
      </c>
    </row>
    <row r="1946" spans="7:8" x14ac:dyDescent="0.3">
      <c r="G1946" s="24">
        <v>1934</v>
      </c>
      <c r="H1946">
        <f t="shared" ca="1" si="33"/>
        <v>5.7699901000837613E-2</v>
      </c>
    </row>
    <row r="1947" spans="7:8" x14ac:dyDescent="0.3">
      <c r="G1947" s="24">
        <v>1935</v>
      </c>
      <c r="H1947">
        <f t="shared" ca="1" si="33"/>
        <v>-7.6008268249883645E-2</v>
      </c>
    </row>
    <row r="1948" spans="7:8" x14ac:dyDescent="0.3">
      <c r="G1948" s="24">
        <v>1936</v>
      </c>
      <c r="H1948">
        <f t="shared" ca="1" si="33"/>
        <v>0.11766540537887737</v>
      </c>
    </row>
    <row r="1949" spans="7:8" x14ac:dyDescent="0.3">
      <c r="G1949" s="24">
        <v>1937</v>
      </c>
      <c r="H1949">
        <f t="shared" ca="1" si="33"/>
        <v>-9.5696142387348693E-2</v>
      </c>
    </row>
    <row r="1950" spans="7:8" x14ac:dyDescent="0.3">
      <c r="G1950" s="24">
        <v>1938</v>
      </c>
      <c r="H1950">
        <f t="shared" ca="1" si="33"/>
        <v>5.3193446548160418E-3</v>
      </c>
    </row>
    <row r="1951" spans="7:8" x14ac:dyDescent="0.3">
      <c r="G1951" s="24">
        <v>1939</v>
      </c>
      <c r="H1951">
        <f t="shared" ca="1" si="33"/>
        <v>2.6138605603158839E-3</v>
      </c>
    </row>
    <row r="1952" spans="7:8" x14ac:dyDescent="0.3">
      <c r="G1952" s="24">
        <v>1940</v>
      </c>
      <c r="H1952">
        <f t="shared" ca="1" si="33"/>
        <v>8.8582004228456093E-3</v>
      </c>
    </row>
    <row r="1953" spans="7:8" x14ac:dyDescent="0.3">
      <c r="G1953" s="24">
        <v>1941</v>
      </c>
      <c r="H1953">
        <f t="shared" ca="1" si="33"/>
        <v>-8.6027947128223439E-2</v>
      </c>
    </row>
    <row r="1954" spans="7:8" x14ac:dyDescent="0.3">
      <c r="G1954" s="24">
        <v>1942</v>
      </c>
      <c r="H1954">
        <f t="shared" ca="1" si="33"/>
        <v>-4.1765337752251552E-2</v>
      </c>
    </row>
    <row r="1955" spans="7:8" x14ac:dyDescent="0.3">
      <c r="G1955" s="24">
        <v>1943</v>
      </c>
      <c r="H1955">
        <f t="shared" ca="1" si="33"/>
        <v>-0.11052578825229943</v>
      </c>
    </row>
    <row r="1956" spans="7:8" x14ac:dyDescent="0.3">
      <c r="G1956" s="24">
        <v>1944</v>
      </c>
      <c r="H1956">
        <f t="shared" ca="1" si="33"/>
        <v>-4.1467575048187107E-2</v>
      </c>
    </row>
    <row r="1957" spans="7:8" x14ac:dyDescent="0.3">
      <c r="G1957" s="24">
        <v>1945</v>
      </c>
      <c r="H1957">
        <f t="shared" ca="1" si="33"/>
        <v>0.10869146683210774</v>
      </c>
    </row>
    <row r="1958" spans="7:8" x14ac:dyDescent="0.3">
      <c r="G1958" s="24">
        <v>1946</v>
      </c>
      <c r="H1958">
        <f t="shared" ca="1" si="33"/>
        <v>0.11858827419998867</v>
      </c>
    </row>
    <row r="1959" spans="7:8" x14ac:dyDescent="0.3">
      <c r="G1959" s="24">
        <v>1947</v>
      </c>
      <c r="H1959">
        <f t="shared" ca="1" si="33"/>
        <v>0.12192783444118042</v>
      </c>
    </row>
    <row r="1960" spans="7:8" x14ac:dyDescent="0.3">
      <c r="G1960" s="24">
        <v>1948</v>
      </c>
      <c r="H1960">
        <f t="shared" ca="1" si="33"/>
        <v>0.13420040903640365</v>
      </c>
    </row>
    <row r="1961" spans="7:8" x14ac:dyDescent="0.3">
      <c r="G1961" s="24">
        <v>1949</v>
      </c>
      <c r="H1961">
        <f t="shared" ca="1" si="33"/>
        <v>-6.1768426892015386E-2</v>
      </c>
    </row>
    <row r="1962" spans="7:8" x14ac:dyDescent="0.3">
      <c r="G1962" s="24">
        <v>1950</v>
      </c>
      <c r="H1962">
        <f t="shared" ca="1" si="33"/>
        <v>1.5510792954000853E-2</v>
      </c>
    </row>
    <row r="1963" spans="7:8" x14ac:dyDescent="0.3">
      <c r="G1963" s="24">
        <v>1951</v>
      </c>
      <c r="H1963">
        <f t="shared" ca="1" si="33"/>
        <v>1.9582940090989548E-3</v>
      </c>
    </row>
    <row r="1964" spans="7:8" x14ac:dyDescent="0.3">
      <c r="G1964" s="24">
        <v>1952</v>
      </c>
      <c r="H1964">
        <f t="shared" ca="1" si="33"/>
        <v>2.9198497304872326E-2</v>
      </c>
    </row>
    <row r="1965" spans="7:8" x14ac:dyDescent="0.3">
      <c r="G1965" s="24">
        <v>1953</v>
      </c>
      <c r="H1965">
        <f t="shared" ca="1" si="33"/>
        <v>0.10994565587491321</v>
      </c>
    </row>
    <row r="1966" spans="7:8" x14ac:dyDescent="0.3">
      <c r="G1966" s="24">
        <v>1954</v>
      </c>
      <c r="H1966">
        <f t="shared" ca="1" si="33"/>
        <v>-1.9996344387918585E-2</v>
      </c>
    </row>
    <row r="1967" spans="7:8" x14ac:dyDescent="0.3">
      <c r="G1967" s="24">
        <v>1955</v>
      </c>
      <c r="H1967">
        <f t="shared" ca="1" si="33"/>
        <v>6.4560933994080666E-2</v>
      </c>
    </row>
    <row r="1968" spans="7:8" x14ac:dyDescent="0.3">
      <c r="G1968" s="24">
        <v>1956</v>
      </c>
      <c r="H1968">
        <f t="shared" ca="1" si="33"/>
        <v>-8.2650961678631063E-2</v>
      </c>
    </row>
    <row r="1969" spans="7:8" x14ac:dyDescent="0.3">
      <c r="G1969" s="24">
        <v>1957</v>
      </c>
      <c r="H1969">
        <f t="shared" ca="1" si="33"/>
        <v>7.4695591799567349E-2</v>
      </c>
    </row>
    <row r="1970" spans="7:8" x14ac:dyDescent="0.3">
      <c r="G1970" s="24">
        <v>1958</v>
      </c>
      <c r="H1970">
        <f t="shared" ca="1" si="33"/>
        <v>5.6311699057053979E-3</v>
      </c>
    </row>
    <row r="1971" spans="7:8" x14ac:dyDescent="0.3">
      <c r="G1971" s="24">
        <v>1959</v>
      </c>
      <c r="H1971">
        <f t="shared" ca="1" si="33"/>
        <v>0.13006811053366643</v>
      </c>
    </row>
    <row r="1972" spans="7:8" x14ac:dyDescent="0.3">
      <c r="G1972" s="24">
        <v>1960</v>
      </c>
      <c r="H1972">
        <f t="shared" ca="1" si="33"/>
        <v>2.9276846683591582E-3</v>
      </c>
    </row>
    <row r="1973" spans="7:8" x14ac:dyDescent="0.3">
      <c r="G1973" s="24">
        <v>1961</v>
      </c>
      <c r="H1973">
        <f t="shared" ca="1" si="33"/>
        <v>-0.14246586581147239</v>
      </c>
    </row>
    <row r="1974" spans="7:8" x14ac:dyDescent="0.3">
      <c r="G1974" s="24">
        <v>1962</v>
      </c>
      <c r="H1974">
        <f t="shared" ca="1" si="33"/>
        <v>-6.9988073589726807E-2</v>
      </c>
    </row>
    <row r="1975" spans="7:8" x14ac:dyDescent="0.3">
      <c r="G1975" s="24">
        <v>1963</v>
      </c>
      <c r="H1975">
        <f t="shared" ca="1" si="33"/>
        <v>-8.4285227699389276E-3</v>
      </c>
    </row>
    <row r="1976" spans="7:8" x14ac:dyDescent="0.3">
      <c r="G1976" s="24">
        <v>1964</v>
      </c>
      <c r="H1976">
        <f t="shared" ca="1" si="33"/>
        <v>-4.1591009138247675E-2</v>
      </c>
    </row>
    <row r="1977" spans="7:8" x14ac:dyDescent="0.3">
      <c r="G1977" s="24">
        <v>1965</v>
      </c>
      <c r="H1977">
        <f t="shared" ca="1" si="33"/>
        <v>-7.3777965722599453E-2</v>
      </c>
    </row>
    <row r="1978" spans="7:8" x14ac:dyDescent="0.3">
      <c r="G1978" s="24">
        <v>1966</v>
      </c>
      <c r="H1978">
        <f t="shared" ca="1" si="33"/>
        <v>9.7540723778687138E-2</v>
      </c>
    </row>
    <row r="1979" spans="7:8" x14ac:dyDescent="0.3">
      <c r="G1979" s="24">
        <v>1967</v>
      </c>
      <c r="H1979">
        <f t="shared" ca="1" si="33"/>
        <v>-1.4587290323544378E-2</v>
      </c>
    </row>
    <row r="1980" spans="7:8" x14ac:dyDescent="0.3">
      <c r="G1980" s="24">
        <v>1968</v>
      </c>
      <c r="H1980">
        <f t="shared" ca="1" si="33"/>
        <v>-4.7118365495498582E-2</v>
      </c>
    </row>
    <row r="1981" spans="7:8" x14ac:dyDescent="0.3">
      <c r="G1981" s="24">
        <v>1969</v>
      </c>
      <c r="H1981">
        <f t="shared" ca="1" si="33"/>
        <v>-1.186162899566093E-2</v>
      </c>
    </row>
    <row r="1982" spans="7:8" x14ac:dyDescent="0.3">
      <c r="G1982" s="24">
        <v>1970</v>
      </c>
      <c r="H1982">
        <f t="shared" ca="1" si="33"/>
        <v>-7.3591900876768465E-3</v>
      </c>
    </row>
    <row r="1983" spans="7:8" x14ac:dyDescent="0.3">
      <c r="G1983" s="24">
        <v>1971</v>
      </c>
      <c r="H1983">
        <f t="shared" ca="1" si="33"/>
        <v>3.6447878519845947E-2</v>
      </c>
    </row>
    <row r="1984" spans="7:8" x14ac:dyDescent="0.3">
      <c r="G1984" s="24">
        <v>1972</v>
      </c>
      <c r="H1984">
        <f t="shared" ca="1" si="33"/>
        <v>0.18397867843376722</v>
      </c>
    </row>
    <row r="1985" spans="7:8" x14ac:dyDescent="0.3">
      <c r="G1985" s="24">
        <v>1973</v>
      </c>
      <c r="H1985">
        <f t="shared" ca="1" si="33"/>
        <v>6.1656787490507986E-2</v>
      </c>
    </row>
    <row r="1986" spans="7:8" x14ac:dyDescent="0.3">
      <c r="G1986" s="24">
        <v>1974</v>
      </c>
      <c r="H1986">
        <f t="shared" ca="1" si="33"/>
        <v>-1.7547072075881274E-2</v>
      </c>
    </row>
    <row r="1987" spans="7:8" x14ac:dyDescent="0.3">
      <c r="G1987" s="24">
        <v>1975</v>
      </c>
      <c r="H1987">
        <f t="shared" ca="1" si="33"/>
        <v>5.5380148809514917E-2</v>
      </c>
    </row>
    <row r="1988" spans="7:8" x14ac:dyDescent="0.3">
      <c r="G1988" s="24">
        <v>1976</v>
      </c>
      <c r="H1988">
        <f t="shared" ca="1" si="33"/>
        <v>-0.11376872551872128</v>
      </c>
    </row>
    <row r="1989" spans="7:8" x14ac:dyDescent="0.3">
      <c r="G1989" s="24">
        <v>1977</v>
      </c>
      <c r="H1989">
        <f t="shared" ca="1" si="33"/>
        <v>9.183344695654623E-2</v>
      </c>
    </row>
    <row r="1990" spans="7:8" x14ac:dyDescent="0.3">
      <c r="G1990" s="24">
        <v>1978</v>
      </c>
      <c r="H1990">
        <f t="shared" ca="1" si="33"/>
        <v>8.9965952696041823E-2</v>
      </c>
    </row>
    <row r="1991" spans="7:8" x14ac:dyDescent="0.3">
      <c r="G1991" s="24">
        <v>1979</v>
      </c>
      <c r="H1991">
        <f t="shared" ca="1" si="33"/>
        <v>-2.8513301792476432E-3</v>
      </c>
    </row>
    <row r="1992" spans="7:8" x14ac:dyDescent="0.3">
      <c r="G1992" s="24">
        <v>1980</v>
      </c>
      <c r="H1992">
        <f t="shared" ca="1" si="33"/>
        <v>6.0206568787939729E-2</v>
      </c>
    </row>
    <row r="1993" spans="7:8" x14ac:dyDescent="0.3">
      <c r="G1993" s="24">
        <v>1981</v>
      </c>
      <c r="H1993">
        <f t="shared" ca="1" si="33"/>
        <v>-3.4087103188159495E-2</v>
      </c>
    </row>
    <row r="1994" spans="7:8" x14ac:dyDescent="0.3">
      <c r="G1994" s="24">
        <v>1982</v>
      </c>
      <c r="H1994">
        <f t="shared" ca="1" si="33"/>
        <v>5.3185975450686486E-3</v>
      </c>
    </row>
    <row r="1995" spans="7:8" x14ac:dyDescent="0.3">
      <c r="G1995" s="24">
        <v>1983</v>
      </c>
      <c r="H1995">
        <f t="shared" ca="1" si="33"/>
        <v>5.8771545549704304E-2</v>
      </c>
    </row>
    <row r="1996" spans="7:8" x14ac:dyDescent="0.3">
      <c r="G1996" s="24">
        <v>1984</v>
      </c>
      <c r="H1996">
        <f t="shared" ca="1" si="33"/>
        <v>0.11416549289178007</v>
      </c>
    </row>
    <row r="1997" spans="7:8" x14ac:dyDescent="0.3">
      <c r="G1997" s="24">
        <v>1985</v>
      </c>
      <c r="H1997">
        <f t="shared" ca="1" si="33"/>
        <v>-5.360731865216118E-3</v>
      </c>
    </row>
    <row r="1998" spans="7:8" x14ac:dyDescent="0.3">
      <c r="G1998" s="24">
        <v>1986</v>
      </c>
      <c r="H1998">
        <f t="shared" ref="H1998:H2061" ca="1" si="34">_xlfn.NORM.INV(RAND(),N$13,N$14)</f>
        <v>-8.8430967173038458E-2</v>
      </c>
    </row>
    <row r="1999" spans="7:8" x14ac:dyDescent="0.3">
      <c r="G1999" s="24">
        <v>1987</v>
      </c>
      <c r="H1999">
        <f t="shared" ca="1" si="34"/>
        <v>4.3590742807638867E-2</v>
      </c>
    </row>
    <row r="2000" spans="7:8" x14ac:dyDescent="0.3">
      <c r="G2000" s="24">
        <v>1988</v>
      </c>
      <c r="H2000">
        <f t="shared" ca="1" si="34"/>
        <v>-0.12683739087842991</v>
      </c>
    </row>
    <row r="2001" spans="7:8" x14ac:dyDescent="0.3">
      <c r="G2001" s="24">
        <v>1989</v>
      </c>
      <c r="H2001">
        <f t="shared" ca="1" si="34"/>
        <v>5.7688884221428916E-3</v>
      </c>
    </row>
    <row r="2002" spans="7:8" x14ac:dyDescent="0.3">
      <c r="G2002" s="24">
        <v>1990</v>
      </c>
      <c r="H2002">
        <f t="shared" ca="1" si="34"/>
        <v>-0.17857153278802007</v>
      </c>
    </row>
    <row r="2003" spans="7:8" x14ac:dyDescent="0.3">
      <c r="G2003" s="24">
        <v>1991</v>
      </c>
      <c r="H2003">
        <f t="shared" ca="1" si="34"/>
        <v>5.0737467963216494E-2</v>
      </c>
    </row>
    <row r="2004" spans="7:8" x14ac:dyDescent="0.3">
      <c r="G2004" s="24">
        <v>1992</v>
      </c>
      <c r="H2004">
        <f t="shared" ca="1" si="34"/>
        <v>7.3903635353670269E-2</v>
      </c>
    </row>
    <row r="2005" spans="7:8" x14ac:dyDescent="0.3">
      <c r="G2005" s="24">
        <v>1993</v>
      </c>
      <c r="H2005">
        <f t="shared" ca="1" si="34"/>
        <v>-2.136359958215538E-2</v>
      </c>
    </row>
    <row r="2006" spans="7:8" x14ac:dyDescent="0.3">
      <c r="G2006" s="24">
        <v>1994</v>
      </c>
      <c r="H2006">
        <f t="shared" ca="1" si="34"/>
        <v>1.8691875484332484E-2</v>
      </c>
    </row>
    <row r="2007" spans="7:8" x14ac:dyDescent="0.3">
      <c r="G2007" s="24">
        <v>1995</v>
      </c>
      <c r="H2007">
        <f t="shared" ca="1" si="34"/>
        <v>-1.3548297210864996E-2</v>
      </c>
    </row>
    <row r="2008" spans="7:8" x14ac:dyDescent="0.3">
      <c r="G2008" s="24">
        <v>1996</v>
      </c>
      <c r="H2008">
        <f t="shared" ca="1" si="34"/>
        <v>5.231065934486729E-2</v>
      </c>
    </row>
    <row r="2009" spans="7:8" x14ac:dyDescent="0.3">
      <c r="G2009" s="24">
        <v>1997</v>
      </c>
      <c r="H2009">
        <f t="shared" ca="1" si="34"/>
        <v>-4.6129758577807954E-2</v>
      </c>
    </row>
    <row r="2010" spans="7:8" x14ac:dyDescent="0.3">
      <c r="G2010" s="24">
        <v>1998</v>
      </c>
      <c r="H2010">
        <f t="shared" ca="1" si="34"/>
        <v>0.10422469443153901</v>
      </c>
    </row>
    <row r="2011" spans="7:8" x14ac:dyDescent="0.3">
      <c r="G2011" s="24">
        <v>1999</v>
      </c>
      <c r="H2011">
        <f t="shared" ca="1" si="34"/>
        <v>-8.1922749679575857E-2</v>
      </c>
    </row>
    <row r="2012" spans="7:8" x14ac:dyDescent="0.3">
      <c r="G2012" s="24">
        <v>2000</v>
      </c>
      <c r="H2012">
        <f t="shared" ca="1" si="34"/>
        <v>7.0227911082822898E-3</v>
      </c>
    </row>
    <row r="2013" spans="7:8" x14ac:dyDescent="0.3">
      <c r="G2013" s="24">
        <v>2001</v>
      </c>
      <c r="H2013">
        <f t="shared" ca="1" si="34"/>
        <v>-3.9821303304326046E-2</v>
      </c>
    </row>
    <row r="2014" spans="7:8" x14ac:dyDescent="0.3">
      <c r="G2014" s="24">
        <v>2002</v>
      </c>
      <c r="H2014">
        <f t="shared" ca="1" si="34"/>
        <v>0.12479675467784788</v>
      </c>
    </row>
    <row r="2015" spans="7:8" x14ac:dyDescent="0.3">
      <c r="G2015" s="24">
        <v>2003</v>
      </c>
      <c r="H2015">
        <f t="shared" ca="1" si="34"/>
        <v>-1.9616456337766711E-2</v>
      </c>
    </row>
    <row r="2016" spans="7:8" x14ac:dyDescent="0.3">
      <c r="G2016" s="24">
        <v>2004</v>
      </c>
      <c r="H2016">
        <f t="shared" ca="1" si="34"/>
        <v>-2.1073215819966411E-3</v>
      </c>
    </row>
    <row r="2017" spans="7:8" x14ac:dyDescent="0.3">
      <c r="G2017" s="24">
        <v>2005</v>
      </c>
      <c r="H2017">
        <f t="shared" ca="1" si="34"/>
        <v>-3.3684578505062068E-2</v>
      </c>
    </row>
    <row r="2018" spans="7:8" x14ac:dyDescent="0.3">
      <c r="G2018" s="24">
        <v>2006</v>
      </c>
      <c r="H2018">
        <f t="shared" ca="1" si="34"/>
        <v>-5.5265596903418493E-2</v>
      </c>
    </row>
    <row r="2019" spans="7:8" x14ac:dyDescent="0.3">
      <c r="G2019" s="24">
        <v>2007</v>
      </c>
      <c r="H2019">
        <f t="shared" ca="1" si="34"/>
        <v>-3.3886677554927129E-2</v>
      </c>
    </row>
    <row r="2020" spans="7:8" x14ac:dyDescent="0.3">
      <c r="G2020" s="24">
        <v>2008</v>
      </c>
      <c r="H2020">
        <f t="shared" ca="1" si="34"/>
        <v>0.10867381905395049</v>
      </c>
    </row>
    <row r="2021" spans="7:8" x14ac:dyDescent="0.3">
      <c r="G2021" s="24">
        <v>2009</v>
      </c>
      <c r="H2021">
        <f t="shared" ca="1" si="34"/>
        <v>-0.11510836522112534</v>
      </c>
    </row>
    <row r="2022" spans="7:8" x14ac:dyDescent="0.3">
      <c r="G2022" s="24">
        <v>2010</v>
      </c>
      <c r="H2022">
        <f t="shared" ca="1" si="34"/>
        <v>-2.7030108740263299E-2</v>
      </c>
    </row>
    <row r="2023" spans="7:8" x14ac:dyDescent="0.3">
      <c r="G2023" s="24">
        <v>2011</v>
      </c>
      <c r="H2023">
        <f t="shared" ca="1" si="34"/>
        <v>-2.5755900970548983E-2</v>
      </c>
    </row>
    <row r="2024" spans="7:8" x14ac:dyDescent="0.3">
      <c r="G2024" s="24">
        <v>2012</v>
      </c>
      <c r="H2024">
        <f t="shared" ca="1" si="34"/>
        <v>-1.8494184703724431E-3</v>
      </c>
    </row>
    <row r="2025" spans="7:8" x14ac:dyDescent="0.3">
      <c r="G2025" s="24">
        <v>2013</v>
      </c>
      <c r="H2025">
        <f t="shared" ca="1" si="34"/>
        <v>-1.2235579843429734E-2</v>
      </c>
    </row>
    <row r="2026" spans="7:8" x14ac:dyDescent="0.3">
      <c r="G2026" s="24">
        <v>2014</v>
      </c>
      <c r="H2026">
        <f t="shared" ca="1" si="34"/>
        <v>-1.9403246583528964E-2</v>
      </c>
    </row>
    <row r="2027" spans="7:8" x14ac:dyDescent="0.3">
      <c r="G2027" s="24">
        <v>2015</v>
      </c>
      <c r="H2027">
        <f t="shared" ca="1" si="34"/>
        <v>-5.20544109853841E-3</v>
      </c>
    </row>
    <row r="2028" spans="7:8" x14ac:dyDescent="0.3">
      <c r="G2028" s="24">
        <v>2016</v>
      </c>
      <c r="H2028">
        <f t="shared" ca="1" si="34"/>
        <v>5.0234671549789833E-2</v>
      </c>
    </row>
    <row r="2029" spans="7:8" x14ac:dyDescent="0.3">
      <c r="G2029" s="24">
        <v>2017</v>
      </c>
      <c r="H2029">
        <f t="shared" ca="1" si="34"/>
        <v>-5.8940978239962361E-2</v>
      </c>
    </row>
    <row r="2030" spans="7:8" x14ac:dyDescent="0.3">
      <c r="G2030" s="24">
        <v>2018</v>
      </c>
      <c r="H2030">
        <f t="shared" ca="1" si="34"/>
        <v>0.10001892734257711</v>
      </c>
    </row>
    <row r="2031" spans="7:8" x14ac:dyDescent="0.3">
      <c r="G2031" s="24">
        <v>2019</v>
      </c>
      <c r="H2031">
        <f t="shared" ca="1" si="34"/>
        <v>-7.0495201041231678E-2</v>
      </c>
    </row>
    <row r="2032" spans="7:8" x14ac:dyDescent="0.3">
      <c r="G2032" s="24">
        <v>2020</v>
      </c>
      <c r="H2032">
        <f t="shared" ca="1" si="34"/>
        <v>-8.9934199611998739E-3</v>
      </c>
    </row>
    <row r="2033" spans="7:8" x14ac:dyDescent="0.3">
      <c r="G2033" s="24">
        <v>2021</v>
      </c>
      <c r="H2033">
        <f t="shared" ca="1" si="34"/>
        <v>-8.9694279349210607E-2</v>
      </c>
    </row>
    <row r="2034" spans="7:8" x14ac:dyDescent="0.3">
      <c r="G2034" s="24">
        <v>2022</v>
      </c>
      <c r="H2034">
        <f t="shared" ca="1" si="34"/>
        <v>-9.722204185034165E-3</v>
      </c>
    </row>
    <row r="2035" spans="7:8" x14ac:dyDescent="0.3">
      <c r="G2035" s="24">
        <v>2023</v>
      </c>
      <c r="H2035">
        <f t="shared" ca="1" si="34"/>
        <v>4.5539033198436871E-2</v>
      </c>
    </row>
    <row r="2036" spans="7:8" x14ac:dyDescent="0.3">
      <c r="G2036" s="24">
        <v>2024</v>
      </c>
      <c r="H2036">
        <f t="shared" ca="1" si="34"/>
        <v>8.233961062996116E-2</v>
      </c>
    </row>
    <row r="2037" spans="7:8" x14ac:dyDescent="0.3">
      <c r="G2037" s="24">
        <v>2025</v>
      </c>
      <c r="H2037">
        <f t="shared" ca="1" si="34"/>
        <v>-1.657354685037955E-3</v>
      </c>
    </row>
    <row r="2038" spans="7:8" x14ac:dyDescent="0.3">
      <c r="G2038" s="24">
        <v>2026</v>
      </c>
      <c r="H2038">
        <f t="shared" ca="1" si="34"/>
        <v>3.8104959380671634E-2</v>
      </c>
    </row>
    <row r="2039" spans="7:8" x14ac:dyDescent="0.3">
      <c r="G2039" s="24">
        <v>2027</v>
      </c>
      <c r="H2039">
        <f t="shared" ca="1" si="34"/>
        <v>0.1861071240633736</v>
      </c>
    </row>
    <row r="2040" spans="7:8" x14ac:dyDescent="0.3">
      <c r="G2040" s="24">
        <v>2028</v>
      </c>
      <c r="H2040">
        <f t="shared" ca="1" si="34"/>
        <v>-2.9705082742091393E-2</v>
      </c>
    </row>
    <row r="2041" spans="7:8" x14ac:dyDescent="0.3">
      <c r="G2041" s="24">
        <v>2029</v>
      </c>
      <c r="H2041">
        <f t="shared" ca="1" si="34"/>
        <v>6.920629866308603E-2</v>
      </c>
    </row>
    <row r="2042" spans="7:8" x14ac:dyDescent="0.3">
      <c r="G2042" s="24">
        <v>2030</v>
      </c>
      <c r="H2042">
        <f t="shared" ca="1" si="34"/>
        <v>-0.1249979363016078</v>
      </c>
    </row>
    <row r="2043" spans="7:8" x14ac:dyDescent="0.3">
      <c r="G2043" s="24">
        <v>2031</v>
      </c>
      <c r="H2043">
        <f t="shared" ca="1" si="34"/>
        <v>-6.3969648985154268E-2</v>
      </c>
    </row>
    <row r="2044" spans="7:8" x14ac:dyDescent="0.3">
      <c r="G2044" s="24">
        <v>2032</v>
      </c>
      <c r="H2044">
        <f t="shared" ca="1" si="34"/>
        <v>-4.3724434668173516E-2</v>
      </c>
    </row>
    <row r="2045" spans="7:8" x14ac:dyDescent="0.3">
      <c r="G2045" s="24">
        <v>2033</v>
      </c>
      <c r="H2045">
        <f t="shared" ca="1" si="34"/>
        <v>-8.0322921534690339E-2</v>
      </c>
    </row>
    <row r="2046" spans="7:8" x14ac:dyDescent="0.3">
      <c r="G2046" s="24">
        <v>2034</v>
      </c>
      <c r="H2046">
        <f t="shared" ca="1" si="34"/>
        <v>-2.5033980081000645E-2</v>
      </c>
    </row>
    <row r="2047" spans="7:8" x14ac:dyDescent="0.3">
      <c r="G2047" s="24">
        <v>2035</v>
      </c>
      <c r="H2047">
        <f t="shared" ca="1" si="34"/>
        <v>-0.10592032338736347</v>
      </c>
    </row>
    <row r="2048" spans="7:8" x14ac:dyDescent="0.3">
      <c r="G2048" s="24">
        <v>2036</v>
      </c>
      <c r="H2048">
        <f t="shared" ca="1" si="34"/>
        <v>-7.3104636360857359E-3</v>
      </c>
    </row>
    <row r="2049" spans="7:8" x14ac:dyDescent="0.3">
      <c r="G2049" s="24">
        <v>2037</v>
      </c>
      <c r="H2049">
        <f t="shared" ca="1" si="34"/>
        <v>-6.7532134819162967E-2</v>
      </c>
    </row>
    <row r="2050" spans="7:8" x14ac:dyDescent="0.3">
      <c r="G2050" s="24">
        <v>2038</v>
      </c>
      <c r="H2050">
        <f t="shared" ca="1" si="34"/>
        <v>-1.7662024584769204E-2</v>
      </c>
    </row>
    <row r="2051" spans="7:8" x14ac:dyDescent="0.3">
      <c r="G2051" s="24">
        <v>2039</v>
      </c>
      <c r="H2051">
        <f t="shared" ca="1" si="34"/>
        <v>2.4734489368808525E-3</v>
      </c>
    </row>
    <row r="2052" spans="7:8" x14ac:dyDescent="0.3">
      <c r="G2052" s="24">
        <v>2040</v>
      </c>
      <c r="H2052">
        <f t="shared" ca="1" si="34"/>
        <v>5.8730121902288428E-2</v>
      </c>
    </row>
    <row r="2053" spans="7:8" x14ac:dyDescent="0.3">
      <c r="G2053" s="24">
        <v>2041</v>
      </c>
      <c r="H2053">
        <f t="shared" ca="1" si="34"/>
        <v>-8.0903821953273031E-2</v>
      </c>
    </row>
    <row r="2054" spans="7:8" x14ac:dyDescent="0.3">
      <c r="G2054" s="24">
        <v>2042</v>
      </c>
      <c r="H2054">
        <f t="shared" ca="1" si="34"/>
        <v>4.651340584328232E-2</v>
      </c>
    </row>
    <row r="2055" spans="7:8" x14ac:dyDescent="0.3">
      <c r="G2055" s="24">
        <v>2043</v>
      </c>
      <c r="H2055">
        <f t="shared" ca="1" si="34"/>
        <v>-5.3187132777880633E-2</v>
      </c>
    </row>
    <row r="2056" spans="7:8" x14ac:dyDescent="0.3">
      <c r="G2056" s="24">
        <v>2044</v>
      </c>
      <c r="H2056">
        <f t="shared" ca="1" si="34"/>
        <v>-2.0583112532530739E-2</v>
      </c>
    </row>
    <row r="2057" spans="7:8" x14ac:dyDescent="0.3">
      <c r="G2057" s="24">
        <v>2045</v>
      </c>
      <c r="H2057">
        <f t="shared" ca="1" si="34"/>
        <v>0.15519243389234291</v>
      </c>
    </row>
    <row r="2058" spans="7:8" x14ac:dyDescent="0.3">
      <c r="G2058" s="24">
        <v>2046</v>
      </c>
      <c r="H2058">
        <f t="shared" ca="1" si="34"/>
        <v>1.3189338908995422E-2</v>
      </c>
    </row>
    <row r="2059" spans="7:8" x14ac:dyDescent="0.3">
      <c r="G2059" s="24">
        <v>2047</v>
      </c>
      <c r="H2059">
        <f t="shared" ca="1" si="34"/>
        <v>5.8197433127338105E-2</v>
      </c>
    </row>
    <row r="2060" spans="7:8" x14ac:dyDescent="0.3">
      <c r="G2060" s="24">
        <v>2048</v>
      </c>
      <c r="H2060">
        <f t="shared" ca="1" si="34"/>
        <v>0.12277006017620194</v>
      </c>
    </row>
    <row r="2061" spans="7:8" x14ac:dyDescent="0.3">
      <c r="G2061" s="24">
        <v>2049</v>
      </c>
      <c r="H2061">
        <f t="shared" ca="1" si="34"/>
        <v>-5.4533672602996838E-2</v>
      </c>
    </row>
    <row r="2062" spans="7:8" x14ac:dyDescent="0.3">
      <c r="G2062" s="24">
        <v>2050</v>
      </c>
      <c r="H2062">
        <f t="shared" ref="H2062:H2125" ca="1" si="35">_xlfn.NORM.INV(RAND(),N$13,N$14)</f>
        <v>4.8301230797007544E-2</v>
      </c>
    </row>
    <row r="2063" spans="7:8" x14ac:dyDescent="0.3">
      <c r="G2063" s="24">
        <v>2051</v>
      </c>
      <c r="H2063">
        <f t="shared" ca="1" si="35"/>
        <v>-5.3920302372409169E-2</v>
      </c>
    </row>
    <row r="2064" spans="7:8" x14ac:dyDescent="0.3">
      <c r="G2064" s="24">
        <v>2052</v>
      </c>
      <c r="H2064">
        <f t="shared" ca="1" si="35"/>
        <v>3.7513448296323179E-2</v>
      </c>
    </row>
    <row r="2065" spans="7:8" x14ac:dyDescent="0.3">
      <c r="G2065" s="24">
        <v>2053</v>
      </c>
      <c r="H2065">
        <f t="shared" ca="1" si="35"/>
        <v>-1.0361038939667578E-3</v>
      </c>
    </row>
    <row r="2066" spans="7:8" x14ac:dyDescent="0.3">
      <c r="G2066" s="24">
        <v>2054</v>
      </c>
      <c r="H2066">
        <f t="shared" ca="1" si="35"/>
        <v>-7.3823931483680591E-2</v>
      </c>
    </row>
    <row r="2067" spans="7:8" x14ac:dyDescent="0.3">
      <c r="G2067" s="24">
        <v>2055</v>
      </c>
      <c r="H2067">
        <f t="shared" ca="1" si="35"/>
        <v>3.8550485794728466E-2</v>
      </c>
    </row>
    <row r="2068" spans="7:8" x14ac:dyDescent="0.3">
      <c r="G2068" s="24">
        <v>2056</v>
      </c>
      <c r="H2068">
        <f t="shared" ca="1" si="35"/>
        <v>-3.8574424983662359E-3</v>
      </c>
    </row>
    <row r="2069" spans="7:8" x14ac:dyDescent="0.3">
      <c r="G2069" s="24">
        <v>2057</v>
      </c>
      <c r="H2069">
        <f t="shared" ca="1" si="35"/>
        <v>7.5407413526473482E-2</v>
      </c>
    </row>
    <row r="2070" spans="7:8" x14ac:dyDescent="0.3">
      <c r="G2070" s="24">
        <v>2058</v>
      </c>
      <c r="H2070">
        <f t="shared" ca="1" si="35"/>
        <v>2.1582640418565283E-2</v>
      </c>
    </row>
    <row r="2071" spans="7:8" x14ac:dyDescent="0.3">
      <c r="G2071" s="24">
        <v>2059</v>
      </c>
      <c r="H2071">
        <f t="shared" ca="1" si="35"/>
        <v>0.10187438625925768</v>
      </c>
    </row>
    <row r="2072" spans="7:8" x14ac:dyDescent="0.3">
      <c r="G2072" s="24">
        <v>2060</v>
      </c>
      <c r="H2072">
        <f t="shared" ca="1" si="35"/>
        <v>9.6150635091217188E-3</v>
      </c>
    </row>
    <row r="2073" spans="7:8" x14ac:dyDescent="0.3">
      <c r="G2073" s="24">
        <v>2061</v>
      </c>
      <c r="H2073">
        <f t="shared" ca="1" si="35"/>
        <v>9.3279361784496858E-3</v>
      </c>
    </row>
    <row r="2074" spans="7:8" x14ac:dyDescent="0.3">
      <c r="G2074" s="24">
        <v>2062</v>
      </c>
      <c r="H2074">
        <f t="shared" ca="1" si="35"/>
        <v>4.4320079728911374E-2</v>
      </c>
    </row>
    <row r="2075" spans="7:8" x14ac:dyDescent="0.3">
      <c r="G2075" s="24">
        <v>2063</v>
      </c>
      <c r="H2075">
        <f t="shared" ca="1" si="35"/>
        <v>2.6290657763484625E-2</v>
      </c>
    </row>
    <row r="2076" spans="7:8" x14ac:dyDescent="0.3">
      <c r="G2076" s="24">
        <v>2064</v>
      </c>
      <c r="H2076">
        <f t="shared" ca="1" si="35"/>
        <v>2.4117468655590935E-2</v>
      </c>
    </row>
    <row r="2077" spans="7:8" x14ac:dyDescent="0.3">
      <c r="G2077" s="24">
        <v>2065</v>
      </c>
      <c r="H2077">
        <f t="shared" ca="1" si="35"/>
        <v>-0.12867201466649983</v>
      </c>
    </row>
    <row r="2078" spans="7:8" x14ac:dyDescent="0.3">
      <c r="G2078" s="24">
        <v>2066</v>
      </c>
      <c r="H2078">
        <f t="shared" ca="1" si="35"/>
        <v>8.2913419416003872E-2</v>
      </c>
    </row>
    <row r="2079" spans="7:8" x14ac:dyDescent="0.3">
      <c r="G2079" s="24">
        <v>2067</v>
      </c>
      <c r="H2079">
        <f t="shared" ca="1" si="35"/>
        <v>9.3452586020623007E-2</v>
      </c>
    </row>
    <row r="2080" spans="7:8" x14ac:dyDescent="0.3">
      <c r="G2080" s="24">
        <v>2068</v>
      </c>
      <c r="H2080">
        <f t="shared" ca="1" si="35"/>
        <v>-9.0433717291246607E-2</v>
      </c>
    </row>
    <row r="2081" spans="7:8" x14ac:dyDescent="0.3">
      <c r="G2081" s="24">
        <v>2069</v>
      </c>
      <c r="H2081">
        <f t="shared" ca="1" si="35"/>
        <v>-1.0459045969787828E-2</v>
      </c>
    </row>
    <row r="2082" spans="7:8" x14ac:dyDescent="0.3">
      <c r="G2082" s="24">
        <v>2070</v>
      </c>
      <c r="H2082">
        <f t="shared" ca="1" si="35"/>
        <v>1.2004963137979833E-2</v>
      </c>
    </row>
    <row r="2083" spans="7:8" x14ac:dyDescent="0.3">
      <c r="G2083" s="24">
        <v>2071</v>
      </c>
      <c r="H2083">
        <f t="shared" ca="1" si="35"/>
        <v>3.9457666171540402E-2</v>
      </c>
    </row>
    <row r="2084" spans="7:8" x14ac:dyDescent="0.3">
      <c r="G2084" s="24">
        <v>2072</v>
      </c>
      <c r="H2084">
        <f t="shared" ca="1" si="35"/>
        <v>-0.12232340642529292</v>
      </c>
    </row>
    <row r="2085" spans="7:8" x14ac:dyDescent="0.3">
      <c r="G2085" s="24">
        <v>2073</v>
      </c>
      <c r="H2085">
        <f t="shared" ca="1" si="35"/>
        <v>-9.9675861730709886E-2</v>
      </c>
    </row>
    <row r="2086" spans="7:8" x14ac:dyDescent="0.3">
      <c r="G2086" s="24">
        <v>2074</v>
      </c>
      <c r="H2086">
        <f t="shared" ca="1" si="35"/>
        <v>-5.5096093117653351E-2</v>
      </c>
    </row>
    <row r="2087" spans="7:8" x14ac:dyDescent="0.3">
      <c r="G2087" s="24">
        <v>2075</v>
      </c>
      <c r="H2087">
        <f t="shared" ca="1" si="35"/>
        <v>-1.5173891363564375E-2</v>
      </c>
    </row>
    <row r="2088" spans="7:8" x14ac:dyDescent="0.3">
      <c r="G2088" s="24">
        <v>2076</v>
      </c>
      <c r="H2088">
        <f t="shared" ca="1" si="35"/>
        <v>-8.0323290810292533E-2</v>
      </c>
    </row>
    <row r="2089" spans="7:8" x14ac:dyDescent="0.3">
      <c r="G2089" s="24">
        <v>2077</v>
      </c>
      <c r="H2089">
        <f t="shared" ca="1" si="35"/>
        <v>-3.1386843057387051E-2</v>
      </c>
    </row>
    <row r="2090" spans="7:8" x14ac:dyDescent="0.3">
      <c r="G2090" s="24">
        <v>2078</v>
      </c>
      <c r="H2090">
        <f t="shared" ca="1" si="35"/>
        <v>-4.9567253278467067E-2</v>
      </c>
    </row>
    <row r="2091" spans="7:8" x14ac:dyDescent="0.3">
      <c r="G2091" s="24">
        <v>2079</v>
      </c>
      <c r="H2091">
        <f t="shared" ca="1" si="35"/>
        <v>-0.10012348291983793</v>
      </c>
    </row>
    <row r="2092" spans="7:8" x14ac:dyDescent="0.3">
      <c r="G2092" s="24">
        <v>2080</v>
      </c>
      <c r="H2092">
        <f t="shared" ca="1" si="35"/>
        <v>-5.7829181421139027E-2</v>
      </c>
    </row>
    <row r="2093" spans="7:8" x14ac:dyDescent="0.3">
      <c r="G2093" s="24">
        <v>2081</v>
      </c>
      <c r="H2093">
        <f t="shared" ca="1" si="35"/>
        <v>3.533144939305996E-2</v>
      </c>
    </row>
    <row r="2094" spans="7:8" x14ac:dyDescent="0.3">
      <c r="G2094" s="24">
        <v>2082</v>
      </c>
      <c r="H2094">
        <f t="shared" ca="1" si="35"/>
        <v>-6.4970340662317397E-2</v>
      </c>
    </row>
    <row r="2095" spans="7:8" x14ac:dyDescent="0.3">
      <c r="G2095" s="24">
        <v>2083</v>
      </c>
      <c r="H2095">
        <f t="shared" ca="1" si="35"/>
        <v>5.1171023094010032E-2</v>
      </c>
    </row>
    <row r="2096" spans="7:8" x14ac:dyDescent="0.3">
      <c r="G2096" s="24">
        <v>2084</v>
      </c>
      <c r="H2096">
        <f t="shared" ca="1" si="35"/>
        <v>-1.6340406578418971E-2</v>
      </c>
    </row>
    <row r="2097" spans="7:8" x14ac:dyDescent="0.3">
      <c r="G2097" s="24">
        <v>2085</v>
      </c>
      <c r="H2097">
        <f t="shared" ca="1" si="35"/>
        <v>5.2636556267096207E-2</v>
      </c>
    </row>
    <row r="2098" spans="7:8" x14ac:dyDescent="0.3">
      <c r="G2098" s="24">
        <v>2086</v>
      </c>
      <c r="H2098">
        <f t="shared" ca="1" si="35"/>
        <v>-0.14577503031301875</v>
      </c>
    </row>
    <row r="2099" spans="7:8" x14ac:dyDescent="0.3">
      <c r="G2099" s="24">
        <v>2087</v>
      </c>
      <c r="H2099">
        <f t="shared" ca="1" si="35"/>
        <v>-3.9905900559174898E-3</v>
      </c>
    </row>
    <row r="2100" spans="7:8" x14ac:dyDescent="0.3">
      <c r="G2100" s="24">
        <v>2088</v>
      </c>
      <c r="H2100">
        <f t="shared" ca="1" si="35"/>
        <v>0.10595523743519</v>
      </c>
    </row>
    <row r="2101" spans="7:8" x14ac:dyDescent="0.3">
      <c r="G2101" s="24">
        <v>2089</v>
      </c>
      <c r="H2101">
        <f t="shared" ca="1" si="35"/>
        <v>-2.8798467849440947E-3</v>
      </c>
    </row>
    <row r="2102" spans="7:8" x14ac:dyDescent="0.3">
      <c r="G2102" s="24">
        <v>2090</v>
      </c>
      <c r="H2102">
        <f t="shared" ca="1" si="35"/>
        <v>6.3583752697104423E-2</v>
      </c>
    </row>
    <row r="2103" spans="7:8" x14ac:dyDescent="0.3">
      <c r="G2103" s="24">
        <v>2091</v>
      </c>
      <c r="H2103">
        <f t="shared" ca="1" si="35"/>
        <v>2.7730934867882986E-2</v>
      </c>
    </row>
    <row r="2104" spans="7:8" x14ac:dyDescent="0.3">
      <c r="G2104" s="24">
        <v>2092</v>
      </c>
      <c r="H2104">
        <f t="shared" ca="1" si="35"/>
        <v>-2.0451905234261412E-2</v>
      </c>
    </row>
    <row r="2105" spans="7:8" x14ac:dyDescent="0.3">
      <c r="G2105" s="24">
        <v>2093</v>
      </c>
      <c r="H2105">
        <f t="shared" ca="1" si="35"/>
        <v>2.8330134492187835E-2</v>
      </c>
    </row>
    <row r="2106" spans="7:8" x14ac:dyDescent="0.3">
      <c r="G2106" s="24">
        <v>2094</v>
      </c>
      <c r="H2106">
        <f t="shared" ca="1" si="35"/>
        <v>0.11314237831407936</v>
      </c>
    </row>
    <row r="2107" spans="7:8" x14ac:dyDescent="0.3">
      <c r="G2107" s="24">
        <v>2095</v>
      </c>
      <c r="H2107">
        <f t="shared" ca="1" si="35"/>
        <v>-0.11619055889092042</v>
      </c>
    </row>
    <row r="2108" spans="7:8" x14ac:dyDescent="0.3">
      <c r="G2108" s="24">
        <v>2096</v>
      </c>
      <c r="H2108">
        <f t="shared" ca="1" si="35"/>
        <v>6.0045573877724308E-2</v>
      </c>
    </row>
    <row r="2109" spans="7:8" x14ac:dyDescent="0.3">
      <c r="G2109" s="24">
        <v>2097</v>
      </c>
      <c r="H2109">
        <f t="shared" ca="1" si="35"/>
        <v>-2.4014557755068218E-3</v>
      </c>
    </row>
    <row r="2110" spans="7:8" x14ac:dyDescent="0.3">
      <c r="G2110" s="24">
        <v>2098</v>
      </c>
      <c r="H2110">
        <f t="shared" ca="1" si="35"/>
        <v>1.1944721852448223E-2</v>
      </c>
    </row>
    <row r="2111" spans="7:8" x14ac:dyDescent="0.3">
      <c r="G2111" s="24">
        <v>2099</v>
      </c>
      <c r="H2111">
        <f t="shared" ca="1" si="35"/>
        <v>6.5985548181259582E-2</v>
      </c>
    </row>
    <row r="2112" spans="7:8" x14ac:dyDescent="0.3">
      <c r="G2112" s="24">
        <v>2100</v>
      </c>
      <c r="H2112">
        <f t="shared" ca="1" si="35"/>
        <v>0.16884680753488709</v>
      </c>
    </row>
    <row r="2113" spans="7:8" x14ac:dyDescent="0.3">
      <c r="G2113" s="24">
        <v>2101</v>
      </c>
      <c r="H2113">
        <f t="shared" ca="1" si="35"/>
        <v>0.14564045047185831</v>
      </c>
    </row>
    <row r="2114" spans="7:8" x14ac:dyDescent="0.3">
      <c r="G2114" s="24">
        <v>2102</v>
      </c>
      <c r="H2114">
        <f t="shared" ca="1" si="35"/>
        <v>2.30424556962027E-2</v>
      </c>
    </row>
    <row r="2115" spans="7:8" x14ac:dyDescent="0.3">
      <c r="G2115" s="24">
        <v>2103</v>
      </c>
      <c r="H2115">
        <f t="shared" ca="1" si="35"/>
        <v>-5.5749257155677946E-2</v>
      </c>
    </row>
    <row r="2116" spans="7:8" x14ac:dyDescent="0.3">
      <c r="G2116" s="24">
        <v>2104</v>
      </c>
      <c r="H2116">
        <f t="shared" ca="1" si="35"/>
        <v>-3.2661615785321306E-2</v>
      </c>
    </row>
    <row r="2117" spans="7:8" x14ac:dyDescent="0.3">
      <c r="G2117" s="24">
        <v>2105</v>
      </c>
      <c r="H2117">
        <f t="shared" ca="1" si="35"/>
        <v>-6.5401678052600387E-2</v>
      </c>
    </row>
    <row r="2118" spans="7:8" x14ac:dyDescent="0.3">
      <c r="G2118" s="24">
        <v>2106</v>
      </c>
      <c r="H2118">
        <f t="shared" ca="1" si="35"/>
        <v>8.8012289199867842E-3</v>
      </c>
    </row>
    <row r="2119" spans="7:8" x14ac:dyDescent="0.3">
      <c r="G2119" s="24">
        <v>2107</v>
      </c>
      <c r="H2119">
        <f t="shared" ca="1" si="35"/>
        <v>-3.1797764256507634E-2</v>
      </c>
    </row>
    <row r="2120" spans="7:8" x14ac:dyDescent="0.3">
      <c r="G2120" s="24">
        <v>2108</v>
      </c>
      <c r="H2120">
        <f t="shared" ca="1" si="35"/>
        <v>3.9318549804007959E-2</v>
      </c>
    </row>
    <row r="2121" spans="7:8" x14ac:dyDescent="0.3">
      <c r="G2121" s="24">
        <v>2109</v>
      </c>
      <c r="H2121">
        <f t="shared" ca="1" si="35"/>
        <v>-7.931422646776487E-2</v>
      </c>
    </row>
    <row r="2122" spans="7:8" x14ac:dyDescent="0.3">
      <c r="G2122" s="24">
        <v>2110</v>
      </c>
      <c r="H2122">
        <f t="shared" ca="1" si="35"/>
        <v>0.16838717309842566</v>
      </c>
    </row>
    <row r="2123" spans="7:8" x14ac:dyDescent="0.3">
      <c r="G2123" s="24">
        <v>2111</v>
      </c>
      <c r="H2123">
        <f t="shared" ca="1" si="35"/>
        <v>-0.10392785092115041</v>
      </c>
    </row>
    <row r="2124" spans="7:8" x14ac:dyDescent="0.3">
      <c r="G2124" s="24">
        <v>2112</v>
      </c>
      <c r="H2124">
        <f t="shared" ca="1" si="35"/>
        <v>4.2744311424575071E-3</v>
      </c>
    </row>
    <row r="2125" spans="7:8" x14ac:dyDescent="0.3">
      <c r="G2125" s="24">
        <v>2113</v>
      </c>
      <c r="H2125">
        <f t="shared" ca="1" si="35"/>
        <v>-0.22430754520368831</v>
      </c>
    </row>
    <row r="2126" spans="7:8" x14ac:dyDescent="0.3">
      <c r="G2126" s="24">
        <v>2114</v>
      </c>
      <c r="H2126">
        <f t="shared" ref="H2126:H2189" ca="1" si="36">_xlfn.NORM.INV(RAND(),N$13,N$14)</f>
        <v>0.11983705911793455</v>
      </c>
    </row>
    <row r="2127" spans="7:8" x14ac:dyDescent="0.3">
      <c r="G2127" s="24">
        <v>2115</v>
      </c>
      <c r="H2127">
        <f t="shared" ca="1" si="36"/>
        <v>5.8703571218180917E-3</v>
      </c>
    </row>
    <row r="2128" spans="7:8" x14ac:dyDescent="0.3">
      <c r="G2128" s="24">
        <v>2116</v>
      </c>
      <c r="H2128">
        <f t="shared" ca="1" si="36"/>
        <v>4.3735029543340777E-2</v>
      </c>
    </row>
    <row r="2129" spans="7:8" x14ac:dyDescent="0.3">
      <c r="G2129" s="24">
        <v>2117</v>
      </c>
      <c r="H2129">
        <f t="shared" ca="1" si="36"/>
        <v>1.7882804695153409E-2</v>
      </c>
    </row>
    <row r="2130" spans="7:8" x14ac:dyDescent="0.3">
      <c r="G2130" s="24">
        <v>2118</v>
      </c>
      <c r="H2130">
        <f t="shared" ca="1" si="36"/>
        <v>-9.9441164157330397E-2</v>
      </c>
    </row>
    <row r="2131" spans="7:8" x14ac:dyDescent="0.3">
      <c r="G2131" s="24">
        <v>2119</v>
      </c>
      <c r="H2131">
        <f t="shared" ca="1" si="36"/>
        <v>-2.6883388865077372E-2</v>
      </c>
    </row>
    <row r="2132" spans="7:8" x14ac:dyDescent="0.3">
      <c r="G2132" s="24">
        <v>2120</v>
      </c>
      <c r="H2132">
        <f t="shared" ca="1" si="36"/>
        <v>8.3415527692067393E-2</v>
      </c>
    </row>
    <row r="2133" spans="7:8" x14ac:dyDescent="0.3">
      <c r="G2133" s="24">
        <v>2121</v>
      </c>
      <c r="H2133">
        <f t="shared" ca="1" si="36"/>
        <v>3.1002503382844097E-3</v>
      </c>
    </row>
    <row r="2134" spans="7:8" x14ac:dyDescent="0.3">
      <c r="G2134" s="24">
        <v>2122</v>
      </c>
      <c r="H2134">
        <f t="shared" ca="1" si="36"/>
        <v>7.0058641489683417E-3</v>
      </c>
    </row>
    <row r="2135" spans="7:8" x14ac:dyDescent="0.3">
      <c r="G2135" s="24">
        <v>2123</v>
      </c>
      <c r="H2135">
        <f t="shared" ca="1" si="36"/>
        <v>3.0277704094010701E-2</v>
      </c>
    </row>
    <row r="2136" spans="7:8" x14ac:dyDescent="0.3">
      <c r="G2136" s="24">
        <v>2124</v>
      </c>
      <c r="H2136">
        <f t="shared" ca="1" si="36"/>
        <v>-6.4455477381292939E-2</v>
      </c>
    </row>
    <row r="2137" spans="7:8" x14ac:dyDescent="0.3">
      <c r="G2137" s="24">
        <v>2125</v>
      </c>
      <c r="H2137">
        <f t="shared" ca="1" si="36"/>
        <v>5.6599908523616037E-2</v>
      </c>
    </row>
    <row r="2138" spans="7:8" x14ac:dyDescent="0.3">
      <c r="G2138" s="24">
        <v>2126</v>
      </c>
      <c r="H2138">
        <f t="shared" ca="1" si="36"/>
        <v>-1.3739189856575518E-2</v>
      </c>
    </row>
    <row r="2139" spans="7:8" x14ac:dyDescent="0.3">
      <c r="G2139" s="24">
        <v>2127</v>
      </c>
      <c r="H2139">
        <f t="shared" ca="1" si="36"/>
        <v>-6.2005961433615926E-2</v>
      </c>
    </row>
    <row r="2140" spans="7:8" x14ac:dyDescent="0.3">
      <c r="G2140" s="24">
        <v>2128</v>
      </c>
      <c r="H2140">
        <f t="shared" ca="1" si="36"/>
        <v>-8.5933821566024207E-2</v>
      </c>
    </row>
    <row r="2141" spans="7:8" x14ac:dyDescent="0.3">
      <c r="G2141" s="24">
        <v>2129</v>
      </c>
      <c r="H2141">
        <f t="shared" ca="1" si="36"/>
        <v>-0.13133849505826251</v>
      </c>
    </row>
    <row r="2142" spans="7:8" x14ac:dyDescent="0.3">
      <c r="G2142" s="24">
        <v>2130</v>
      </c>
      <c r="H2142">
        <f t="shared" ca="1" si="36"/>
        <v>-8.7385186454795507E-3</v>
      </c>
    </row>
    <row r="2143" spans="7:8" x14ac:dyDescent="0.3">
      <c r="G2143" s="24">
        <v>2131</v>
      </c>
      <c r="H2143">
        <f t="shared" ca="1" si="36"/>
        <v>-3.8929555653931185E-2</v>
      </c>
    </row>
    <row r="2144" spans="7:8" x14ac:dyDescent="0.3">
      <c r="G2144" s="24">
        <v>2132</v>
      </c>
      <c r="H2144">
        <f t="shared" ca="1" si="36"/>
        <v>-4.1343143893594739E-2</v>
      </c>
    </row>
    <row r="2145" spans="7:8" x14ac:dyDescent="0.3">
      <c r="G2145" s="24">
        <v>2133</v>
      </c>
      <c r="H2145">
        <f t="shared" ca="1" si="36"/>
        <v>-8.570215974163857E-2</v>
      </c>
    </row>
    <row r="2146" spans="7:8" x14ac:dyDescent="0.3">
      <c r="G2146" s="24">
        <v>2134</v>
      </c>
      <c r="H2146">
        <f t="shared" ca="1" si="36"/>
        <v>-6.3678872667843653E-2</v>
      </c>
    </row>
    <row r="2147" spans="7:8" x14ac:dyDescent="0.3">
      <c r="G2147" s="24">
        <v>2135</v>
      </c>
      <c r="H2147">
        <f t="shared" ca="1" si="36"/>
        <v>6.871736452929067E-2</v>
      </c>
    </row>
    <row r="2148" spans="7:8" x14ac:dyDescent="0.3">
      <c r="G2148" s="24">
        <v>2136</v>
      </c>
      <c r="H2148">
        <f t="shared" ca="1" si="36"/>
        <v>-2.6271487263646046E-2</v>
      </c>
    </row>
    <row r="2149" spans="7:8" x14ac:dyDescent="0.3">
      <c r="G2149" s="24">
        <v>2137</v>
      </c>
      <c r="H2149">
        <f t="shared" ca="1" si="36"/>
        <v>8.0113364904205744E-2</v>
      </c>
    </row>
    <row r="2150" spans="7:8" x14ac:dyDescent="0.3">
      <c r="G2150" s="24">
        <v>2138</v>
      </c>
      <c r="H2150">
        <f t="shared" ca="1" si="36"/>
        <v>-8.96798776062223E-2</v>
      </c>
    </row>
    <row r="2151" spans="7:8" x14ac:dyDescent="0.3">
      <c r="G2151" s="24">
        <v>2139</v>
      </c>
      <c r="H2151">
        <f t="shared" ca="1" si="36"/>
        <v>-2.0741037523161979E-2</v>
      </c>
    </row>
    <row r="2152" spans="7:8" x14ac:dyDescent="0.3">
      <c r="G2152" s="24">
        <v>2140</v>
      </c>
      <c r="H2152">
        <f t="shared" ca="1" si="36"/>
        <v>3.7999748899940206E-2</v>
      </c>
    </row>
    <row r="2153" spans="7:8" x14ac:dyDescent="0.3">
      <c r="G2153" s="24">
        <v>2141</v>
      </c>
      <c r="H2153">
        <f t="shared" ca="1" si="36"/>
        <v>-3.9830917377363738E-2</v>
      </c>
    </row>
    <row r="2154" spans="7:8" x14ac:dyDescent="0.3">
      <c r="G2154" s="24">
        <v>2142</v>
      </c>
      <c r="H2154">
        <f t="shared" ca="1" si="36"/>
        <v>-2.0306813296246558E-2</v>
      </c>
    </row>
    <row r="2155" spans="7:8" x14ac:dyDescent="0.3">
      <c r="G2155" s="24">
        <v>2143</v>
      </c>
      <c r="H2155">
        <f t="shared" ca="1" si="36"/>
        <v>4.5900559714308044E-2</v>
      </c>
    </row>
    <row r="2156" spans="7:8" x14ac:dyDescent="0.3">
      <c r="G2156" s="24">
        <v>2144</v>
      </c>
      <c r="H2156">
        <f t="shared" ca="1" si="36"/>
        <v>-1.1845266935107932E-2</v>
      </c>
    </row>
    <row r="2157" spans="7:8" x14ac:dyDescent="0.3">
      <c r="G2157" s="24">
        <v>2145</v>
      </c>
      <c r="H2157">
        <f t="shared" ca="1" si="36"/>
        <v>6.2403511756703868E-2</v>
      </c>
    </row>
    <row r="2158" spans="7:8" x14ac:dyDescent="0.3">
      <c r="G2158" s="24">
        <v>2146</v>
      </c>
      <c r="H2158">
        <f t="shared" ca="1" si="36"/>
        <v>4.0993438827281334E-2</v>
      </c>
    </row>
    <row r="2159" spans="7:8" x14ac:dyDescent="0.3">
      <c r="G2159" s="24">
        <v>2147</v>
      </c>
      <c r="H2159">
        <f t="shared" ca="1" si="36"/>
        <v>0.10016173483751253</v>
      </c>
    </row>
    <row r="2160" spans="7:8" x14ac:dyDescent="0.3">
      <c r="G2160" s="24">
        <v>2148</v>
      </c>
      <c r="H2160">
        <f t="shared" ca="1" si="36"/>
        <v>1.4560536671648409E-2</v>
      </c>
    </row>
    <row r="2161" spans="7:8" x14ac:dyDescent="0.3">
      <c r="G2161" s="24">
        <v>2149</v>
      </c>
      <c r="H2161">
        <f t="shared" ca="1" si="36"/>
        <v>2.7396312829518057E-2</v>
      </c>
    </row>
    <row r="2162" spans="7:8" x14ac:dyDescent="0.3">
      <c r="G2162" s="24">
        <v>2150</v>
      </c>
      <c r="H2162">
        <f t="shared" ca="1" si="36"/>
        <v>-0.14968892391493244</v>
      </c>
    </row>
    <row r="2163" spans="7:8" x14ac:dyDescent="0.3">
      <c r="G2163" s="24">
        <v>2151</v>
      </c>
      <c r="H2163">
        <f t="shared" ca="1" si="36"/>
        <v>-4.416460087874028E-2</v>
      </c>
    </row>
    <row r="2164" spans="7:8" x14ac:dyDescent="0.3">
      <c r="G2164" s="24">
        <v>2152</v>
      </c>
      <c r="H2164">
        <f t="shared" ca="1" si="36"/>
        <v>1.4786102181619529E-3</v>
      </c>
    </row>
    <row r="2165" spans="7:8" x14ac:dyDescent="0.3">
      <c r="G2165" s="24">
        <v>2153</v>
      </c>
      <c r="H2165">
        <f t="shared" ca="1" si="36"/>
        <v>1.6348253207206953E-2</v>
      </c>
    </row>
    <row r="2166" spans="7:8" x14ac:dyDescent="0.3">
      <c r="G2166" s="24">
        <v>2154</v>
      </c>
      <c r="H2166">
        <f t="shared" ca="1" si="36"/>
        <v>-6.8005579467327784E-2</v>
      </c>
    </row>
    <row r="2167" spans="7:8" x14ac:dyDescent="0.3">
      <c r="G2167" s="24">
        <v>2155</v>
      </c>
      <c r="H2167">
        <f t="shared" ca="1" si="36"/>
        <v>-8.0706502349062997E-3</v>
      </c>
    </row>
    <row r="2168" spans="7:8" x14ac:dyDescent="0.3">
      <c r="G2168" s="24">
        <v>2156</v>
      </c>
      <c r="H2168">
        <f t="shared" ca="1" si="36"/>
        <v>-1.6451951462113999E-2</v>
      </c>
    </row>
    <row r="2169" spans="7:8" x14ac:dyDescent="0.3">
      <c r="G2169" s="24">
        <v>2157</v>
      </c>
      <c r="H2169">
        <f t="shared" ca="1" si="36"/>
        <v>0.10643259900547797</v>
      </c>
    </row>
    <row r="2170" spans="7:8" x14ac:dyDescent="0.3">
      <c r="G2170" s="24">
        <v>2158</v>
      </c>
      <c r="H2170">
        <f t="shared" ca="1" si="36"/>
        <v>-6.5934488903560379E-2</v>
      </c>
    </row>
    <row r="2171" spans="7:8" x14ac:dyDescent="0.3">
      <c r="G2171" s="24">
        <v>2159</v>
      </c>
      <c r="H2171">
        <f t="shared" ca="1" si="36"/>
        <v>-8.4155118095241302E-2</v>
      </c>
    </row>
    <row r="2172" spans="7:8" x14ac:dyDescent="0.3">
      <c r="G2172" s="24">
        <v>2160</v>
      </c>
      <c r="H2172">
        <f t="shared" ca="1" si="36"/>
        <v>-4.2846924777299317E-2</v>
      </c>
    </row>
    <row r="2173" spans="7:8" x14ac:dyDescent="0.3">
      <c r="G2173" s="24">
        <v>2161</v>
      </c>
      <c r="H2173">
        <f t="shared" ca="1" si="36"/>
        <v>8.7054435344669806E-2</v>
      </c>
    </row>
    <row r="2174" spans="7:8" x14ac:dyDescent="0.3">
      <c r="G2174" s="24">
        <v>2162</v>
      </c>
      <c r="H2174">
        <f t="shared" ca="1" si="36"/>
        <v>-8.6675130258190125E-2</v>
      </c>
    </row>
    <row r="2175" spans="7:8" x14ac:dyDescent="0.3">
      <c r="G2175" s="24">
        <v>2163</v>
      </c>
      <c r="H2175">
        <f t="shared" ca="1" si="36"/>
        <v>-1.1962553087241442E-2</v>
      </c>
    </row>
    <row r="2176" spans="7:8" x14ac:dyDescent="0.3">
      <c r="G2176" s="24">
        <v>2164</v>
      </c>
      <c r="H2176">
        <f t="shared" ca="1" si="36"/>
        <v>-4.813562461589585E-2</v>
      </c>
    </row>
    <row r="2177" spans="7:8" x14ac:dyDescent="0.3">
      <c r="G2177" s="24">
        <v>2165</v>
      </c>
      <c r="H2177">
        <f t="shared" ca="1" si="36"/>
        <v>0.10810784542294091</v>
      </c>
    </row>
    <row r="2178" spans="7:8" x14ac:dyDescent="0.3">
      <c r="G2178" s="24">
        <v>2166</v>
      </c>
      <c r="H2178">
        <f t="shared" ca="1" si="36"/>
        <v>6.6207060064397708E-2</v>
      </c>
    </row>
    <row r="2179" spans="7:8" x14ac:dyDescent="0.3">
      <c r="G2179" s="24">
        <v>2167</v>
      </c>
      <c r="H2179">
        <f t="shared" ca="1" si="36"/>
        <v>4.7307627682165822E-2</v>
      </c>
    </row>
    <row r="2180" spans="7:8" x14ac:dyDescent="0.3">
      <c r="G2180" s="24">
        <v>2168</v>
      </c>
      <c r="H2180">
        <f t="shared" ca="1" si="36"/>
        <v>3.8482091877883561E-2</v>
      </c>
    </row>
    <row r="2181" spans="7:8" x14ac:dyDescent="0.3">
      <c r="G2181" s="24">
        <v>2169</v>
      </c>
      <c r="H2181">
        <f t="shared" ca="1" si="36"/>
        <v>3.4205397028027086E-2</v>
      </c>
    </row>
    <row r="2182" spans="7:8" x14ac:dyDescent="0.3">
      <c r="G2182" s="24">
        <v>2170</v>
      </c>
      <c r="H2182">
        <f t="shared" ca="1" si="36"/>
        <v>2.5779530451001637E-2</v>
      </c>
    </row>
    <row r="2183" spans="7:8" x14ac:dyDescent="0.3">
      <c r="G2183" s="24">
        <v>2171</v>
      </c>
      <c r="H2183">
        <f t="shared" ca="1" si="36"/>
        <v>0.10682049596388439</v>
      </c>
    </row>
    <row r="2184" spans="7:8" x14ac:dyDescent="0.3">
      <c r="G2184" s="24">
        <v>2172</v>
      </c>
      <c r="H2184">
        <f t="shared" ca="1" si="36"/>
        <v>-3.8078605262960451E-3</v>
      </c>
    </row>
    <row r="2185" spans="7:8" x14ac:dyDescent="0.3">
      <c r="G2185" s="24">
        <v>2173</v>
      </c>
      <c r="H2185">
        <f t="shared" ca="1" si="36"/>
        <v>1.3860653430679994E-2</v>
      </c>
    </row>
    <row r="2186" spans="7:8" x14ac:dyDescent="0.3">
      <c r="G2186" s="24">
        <v>2174</v>
      </c>
      <c r="H2186">
        <f t="shared" ca="1" si="36"/>
        <v>1.3984197448010941E-2</v>
      </c>
    </row>
    <row r="2187" spans="7:8" x14ac:dyDescent="0.3">
      <c r="G2187" s="24">
        <v>2175</v>
      </c>
      <c r="H2187">
        <f t="shared" ca="1" si="36"/>
        <v>2.9901181868673923E-2</v>
      </c>
    </row>
    <row r="2188" spans="7:8" x14ac:dyDescent="0.3">
      <c r="G2188" s="24">
        <v>2176</v>
      </c>
      <c r="H2188">
        <f t="shared" ca="1" si="36"/>
        <v>1.6103587484318796E-2</v>
      </c>
    </row>
    <row r="2189" spans="7:8" x14ac:dyDescent="0.3">
      <c r="G2189" s="24">
        <v>2177</v>
      </c>
      <c r="H2189">
        <f t="shared" ca="1" si="36"/>
        <v>4.1974199722135778E-2</v>
      </c>
    </row>
    <row r="2190" spans="7:8" x14ac:dyDescent="0.3">
      <c r="G2190" s="24">
        <v>2178</v>
      </c>
      <c r="H2190">
        <f t="shared" ref="H2190:H2253" ca="1" si="37">_xlfn.NORM.INV(RAND(),N$13,N$14)</f>
        <v>-8.7493394388049428E-2</v>
      </c>
    </row>
    <row r="2191" spans="7:8" x14ac:dyDescent="0.3">
      <c r="G2191" s="24">
        <v>2179</v>
      </c>
      <c r="H2191">
        <f t="shared" ca="1" si="37"/>
        <v>-2.6089538377043083E-2</v>
      </c>
    </row>
    <row r="2192" spans="7:8" x14ac:dyDescent="0.3">
      <c r="G2192" s="24">
        <v>2180</v>
      </c>
      <c r="H2192">
        <f t="shared" ca="1" si="37"/>
        <v>-0.12265892390107018</v>
      </c>
    </row>
    <row r="2193" spans="7:8" x14ac:dyDescent="0.3">
      <c r="G2193" s="24">
        <v>2181</v>
      </c>
      <c r="H2193">
        <f t="shared" ca="1" si="37"/>
        <v>-3.4693635527929499E-2</v>
      </c>
    </row>
    <row r="2194" spans="7:8" x14ac:dyDescent="0.3">
      <c r="G2194" s="24">
        <v>2182</v>
      </c>
      <c r="H2194">
        <f t="shared" ca="1" si="37"/>
        <v>2.4254031043103357E-2</v>
      </c>
    </row>
    <row r="2195" spans="7:8" x14ac:dyDescent="0.3">
      <c r="G2195" s="24">
        <v>2183</v>
      </c>
      <c r="H2195">
        <f t="shared" ca="1" si="37"/>
        <v>-5.2404482600443746E-2</v>
      </c>
    </row>
    <row r="2196" spans="7:8" x14ac:dyDescent="0.3">
      <c r="G2196" s="24">
        <v>2184</v>
      </c>
      <c r="H2196">
        <f t="shared" ca="1" si="37"/>
        <v>-6.3882019048269068E-2</v>
      </c>
    </row>
    <row r="2197" spans="7:8" x14ac:dyDescent="0.3">
      <c r="G2197" s="24">
        <v>2185</v>
      </c>
      <c r="H2197">
        <f t="shared" ca="1" si="37"/>
        <v>1.4692681668057882E-2</v>
      </c>
    </row>
    <row r="2198" spans="7:8" x14ac:dyDescent="0.3">
      <c r="G2198" s="24">
        <v>2186</v>
      </c>
      <c r="H2198">
        <f t="shared" ca="1" si="37"/>
        <v>8.4702884899487494E-3</v>
      </c>
    </row>
    <row r="2199" spans="7:8" x14ac:dyDescent="0.3">
      <c r="G2199" s="24">
        <v>2187</v>
      </c>
      <c r="H2199">
        <f t="shared" ca="1" si="37"/>
        <v>-1.7199571540831377E-2</v>
      </c>
    </row>
    <row r="2200" spans="7:8" x14ac:dyDescent="0.3">
      <c r="G2200" s="24">
        <v>2188</v>
      </c>
      <c r="H2200">
        <f t="shared" ca="1" si="37"/>
        <v>-1.9651274978094966E-2</v>
      </c>
    </row>
    <row r="2201" spans="7:8" x14ac:dyDescent="0.3">
      <c r="G2201" s="24">
        <v>2189</v>
      </c>
      <c r="H2201">
        <f t="shared" ca="1" si="37"/>
        <v>2.6338839312039036E-2</v>
      </c>
    </row>
    <row r="2202" spans="7:8" x14ac:dyDescent="0.3">
      <c r="G2202" s="24">
        <v>2190</v>
      </c>
      <c r="H2202">
        <f t="shared" ca="1" si="37"/>
        <v>-3.883897177571926E-2</v>
      </c>
    </row>
    <row r="2203" spans="7:8" x14ac:dyDescent="0.3">
      <c r="G2203" s="24">
        <v>2191</v>
      </c>
      <c r="H2203">
        <f t="shared" ca="1" si="37"/>
        <v>-6.1433940975948446E-2</v>
      </c>
    </row>
    <row r="2204" spans="7:8" x14ac:dyDescent="0.3">
      <c r="G2204" s="24">
        <v>2192</v>
      </c>
      <c r="H2204">
        <f t="shared" ca="1" si="37"/>
        <v>-0.1863975007625614</v>
      </c>
    </row>
    <row r="2205" spans="7:8" x14ac:dyDescent="0.3">
      <c r="G2205" s="24">
        <v>2193</v>
      </c>
      <c r="H2205">
        <f t="shared" ca="1" si="37"/>
        <v>7.0288499200636834E-3</v>
      </c>
    </row>
    <row r="2206" spans="7:8" x14ac:dyDescent="0.3">
      <c r="G2206" s="24">
        <v>2194</v>
      </c>
      <c r="H2206">
        <f t="shared" ca="1" si="37"/>
        <v>-1.3649907343386905E-2</v>
      </c>
    </row>
    <row r="2207" spans="7:8" x14ac:dyDescent="0.3">
      <c r="G2207" s="24">
        <v>2195</v>
      </c>
      <c r="H2207">
        <f t="shared" ca="1" si="37"/>
        <v>7.1958341349665556E-2</v>
      </c>
    </row>
    <row r="2208" spans="7:8" x14ac:dyDescent="0.3">
      <c r="G2208" s="24">
        <v>2196</v>
      </c>
      <c r="H2208">
        <f t="shared" ca="1" si="37"/>
        <v>-2.0020180691212155E-2</v>
      </c>
    </row>
    <row r="2209" spans="7:8" x14ac:dyDescent="0.3">
      <c r="G2209" s="24">
        <v>2197</v>
      </c>
      <c r="H2209">
        <f t="shared" ca="1" si="37"/>
        <v>-2.3777537369779417E-2</v>
      </c>
    </row>
    <row r="2210" spans="7:8" x14ac:dyDescent="0.3">
      <c r="G2210" s="24">
        <v>2198</v>
      </c>
      <c r="H2210">
        <f t="shared" ca="1" si="37"/>
        <v>1.2552177447385947E-2</v>
      </c>
    </row>
    <row r="2211" spans="7:8" x14ac:dyDescent="0.3">
      <c r="G2211" s="24">
        <v>2199</v>
      </c>
      <c r="H2211">
        <f t="shared" ca="1" si="37"/>
        <v>-3.7043235178208539E-2</v>
      </c>
    </row>
    <row r="2212" spans="7:8" x14ac:dyDescent="0.3">
      <c r="G2212" s="24">
        <v>2200</v>
      </c>
      <c r="H2212">
        <f t="shared" ca="1" si="37"/>
        <v>-3.5549747670384005E-2</v>
      </c>
    </row>
    <row r="2213" spans="7:8" x14ac:dyDescent="0.3">
      <c r="G2213" s="24">
        <v>2201</v>
      </c>
      <c r="H2213">
        <f t="shared" ca="1" si="37"/>
        <v>8.5797999602361105E-2</v>
      </c>
    </row>
    <row r="2214" spans="7:8" x14ac:dyDescent="0.3">
      <c r="G2214" s="24">
        <v>2202</v>
      </c>
      <c r="H2214">
        <f t="shared" ca="1" si="37"/>
        <v>6.5527366107782065E-2</v>
      </c>
    </row>
    <row r="2215" spans="7:8" x14ac:dyDescent="0.3">
      <c r="G2215" s="24">
        <v>2203</v>
      </c>
      <c r="H2215">
        <f t="shared" ca="1" si="37"/>
        <v>7.018132100864162E-2</v>
      </c>
    </row>
    <row r="2216" spans="7:8" x14ac:dyDescent="0.3">
      <c r="G2216" s="24">
        <v>2204</v>
      </c>
      <c r="H2216">
        <f t="shared" ca="1" si="37"/>
        <v>-2.0540744012967644E-2</v>
      </c>
    </row>
    <row r="2217" spans="7:8" x14ac:dyDescent="0.3">
      <c r="G2217" s="24">
        <v>2205</v>
      </c>
      <c r="H2217">
        <f t="shared" ca="1" si="37"/>
        <v>5.8144296313688032E-2</v>
      </c>
    </row>
    <row r="2218" spans="7:8" x14ac:dyDescent="0.3">
      <c r="G2218" s="24">
        <v>2206</v>
      </c>
      <c r="H2218">
        <f t="shared" ca="1" si="37"/>
        <v>-7.5006824432617483E-2</v>
      </c>
    </row>
    <row r="2219" spans="7:8" x14ac:dyDescent="0.3">
      <c r="G2219" s="24">
        <v>2207</v>
      </c>
      <c r="H2219">
        <f t="shared" ca="1" si="37"/>
        <v>-4.6697675550222188E-2</v>
      </c>
    </row>
    <row r="2220" spans="7:8" x14ac:dyDescent="0.3">
      <c r="G2220" s="24">
        <v>2208</v>
      </c>
      <c r="H2220">
        <f t="shared" ca="1" si="37"/>
        <v>-2.3988717239548051E-2</v>
      </c>
    </row>
    <row r="2221" spans="7:8" x14ac:dyDescent="0.3">
      <c r="G2221" s="24">
        <v>2209</v>
      </c>
      <c r="H2221">
        <f t="shared" ca="1" si="37"/>
        <v>1.9126960450583132E-2</v>
      </c>
    </row>
    <row r="2222" spans="7:8" x14ac:dyDescent="0.3">
      <c r="G2222" s="24">
        <v>2210</v>
      </c>
      <c r="H2222">
        <f t="shared" ca="1" si="37"/>
        <v>-6.716550241296558E-2</v>
      </c>
    </row>
    <row r="2223" spans="7:8" x14ac:dyDescent="0.3">
      <c r="G2223" s="24">
        <v>2211</v>
      </c>
      <c r="H2223">
        <f t="shared" ca="1" si="37"/>
        <v>-5.6202047929717926E-2</v>
      </c>
    </row>
    <row r="2224" spans="7:8" x14ac:dyDescent="0.3">
      <c r="G2224" s="24">
        <v>2212</v>
      </c>
      <c r="H2224">
        <f t="shared" ca="1" si="37"/>
        <v>-3.6726393122744644E-2</v>
      </c>
    </row>
    <row r="2225" spans="7:8" x14ac:dyDescent="0.3">
      <c r="G2225" s="24">
        <v>2213</v>
      </c>
      <c r="H2225">
        <f t="shared" ca="1" si="37"/>
        <v>3.3913478137874202E-2</v>
      </c>
    </row>
    <row r="2226" spans="7:8" x14ac:dyDescent="0.3">
      <c r="G2226" s="24">
        <v>2214</v>
      </c>
      <c r="H2226">
        <f t="shared" ca="1" si="37"/>
        <v>-1.5708170792042689E-2</v>
      </c>
    </row>
    <row r="2227" spans="7:8" x14ac:dyDescent="0.3">
      <c r="G2227" s="24">
        <v>2215</v>
      </c>
      <c r="H2227">
        <f t="shared" ca="1" si="37"/>
        <v>5.1364811490469467E-2</v>
      </c>
    </row>
    <row r="2228" spans="7:8" x14ac:dyDescent="0.3">
      <c r="G2228" s="24">
        <v>2216</v>
      </c>
      <c r="H2228">
        <f t="shared" ca="1" si="37"/>
        <v>1.7865785754578225E-2</v>
      </c>
    </row>
    <row r="2229" spans="7:8" x14ac:dyDescent="0.3">
      <c r="G2229" s="24">
        <v>2217</v>
      </c>
      <c r="H2229">
        <f t="shared" ca="1" si="37"/>
        <v>-5.2940749716367863E-2</v>
      </c>
    </row>
    <row r="2230" spans="7:8" x14ac:dyDescent="0.3">
      <c r="G2230" s="24">
        <v>2218</v>
      </c>
      <c r="H2230">
        <f t="shared" ca="1" si="37"/>
        <v>-4.1628682754537356E-2</v>
      </c>
    </row>
    <row r="2231" spans="7:8" x14ac:dyDescent="0.3">
      <c r="G2231" s="24">
        <v>2219</v>
      </c>
      <c r="H2231">
        <f t="shared" ca="1" si="37"/>
        <v>3.6072992260036185E-2</v>
      </c>
    </row>
    <row r="2232" spans="7:8" x14ac:dyDescent="0.3">
      <c r="G2232" s="24">
        <v>2220</v>
      </c>
      <c r="H2232">
        <f t="shared" ca="1" si="37"/>
        <v>-4.3383523464683039E-3</v>
      </c>
    </row>
    <row r="2233" spans="7:8" x14ac:dyDescent="0.3">
      <c r="G2233" s="24">
        <v>2221</v>
      </c>
      <c r="H2233">
        <f t="shared" ca="1" si="37"/>
        <v>3.7616046438701436E-2</v>
      </c>
    </row>
    <row r="2234" spans="7:8" x14ac:dyDescent="0.3">
      <c r="G2234" s="24">
        <v>2222</v>
      </c>
      <c r="H2234">
        <f t="shared" ca="1" si="37"/>
        <v>2.9309692363951763E-2</v>
      </c>
    </row>
    <row r="2235" spans="7:8" x14ac:dyDescent="0.3">
      <c r="G2235" s="24">
        <v>2223</v>
      </c>
      <c r="H2235">
        <f t="shared" ca="1" si="37"/>
        <v>-7.7991682276200389E-2</v>
      </c>
    </row>
    <row r="2236" spans="7:8" x14ac:dyDescent="0.3">
      <c r="G2236" s="24">
        <v>2224</v>
      </c>
      <c r="H2236">
        <f t="shared" ca="1" si="37"/>
        <v>0.10531443879168791</v>
      </c>
    </row>
    <row r="2237" spans="7:8" x14ac:dyDescent="0.3">
      <c r="G2237" s="24">
        <v>2225</v>
      </c>
      <c r="H2237">
        <f t="shared" ca="1" si="37"/>
        <v>-2.2760596994413636E-2</v>
      </c>
    </row>
    <row r="2238" spans="7:8" x14ac:dyDescent="0.3">
      <c r="G2238" s="24">
        <v>2226</v>
      </c>
      <c r="H2238">
        <f t="shared" ca="1" si="37"/>
        <v>2.0764185190370335E-2</v>
      </c>
    </row>
    <row r="2239" spans="7:8" x14ac:dyDescent="0.3">
      <c r="G2239" s="24">
        <v>2227</v>
      </c>
      <c r="H2239">
        <f t="shared" ca="1" si="37"/>
        <v>7.9272328728536817E-2</v>
      </c>
    </row>
    <row r="2240" spans="7:8" x14ac:dyDescent="0.3">
      <c r="G2240" s="24">
        <v>2228</v>
      </c>
      <c r="H2240">
        <f t="shared" ca="1" si="37"/>
        <v>0.10010388663825452</v>
      </c>
    </row>
    <row r="2241" spans="7:8" x14ac:dyDescent="0.3">
      <c r="G2241" s="24">
        <v>2229</v>
      </c>
      <c r="H2241">
        <f t="shared" ca="1" si="37"/>
        <v>-1.2266620510075828E-2</v>
      </c>
    </row>
    <row r="2242" spans="7:8" x14ac:dyDescent="0.3">
      <c r="G2242" s="24">
        <v>2230</v>
      </c>
      <c r="H2242">
        <f t="shared" ca="1" si="37"/>
        <v>4.1250003827925687E-2</v>
      </c>
    </row>
    <row r="2243" spans="7:8" x14ac:dyDescent="0.3">
      <c r="G2243" s="24">
        <v>2231</v>
      </c>
      <c r="H2243">
        <f t="shared" ca="1" si="37"/>
        <v>-2.0645506373750473E-2</v>
      </c>
    </row>
    <row r="2244" spans="7:8" x14ac:dyDescent="0.3">
      <c r="G2244" s="24">
        <v>2232</v>
      </c>
      <c r="H2244">
        <f t="shared" ca="1" si="37"/>
        <v>3.3764626202793406E-2</v>
      </c>
    </row>
    <row r="2245" spans="7:8" x14ac:dyDescent="0.3">
      <c r="G2245" s="24">
        <v>2233</v>
      </c>
      <c r="H2245">
        <f t="shared" ca="1" si="37"/>
        <v>-6.945929205986133E-2</v>
      </c>
    </row>
    <row r="2246" spans="7:8" x14ac:dyDescent="0.3">
      <c r="G2246" s="24">
        <v>2234</v>
      </c>
      <c r="H2246">
        <f t="shared" ca="1" si="37"/>
        <v>0.1069739887507748</v>
      </c>
    </row>
    <row r="2247" spans="7:8" x14ac:dyDescent="0.3">
      <c r="G2247" s="24">
        <v>2235</v>
      </c>
      <c r="H2247">
        <f t="shared" ca="1" si="37"/>
        <v>4.2931399616850371E-2</v>
      </c>
    </row>
    <row r="2248" spans="7:8" x14ac:dyDescent="0.3">
      <c r="G2248" s="24">
        <v>2236</v>
      </c>
      <c r="H2248">
        <f t="shared" ca="1" si="37"/>
        <v>5.7526056140529691E-2</v>
      </c>
    </row>
    <row r="2249" spans="7:8" x14ac:dyDescent="0.3">
      <c r="G2249" s="24">
        <v>2237</v>
      </c>
      <c r="H2249">
        <f t="shared" ca="1" si="37"/>
        <v>0.10828315669720709</v>
      </c>
    </row>
    <row r="2250" spans="7:8" x14ac:dyDescent="0.3">
      <c r="G2250" s="24">
        <v>2238</v>
      </c>
      <c r="H2250">
        <f t="shared" ca="1" si="37"/>
        <v>7.7909658426828995E-3</v>
      </c>
    </row>
    <row r="2251" spans="7:8" x14ac:dyDescent="0.3">
      <c r="G2251" s="24">
        <v>2239</v>
      </c>
      <c r="H2251">
        <f t="shared" ca="1" si="37"/>
        <v>0.11540023856031498</v>
      </c>
    </row>
    <row r="2252" spans="7:8" x14ac:dyDescent="0.3">
      <c r="G2252" s="24">
        <v>2240</v>
      </c>
      <c r="H2252">
        <f t="shared" ca="1" si="37"/>
        <v>3.861002377568196E-3</v>
      </c>
    </row>
    <row r="2253" spans="7:8" x14ac:dyDescent="0.3">
      <c r="G2253" s="24">
        <v>2241</v>
      </c>
      <c r="H2253">
        <f t="shared" ca="1" si="37"/>
        <v>5.3191599459394771E-2</v>
      </c>
    </row>
    <row r="2254" spans="7:8" x14ac:dyDescent="0.3">
      <c r="G2254" s="24">
        <v>2242</v>
      </c>
      <c r="H2254">
        <f t="shared" ref="H2254:H2317" ca="1" si="38">_xlfn.NORM.INV(RAND(),N$13,N$14)</f>
        <v>-0.12584630540045505</v>
      </c>
    </row>
    <row r="2255" spans="7:8" x14ac:dyDescent="0.3">
      <c r="G2255" s="24">
        <v>2243</v>
      </c>
      <c r="H2255">
        <f t="shared" ca="1" si="38"/>
        <v>9.2198352135523784E-2</v>
      </c>
    </row>
    <row r="2256" spans="7:8" x14ac:dyDescent="0.3">
      <c r="G2256" s="24">
        <v>2244</v>
      </c>
      <c r="H2256">
        <f t="shared" ca="1" si="38"/>
        <v>6.9651884034522236E-3</v>
      </c>
    </row>
    <row r="2257" spans="7:8" x14ac:dyDescent="0.3">
      <c r="G2257" s="24">
        <v>2245</v>
      </c>
      <c r="H2257">
        <f t="shared" ca="1" si="38"/>
        <v>6.4647802891811226E-2</v>
      </c>
    </row>
    <row r="2258" spans="7:8" x14ac:dyDescent="0.3">
      <c r="G2258" s="24">
        <v>2246</v>
      </c>
      <c r="H2258">
        <f t="shared" ca="1" si="38"/>
        <v>4.3622731866464752E-2</v>
      </c>
    </row>
    <row r="2259" spans="7:8" x14ac:dyDescent="0.3">
      <c r="G2259" s="24">
        <v>2247</v>
      </c>
      <c r="H2259">
        <f t="shared" ca="1" si="38"/>
        <v>-4.0844929355687239E-2</v>
      </c>
    </row>
    <row r="2260" spans="7:8" x14ac:dyDescent="0.3">
      <c r="G2260" s="24">
        <v>2248</v>
      </c>
      <c r="H2260">
        <f t="shared" ca="1" si="38"/>
        <v>-0.17366755240485426</v>
      </c>
    </row>
    <row r="2261" spans="7:8" x14ac:dyDescent="0.3">
      <c r="G2261" s="24">
        <v>2249</v>
      </c>
      <c r="H2261">
        <f t="shared" ca="1" si="38"/>
        <v>-5.3466752730694345E-2</v>
      </c>
    </row>
    <row r="2262" spans="7:8" x14ac:dyDescent="0.3">
      <c r="G2262" s="24">
        <v>2250</v>
      </c>
      <c r="H2262">
        <f t="shared" ca="1" si="38"/>
        <v>4.8534615070584895E-2</v>
      </c>
    </row>
    <row r="2263" spans="7:8" x14ac:dyDescent="0.3">
      <c r="G2263" s="24">
        <v>2251</v>
      </c>
      <c r="H2263">
        <f t="shared" ca="1" si="38"/>
        <v>7.0060545532670104E-2</v>
      </c>
    </row>
    <row r="2264" spans="7:8" x14ac:dyDescent="0.3">
      <c r="G2264" s="24">
        <v>2252</v>
      </c>
      <c r="H2264">
        <f t="shared" ca="1" si="38"/>
        <v>-3.8211646206004778E-2</v>
      </c>
    </row>
    <row r="2265" spans="7:8" x14ac:dyDescent="0.3">
      <c r="G2265" s="24">
        <v>2253</v>
      </c>
      <c r="H2265">
        <f t="shared" ca="1" si="38"/>
        <v>-0.12808409164024112</v>
      </c>
    </row>
    <row r="2266" spans="7:8" x14ac:dyDescent="0.3">
      <c r="G2266" s="24">
        <v>2254</v>
      </c>
      <c r="H2266">
        <f t="shared" ca="1" si="38"/>
        <v>2.937354263639428E-2</v>
      </c>
    </row>
    <row r="2267" spans="7:8" x14ac:dyDescent="0.3">
      <c r="G2267" s="24">
        <v>2255</v>
      </c>
      <c r="H2267">
        <f t="shared" ca="1" si="38"/>
        <v>6.4307623470433936E-2</v>
      </c>
    </row>
    <row r="2268" spans="7:8" x14ac:dyDescent="0.3">
      <c r="G2268" s="24">
        <v>2256</v>
      </c>
      <c r="H2268">
        <f t="shared" ca="1" si="38"/>
        <v>-5.6942710027189744E-2</v>
      </c>
    </row>
    <row r="2269" spans="7:8" x14ac:dyDescent="0.3">
      <c r="G2269" s="24">
        <v>2257</v>
      </c>
      <c r="H2269">
        <f t="shared" ca="1" si="38"/>
        <v>-3.2796135903667312E-2</v>
      </c>
    </row>
    <row r="2270" spans="7:8" x14ac:dyDescent="0.3">
      <c r="G2270" s="24">
        <v>2258</v>
      </c>
      <c r="H2270">
        <f t="shared" ca="1" si="38"/>
        <v>-0.10850253977388213</v>
      </c>
    </row>
    <row r="2271" spans="7:8" x14ac:dyDescent="0.3">
      <c r="G2271" s="24">
        <v>2259</v>
      </c>
      <c r="H2271">
        <f t="shared" ca="1" si="38"/>
        <v>4.1949688373495123E-2</v>
      </c>
    </row>
    <row r="2272" spans="7:8" x14ac:dyDescent="0.3">
      <c r="G2272" s="24">
        <v>2260</v>
      </c>
      <c r="H2272">
        <f t="shared" ca="1" si="38"/>
        <v>3.9576708834079585E-2</v>
      </c>
    </row>
    <row r="2273" spans="7:8" x14ac:dyDescent="0.3">
      <c r="G2273" s="24">
        <v>2261</v>
      </c>
      <c r="H2273">
        <f t="shared" ca="1" si="38"/>
        <v>-9.3383901673281533E-3</v>
      </c>
    </row>
    <row r="2274" spans="7:8" x14ac:dyDescent="0.3">
      <c r="G2274" s="24">
        <v>2262</v>
      </c>
      <c r="H2274">
        <f t="shared" ca="1" si="38"/>
        <v>1.6356355793333104E-2</v>
      </c>
    </row>
    <row r="2275" spans="7:8" x14ac:dyDescent="0.3">
      <c r="G2275" s="24">
        <v>2263</v>
      </c>
      <c r="H2275">
        <f t="shared" ca="1" si="38"/>
        <v>2.5650038348301353E-2</v>
      </c>
    </row>
    <row r="2276" spans="7:8" x14ac:dyDescent="0.3">
      <c r="G2276" s="24">
        <v>2264</v>
      </c>
      <c r="H2276">
        <f t="shared" ca="1" si="38"/>
        <v>-9.146679250059131E-2</v>
      </c>
    </row>
    <row r="2277" spans="7:8" x14ac:dyDescent="0.3">
      <c r="G2277" s="24">
        <v>2265</v>
      </c>
      <c r="H2277">
        <f t="shared" ca="1" si="38"/>
        <v>7.9704067739925305E-2</v>
      </c>
    </row>
    <row r="2278" spans="7:8" x14ac:dyDescent="0.3">
      <c r="G2278" s="24">
        <v>2266</v>
      </c>
      <c r="H2278">
        <f t="shared" ca="1" si="38"/>
        <v>6.814901382772906E-2</v>
      </c>
    </row>
    <row r="2279" spans="7:8" x14ac:dyDescent="0.3">
      <c r="G2279" s="24">
        <v>2267</v>
      </c>
      <c r="H2279">
        <f t="shared" ca="1" si="38"/>
        <v>-2.03586767587823E-2</v>
      </c>
    </row>
    <row r="2280" spans="7:8" x14ac:dyDescent="0.3">
      <c r="G2280" s="24">
        <v>2268</v>
      </c>
      <c r="H2280">
        <f t="shared" ca="1" si="38"/>
        <v>0.19470360988645682</v>
      </c>
    </row>
    <row r="2281" spans="7:8" x14ac:dyDescent="0.3">
      <c r="G2281" s="24">
        <v>2269</v>
      </c>
      <c r="H2281">
        <f t="shared" ca="1" si="38"/>
        <v>2.0235722375505506E-2</v>
      </c>
    </row>
    <row r="2282" spans="7:8" x14ac:dyDescent="0.3">
      <c r="G2282" s="24">
        <v>2270</v>
      </c>
      <c r="H2282">
        <f t="shared" ca="1" si="38"/>
        <v>3.7026110476616914E-2</v>
      </c>
    </row>
    <row r="2283" spans="7:8" x14ac:dyDescent="0.3">
      <c r="G2283" s="24">
        <v>2271</v>
      </c>
      <c r="H2283">
        <f t="shared" ca="1" si="38"/>
        <v>-9.5648394044700723E-3</v>
      </c>
    </row>
    <row r="2284" spans="7:8" x14ac:dyDescent="0.3">
      <c r="G2284" s="24">
        <v>2272</v>
      </c>
      <c r="H2284">
        <f t="shared" ca="1" si="38"/>
        <v>3.1467562019705977E-2</v>
      </c>
    </row>
    <row r="2285" spans="7:8" x14ac:dyDescent="0.3">
      <c r="G2285" s="24">
        <v>2273</v>
      </c>
      <c r="H2285">
        <f t="shared" ca="1" si="38"/>
        <v>-2.8438299758710487E-2</v>
      </c>
    </row>
    <row r="2286" spans="7:8" x14ac:dyDescent="0.3">
      <c r="G2286" s="24">
        <v>2274</v>
      </c>
      <c r="H2286">
        <f t="shared" ca="1" si="38"/>
        <v>2.8063262036303636E-2</v>
      </c>
    </row>
    <row r="2287" spans="7:8" x14ac:dyDescent="0.3">
      <c r="G2287" s="24">
        <v>2275</v>
      </c>
      <c r="H2287">
        <f t="shared" ca="1" si="38"/>
        <v>-5.0249196788067801E-2</v>
      </c>
    </row>
    <row r="2288" spans="7:8" x14ac:dyDescent="0.3">
      <c r="G2288" s="24">
        <v>2276</v>
      </c>
      <c r="H2288">
        <f t="shared" ca="1" si="38"/>
        <v>9.0799265436462467E-2</v>
      </c>
    </row>
    <row r="2289" spans="7:8" x14ac:dyDescent="0.3">
      <c r="G2289" s="24">
        <v>2277</v>
      </c>
      <c r="H2289">
        <f t="shared" ca="1" si="38"/>
        <v>0.12415114118726613</v>
      </c>
    </row>
    <row r="2290" spans="7:8" x14ac:dyDescent="0.3">
      <c r="G2290" s="24">
        <v>2278</v>
      </c>
      <c r="H2290">
        <f t="shared" ca="1" si="38"/>
        <v>5.5459774299966694E-2</v>
      </c>
    </row>
    <row r="2291" spans="7:8" x14ac:dyDescent="0.3">
      <c r="G2291" s="24">
        <v>2279</v>
      </c>
      <c r="H2291">
        <f t="shared" ca="1" si="38"/>
        <v>-4.0412681774118202E-3</v>
      </c>
    </row>
    <row r="2292" spans="7:8" x14ac:dyDescent="0.3">
      <c r="G2292" s="24">
        <v>2280</v>
      </c>
      <c r="H2292">
        <f t="shared" ca="1" si="38"/>
        <v>0.10541474049212253</v>
      </c>
    </row>
    <row r="2293" spans="7:8" x14ac:dyDescent="0.3">
      <c r="G2293" s="24">
        <v>2281</v>
      </c>
      <c r="H2293">
        <f t="shared" ca="1" si="38"/>
        <v>-9.3955044712833211E-2</v>
      </c>
    </row>
    <row r="2294" spans="7:8" x14ac:dyDescent="0.3">
      <c r="G2294" s="24">
        <v>2282</v>
      </c>
      <c r="H2294">
        <f t="shared" ca="1" si="38"/>
        <v>3.3550364298899502E-2</v>
      </c>
    </row>
    <row r="2295" spans="7:8" x14ac:dyDescent="0.3">
      <c r="G2295" s="24">
        <v>2283</v>
      </c>
      <c r="H2295">
        <f t="shared" ca="1" si="38"/>
        <v>-6.6817336548574455E-2</v>
      </c>
    </row>
    <row r="2296" spans="7:8" x14ac:dyDescent="0.3">
      <c r="G2296" s="24">
        <v>2284</v>
      </c>
      <c r="H2296">
        <f t="shared" ca="1" si="38"/>
        <v>8.2692937525652405E-2</v>
      </c>
    </row>
    <row r="2297" spans="7:8" x14ac:dyDescent="0.3">
      <c r="G2297" s="24">
        <v>2285</v>
      </c>
      <c r="H2297">
        <f t="shared" ca="1" si="38"/>
        <v>-3.9163172130649064E-2</v>
      </c>
    </row>
    <row r="2298" spans="7:8" x14ac:dyDescent="0.3">
      <c r="G2298" s="24">
        <v>2286</v>
      </c>
      <c r="H2298">
        <f t="shared" ca="1" si="38"/>
        <v>0.13571355603639412</v>
      </c>
    </row>
    <row r="2299" spans="7:8" x14ac:dyDescent="0.3">
      <c r="G2299" s="24">
        <v>2287</v>
      </c>
      <c r="H2299">
        <f t="shared" ca="1" si="38"/>
        <v>-0.10705509254479786</v>
      </c>
    </row>
    <row r="2300" spans="7:8" x14ac:dyDescent="0.3">
      <c r="G2300" s="24">
        <v>2288</v>
      </c>
      <c r="H2300">
        <f t="shared" ca="1" si="38"/>
        <v>-8.5375764826174615E-3</v>
      </c>
    </row>
    <row r="2301" spans="7:8" x14ac:dyDescent="0.3">
      <c r="G2301" s="24">
        <v>2289</v>
      </c>
      <c r="H2301">
        <f t="shared" ca="1" si="38"/>
        <v>7.1406628919685484E-3</v>
      </c>
    </row>
    <row r="2302" spans="7:8" x14ac:dyDescent="0.3">
      <c r="G2302" s="24">
        <v>2290</v>
      </c>
      <c r="H2302">
        <f t="shared" ca="1" si="38"/>
        <v>7.6543087529216347E-2</v>
      </c>
    </row>
    <row r="2303" spans="7:8" x14ac:dyDescent="0.3">
      <c r="G2303" s="24">
        <v>2291</v>
      </c>
      <c r="H2303">
        <f t="shared" ca="1" si="38"/>
        <v>3.4235633793164251E-2</v>
      </c>
    </row>
    <row r="2304" spans="7:8" x14ac:dyDescent="0.3">
      <c r="G2304" s="24">
        <v>2292</v>
      </c>
      <c r="H2304">
        <f t="shared" ca="1" si="38"/>
        <v>6.2949416269034053E-2</v>
      </c>
    </row>
    <row r="2305" spans="7:8" x14ac:dyDescent="0.3">
      <c r="G2305" s="24">
        <v>2293</v>
      </c>
      <c r="H2305">
        <f t="shared" ca="1" si="38"/>
        <v>4.3754016040676864E-2</v>
      </c>
    </row>
    <row r="2306" spans="7:8" x14ac:dyDescent="0.3">
      <c r="G2306" s="24">
        <v>2294</v>
      </c>
      <c r="H2306">
        <f t="shared" ca="1" si="38"/>
        <v>7.4063821329229257E-2</v>
      </c>
    </row>
    <row r="2307" spans="7:8" x14ac:dyDescent="0.3">
      <c r="G2307" s="24">
        <v>2295</v>
      </c>
      <c r="H2307">
        <f t="shared" ca="1" si="38"/>
        <v>6.1507837289243451E-2</v>
      </c>
    </row>
    <row r="2308" spans="7:8" x14ac:dyDescent="0.3">
      <c r="G2308" s="24">
        <v>2296</v>
      </c>
      <c r="H2308">
        <f t="shared" ca="1" si="38"/>
        <v>-6.3660433992416027E-2</v>
      </c>
    </row>
    <row r="2309" spans="7:8" x14ac:dyDescent="0.3">
      <c r="G2309" s="24">
        <v>2297</v>
      </c>
      <c r="H2309">
        <f t="shared" ca="1" si="38"/>
        <v>0.11706323294413672</v>
      </c>
    </row>
    <row r="2310" spans="7:8" x14ac:dyDescent="0.3">
      <c r="G2310" s="24">
        <v>2298</v>
      </c>
      <c r="H2310">
        <f t="shared" ca="1" si="38"/>
        <v>0.14121246307445309</v>
      </c>
    </row>
    <row r="2311" spans="7:8" x14ac:dyDescent="0.3">
      <c r="G2311" s="24">
        <v>2299</v>
      </c>
      <c r="H2311">
        <f t="shared" ca="1" si="38"/>
        <v>-2.3221979649900564E-2</v>
      </c>
    </row>
    <row r="2312" spans="7:8" x14ac:dyDescent="0.3">
      <c r="G2312" s="24">
        <v>2300</v>
      </c>
      <c r="H2312">
        <f t="shared" ca="1" si="38"/>
        <v>-9.0153521002409656E-2</v>
      </c>
    </row>
    <row r="2313" spans="7:8" x14ac:dyDescent="0.3">
      <c r="G2313" s="24">
        <v>2301</v>
      </c>
      <c r="H2313">
        <f t="shared" ca="1" si="38"/>
        <v>9.6604362086115905E-2</v>
      </c>
    </row>
    <row r="2314" spans="7:8" x14ac:dyDescent="0.3">
      <c r="G2314" s="24">
        <v>2302</v>
      </c>
      <c r="H2314">
        <f t="shared" ca="1" si="38"/>
        <v>-1.2066745568516637E-2</v>
      </c>
    </row>
    <row r="2315" spans="7:8" x14ac:dyDescent="0.3">
      <c r="G2315" s="24">
        <v>2303</v>
      </c>
      <c r="H2315">
        <f t="shared" ca="1" si="38"/>
        <v>0.13985888063194857</v>
      </c>
    </row>
    <row r="2316" spans="7:8" x14ac:dyDescent="0.3">
      <c r="G2316" s="24">
        <v>2304</v>
      </c>
      <c r="H2316">
        <f t="shared" ca="1" si="38"/>
        <v>3.0101331426237586E-3</v>
      </c>
    </row>
    <row r="2317" spans="7:8" x14ac:dyDescent="0.3">
      <c r="G2317" s="24">
        <v>2305</v>
      </c>
      <c r="H2317">
        <f t="shared" ca="1" si="38"/>
        <v>0.11267711146067345</v>
      </c>
    </row>
    <row r="2318" spans="7:8" x14ac:dyDescent="0.3">
      <c r="G2318" s="24">
        <v>2306</v>
      </c>
      <c r="H2318">
        <f t="shared" ref="H2318:H2381" ca="1" si="39">_xlfn.NORM.INV(RAND(),N$13,N$14)</f>
        <v>5.1937268990909453E-2</v>
      </c>
    </row>
    <row r="2319" spans="7:8" x14ac:dyDescent="0.3">
      <c r="G2319" s="24">
        <v>2307</v>
      </c>
      <c r="H2319">
        <f t="shared" ca="1" si="39"/>
        <v>-1.8300449601055049E-2</v>
      </c>
    </row>
    <row r="2320" spans="7:8" x14ac:dyDescent="0.3">
      <c r="G2320" s="24">
        <v>2308</v>
      </c>
      <c r="H2320">
        <f t="shared" ca="1" si="39"/>
        <v>-3.7217112152534683E-2</v>
      </c>
    </row>
    <row r="2321" spans="7:8" x14ac:dyDescent="0.3">
      <c r="G2321" s="24">
        <v>2309</v>
      </c>
      <c r="H2321">
        <f t="shared" ca="1" si="39"/>
        <v>9.3906423094250208E-2</v>
      </c>
    </row>
    <row r="2322" spans="7:8" x14ac:dyDescent="0.3">
      <c r="G2322" s="24">
        <v>2310</v>
      </c>
      <c r="H2322">
        <f t="shared" ca="1" si="39"/>
        <v>1.7147084642448213E-2</v>
      </c>
    </row>
    <row r="2323" spans="7:8" x14ac:dyDescent="0.3">
      <c r="G2323" s="24">
        <v>2311</v>
      </c>
      <c r="H2323">
        <f t="shared" ca="1" si="39"/>
        <v>8.499870764287934E-2</v>
      </c>
    </row>
    <row r="2324" spans="7:8" x14ac:dyDescent="0.3">
      <c r="G2324" s="24">
        <v>2312</v>
      </c>
      <c r="H2324">
        <f t="shared" ca="1" si="39"/>
        <v>-6.875436861185992E-2</v>
      </c>
    </row>
    <row r="2325" spans="7:8" x14ac:dyDescent="0.3">
      <c r="G2325" s="24">
        <v>2313</v>
      </c>
      <c r="H2325">
        <f t="shared" ca="1" si="39"/>
        <v>-2.9911142608215157E-2</v>
      </c>
    </row>
    <row r="2326" spans="7:8" x14ac:dyDescent="0.3">
      <c r="G2326" s="24">
        <v>2314</v>
      </c>
      <c r="H2326">
        <f t="shared" ca="1" si="39"/>
        <v>-0.17572217874495402</v>
      </c>
    </row>
    <row r="2327" spans="7:8" x14ac:dyDescent="0.3">
      <c r="G2327" s="24">
        <v>2315</v>
      </c>
      <c r="H2327">
        <f t="shared" ca="1" si="39"/>
        <v>0.1497365764171146</v>
      </c>
    </row>
    <row r="2328" spans="7:8" x14ac:dyDescent="0.3">
      <c r="G2328" s="24">
        <v>2316</v>
      </c>
      <c r="H2328">
        <f t="shared" ca="1" si="39"/>
        <v>-0.10554278172213806</v>
      </c>
    </row>
    <row r="2329" spans="7:8" x14ac:dyDescent="0.3">
      <c r="G2329" s="24">
        <v>2317</v>
      </c>
      <c r="H2329">
        <f t="shared" ca="1" si="39"/>
        <v>7.7729912488685396E-2</v>
      </c>
    </row>
    <row r="2330" spans="7:8" x14ac:dyDescent="0.3">
      <c r="G2330" s="24">
        <v>2318</v>
      </c>
      <c r="H2330">
        <f t="shared" ca="1" si="39"/>
        <v>5.4623498351783747E-2</v>
      </c>
    </row>
    <row r="2331" spans="7:8" x14ac:dyDescent="0.3">
      <c r="G2331" s="24">
        <v>2319</v>
      </c>
      <c r="H2331">
        <f t="shared" ca="1" si="39"/>
        <v>8.0114747674806374E-3</v>
      </c>
    </row>
    <row r="2332" spans="7:8" x14ac:dyDescent="0.3">
      <c r="G2332" s="24">
        <v>2320</v>
      </c>
      <c r="H2332">
        <f t="shared" ca="1" si="39"/>
        <v>7.5546829935817586E-3</v>
      </c>
    </row>
    <row r="2333" spans="7:8" x14ac:dyDescent="0.3">
      <c r="G2333" s="24">
        <v>2321</v>
      </c>
      <c r="H2333">
        <f t="shared" ca="1" si="39"/>
        <v>2.0739625638820428E-2</v>
      </c>
    </row>
    <row r="2334" spans="7:8" x14ac:dyDescent="0.3">
      <c r="G2334" s="24">
        <v>2322</v>
      </c>
      <c r="H2334">
        <f t="shared" ca="1" si="39"/>
        <v>9.2744978807849196E-2</v>
      </c>
    </row>
    <row r="2335" spans="7:8" x14ac:dyDescent="0.3">
      <c r="G2335" s="24">
        <v>2323</v>
      </c>
      <c r="H2335">
        <f t="shared" ca="1" si="39"/>
        <v>3.6533573221742513E-2</v>
      </c>
    </row>
    <row r="2336" spans="7:8" x14ac:dyDescent="0.3">
      <c r="G2336" s="24">
        <v>2324</v>
      </c>
      <c r="H2336">
        <f t="shared" ca="1" si="39"/>
        <v>5.3843651087695007E-3</v>
      </c>
    </row>
    <row r="2337" spans="7:8" x14ac:dyDescent="0.3">
      <c r="G2337" s="24">
        <v>2325</v>
      </c>
      <c r="H2337">
        <f t="shared" ca="1" si="39"/>
        <v>-4.3746719544125474E-3</v>
      </c>
    </row>
    <row r="2338" spans="7:8" x14ac:dyDescent="0.3">
      <c r="G2338" s="24">
        <v>2326</v>
      </c>
      <c r="H2338">
        <f t="shared" ca="1" si="39"/>
        <v>0.15537871178561224</v>
      </c>
    </row>
    <row r="2339" spans="7:8" x14ac:dyDescent="0.3">
      <c r="G2339" s="24">
        <v>2327</v>
      </c>
      <c r="H2339">
        <f t="shared" ca="1" si="39"/>
        <v>3.8363805309028741E-2</v>
      </c>
    </row>
    <row r="2340" spans="7:8" x14ac:dyDescent="0.3">
      <c r="G2340" s="24">
        <v>2328</v>
      </c>
      <c r="H2340">
        <f t="shared" ca="1" si="39"/>
        <v>-5.089895033558102E-2</v>
      </c>
    </row>
    <row r="2341" spans="7:8" x14ac:dyDescent="0.3">
      <c r="G2341" s="24">
        <v>2329</v>
      </c>
      <c r="H2341">
        <f t="shared" ca="1" si="39"/>
        <v>-4.540610274687959E-2</v>
      </c>
    </row>
    <row r="2342" spans="7:8" x14ac:dyDescent="0.3">
      <c r="G2342" s="24">
        <v>2330</v>
      </c>
      <c r="H2342">
        <f t="shared" ca="1" si="39"/>
        <v>0.11562078723324216</v>
      </c>
    </row>
    <row r="2343" spans="7:8" x14ac:dyDescent="0.3">
      <c r="G2343" s="24">
        <v>2331</v>
      </c>
      <c r="H2343">
        <f t="shared" ca="1" si="39"/>
        <v>-2.6728465700269464E-2</v>
      </c>
    </row>
    <row r="2344" spans="7:8" x14ac:dyDescent="0.3">
      <c r="G2344" s="24">
        <v>2332</v>
      </c>
      <c r="H2344">
        <f t="shared" ca="1" si="39"/>
        <v>-0.13275679538508775</v>
      </c>
    </row>
    <row r="2345" spans="7:8" x14ac:dyDescent="0.3">
      <c r="G2345" s="24">
        <v>2333</v>
      </c>
      <c r="H2345">
        <f t="shared" ca="1" si="39"/>
        <v>6.1852473628456264E-3</v>
      </c>
    </row>
    <row r="2346" spans="7:8" x14ac:dyDescent="0.3">
      <c r="G2346" s="24">
        <v>2334</v>
      </c>
      <c r="H2346">
        <f t="shared" ca="1" si="39"/>
        <v>8.738783644753173E-2</v>
      </c>
    </row>
    <row r="2347" spans="7:8" x14ac:dyDescent="0.3">
      <c r="G2347" s="24">
        <v>2335</v>
      </c>
      <c r="H2347">
        <f t="shared" ca="1" si="39"/>
        <v>-0.10830659046913639</v>
      </c>
    </row>
    <row r="2348" spans="7:8" x14ac:dyDescent="0.3">
      <c r="G2348" s="24">
        <v>2336</v>
      </c>
      <c r="H2348">
        <f t="shared" ca="1" si="39"/>
        <v>0.1312993947098379</v>
      </c>
    </row>
    <row r="2349" spans="7:8" x14ac:dyDescent="0.3">
      <c r="G2349" s="24">
        <v>2337</v>
      </c>
      <c r="H2349">
        <f t="shared" ca="1" si="39"/>
        <v>1.4029259423466594E-2</v>
      </c>
    </row>
    <row r="2350" spans="7:8" x14ac:dyDescent="0.3">
      <c r="G2350" s="24">
        <v>2338</v>
      </c>
      <c r="H2350">
        <f t="shared" ca="1" si="39"/>
        <v>-1.8100377669802797E-2</v>
      </c>
    </row>
    <row r="2351" spans="7:8" x14ac:dyDescent="0.3">
      <c r="G2351" s="24">
        <v>2339</v>
      </c>
      <c r="H2351">
        <f t="shared" ca="1" si="39"/>
        <v>5.881390721393856E-2</v>
      </c>
    </row>
    <row r="2352" spans="7:8" x14ac:dyDescent="0.3">
      <c r="G2352" s="24">
        <v>2340</v>
      </c>
      <c r="H2352">
        <f t="shared" ca="1" si="39"/>
        <v>3.6041620968964863E-2</v>
      </c>
    </row>
    <row r="2353" spans="7:8" x14ac:dyDescent="0.3">
      <c r="G2353" s="24">
        <v>2341</v>
      </c>
      <c r="H2353">
        <f t="shared" ca="1" si="39"/>
        <v>-8.6373054730339224E-2</v>
      </c>
    </row>
    <row r="2354" spans="7:8" x14ac:dyDescent="0.3">
      <c r="G2354" s="24">
        <v>2342</v>
      </c>
      <c r="H2354">
        <f t="shared" ca="1" si="39"/>
        <v>5.4847630387685614E-2</v>
      </c>
    </row>
    <row r="2355" spans="7:8" x14ac:dyDescent="0.3">
      <c r="G2355" s="24">
        <v>2343</v>
      </c>
      <c r="H2355">
        <f t="shared" ca="1" si="39"/>
        <v>6.3093587241462745E-2</v>
      </c>
    </row>
    <row r="2356" spans="7:8" x14ac:dyDescent="0.3">
      <c r="G2356" s="24">
        <v>2344</v>
      </c>
      <c r="H2356">
        <f t="shared" ca="1" si="39"/>
        <v>-3.8008362577102925E-2</v>
      </c>
    </row>
    <row r="2357" spans="7:8" x14ac:dyDescent="0.3">
      <c r="G2357" s="24">
        <v>2345</v>
      </c>
      <c r="H2357">
        <f t="shared" ca="1" si="39"/>
        <v>8.0331732258891647E-2</v>
      </c>
    </row>
    <row r="2358" spans="7:8" x14ac:dyDescent="0.3">
      <c r="G2358" s="24">
        <v>2346</v>
      </c>
      <c r="H2358">
        <f t="shared" ca="1" si="39"/>
        <v>-5.6301927789834907E-2</v>
      </c>
    </row>
    <row r="2359" spans="7:8" x14ac:dyDescent="0.3">
      <c r="G2359" s="24">
        <v>2347</v>
      </c>
      <c r="H2359">
        <f t="shared" ca="1" si="39"/>
        <v>-1.4716029229704265E-2</v>
      </c>
    </row>
    <row r="2360" spans="7:8" x14ac:dyDescent="0.3">
      <c r="G2360" s="24">
        <v>2348</v>
      </c>
      <c r="H2360">
        <f t="shared" ca="1" si="39"/>
        <v>5.9155224942369883E-2</v>
      </c>
    </row>
    <row r="2361" spans="7:8" x14ac:dyDescent="0.3">
      <c r="G2361" s="24">
        <v>2349</v>
      </c>
      <c r="H2361">
        <f t="shared" ca="1" si="39"/>
        <v>1.3118345334108505E-2</v>
      </c>
    </row>
    <row r="2362" spans="7:8" x14ac:dyDescent="0.3">
      <c r="G2362" s="24">
        <v>2350</v>
      </c>
      <c r="H2362">
        <f t="shared" ca="1" si="39"/>
        <v>0.10787378139996301</v>
      </c>
    </row>
    <row r="2363" spans="7:8" x14ac:dyDescent="0.3">
      <c r="G2363" s="24">
        <v>2351</v>
      </c>
      <c r="H2363">
        <f t="shared" ca="1" si="39"/>
        <v>5.6670985387618888E-2</v>
      </c>
    </row>
    <row r="2364" spans="7:8" x14ac:dyDescent="0.3">
      <c r="G2364" s="24">
        <v>2352</v>
      </c>
      <c r="H2364">
        <f t="shared" ca="1" si="39"/>
        <v>3.5884837772727947E-2</v>
      </c>
    </row>
    <row r="2365" spans="7:8" x14ac:dyDescent="0.3">
      <c r="G2365" s="24">
        <v>2353</v>
      </c>
      <c r="H2365">
        <f t="shared" ca="1" si="39"/>
        <v>-5.6908060725467939E-2</v>
      </c>
    </row>
    <row r="2366" spans="7:8" x14ac:dyDescent="0.3">
      <c r="G2366" s="24">
        <v>2354</v>
      </c>
      <c r="H2366">
        <f t="shared" ca="1" si="39"/>
        <v>-2.2735852628570422E-2</v>
      </c>
    </row>
    <row r="2367" spans="7:8" x14ac:dyDescent="0.3">
      <c r="G2367" s="24">
        <v>2355</v>
      </c>
      <c r="H2367">
        <f t="shared" ca="1" si="39"/>
        <v>-4.283484577680375E-2</v>
      </c>
    </row>
    <row r="2368" spans="7:8" x14ac:dyDescent="0.3">
      <c r="G2368" s="24">
        <v>2356</v>
      </c>
      <c r="H2368">
        <f t="shared" ca="1" si="39"/>
        <v>1.4611302542103115E-2</v>
      </c>
    </row>
    <row r="2369" spans="7:8" x14ac:dyDescent="0.3">
      <c r="G2369" s="24">
        <v>2357</v>
      </c>
      <c r="H2369">
        <f t="shared" ca="1" si="39"/>
        <v>2.3392685147914101E-2</v>
      </c>
    </row>
    <row r="2370" spans="7:8" x14ac:dyDescent="0.3">
      <c r="G2370" s="24">
        <v>2358</v>
      </c>
      <c r="H2370">
        <f t="shared" ca="1" si="39"/>
        <v>-5.8606044462852103E-3</v>
      </c>
    </row>
    <row r="2371" spans="7:8" x14ac:dyDescent="0.3">
      <c r="G2371" s="24">
        <v>2359</v>
      </c>
      <c r="H2371">
        <f t="shared" ca="1" si="39"/>
        <v>9.4204557946818729E-2</v>
      </c>
    </row>
    <row r="2372" spans="7:8" x14ac:dyDescent="0.3">
      <c r="G2372" s="24">
        <v>2360</v>
      </c>
      <c r="H2372">
        <f t="shared" ca="1" si="39"/>
        <v>-6.1720679099198789E-3</v>
      </c>
    </row>
    <row r="2373" spans="7:8" x14ac:dyDescent="0.3">
      <c r="G2373" s="24">
        <v>2361</v>
      </c>
      <c r="H2373">
        <f t="shared" ca="1" si="39"/>
        <v>4.3069343036300972E-2</v>
      </c>
    </row>
    <row r="2374" spans="7:8" x14ac:dyDescent="0.3">
      <c r="G2374" s="24">
        <v>2362</v>
      </c>
      <c r="H2374">
        <f t="shared" ca="1" si="39"/>
        <v>-7.7716563494931876E-2</v>
      </c>
    </row>
    <row r="2375" spans="7:8" x14ac:dyDescent="0.3">
      <c r="G2375" s="24">
        <v>2363</v>
      </c>
      <c r="H2375">
        <f t="shared" ca="1" si="39"/>
        <v>1.2420290891848649E-2</v>
      </c>
    </row>
    <row r="2376" spans="7:8" x14ac:dyDescent="0.3">
      <c r="G2376" s="24">
        <v>2364</v>
      </c>
      <c r="H2376">
        <f t="shared" ca="1" si="39"/>
        <v>-2.547353725971045E-4</v>
      </c>
    </row>
    <row r="2377" spans="7:8" x14ac:dyDescent="0.3">
      <c r="G2377" s="24">
        <v>2365</v>
      </c>
      <c r="H2377">
        <f t="shared" ca="1" si="39"/>
        <v>-3.2127026239641851E-2</v>
      </c>
    </row>
    <row r="2378" spans="7:8" x14ac:dyDescent="0.3">
      <c r="G2378" s="24">
        <v>2366</v>
      </c>
      <c r="H2378">
        <f t="shared" ca="1" si="39"/>
        <v>-0.18921822105876374</v>
      </c>
    </row>
    <row r="2379" spans="7:8" x14ac:dyDescent="0.3">
      <c r="G2379" s="24">
        <v>2367</v>
      </c>
      <c r="H2379">
        <f t="shared" ca="1" si="39"/>
        <v>-8.2353522418305874E-2</v>
      </c>
    </row>
    <row r="2380" spans="7:8" x14ac:dyDescent="0.3">
      <c r="G2380" s="24">
        <v>2368</v>
      </c>
      <c r="H2380">
        <f t="shared" ca="1" si="39"/>
        <v>8.1944024544076885E-2</v>
      </c>
    </row>
    <row r="2381" spans="7:8" x14ac:dyDescent="0.3">
      <c r="G2381" s="24">
        <v>2369</v>
      </c>
      <c r="H2381">
        <f t="shared" ca="1" si="39"/>
        <v>8.4159806645292948E-2</v>
      </c>
    </row>
    <row r="2382" spans="7:8" x14ac:dyDescent="0.3">
      <c r="G2382" s="24">
        <v>2370</v>
      </c>
      <c r="H2382">
        <f t="shared" ref="H2382:H2445" ca="1" si="40">_xlfn.NORM.INV(RAND(),N$13,N$14)</f>
        <v>-3.0032900212175407E-2</v>
      </c>
    </row>
    <row r="2383" spans="7:8" x14ac:dyDescent="0.3">
      <c r="G2383" s="24">
        <v>2371</v>
      </c>
      <c r="H2383">
        <f t="shared" ca="1" si="40"/>
        <v>-0.11228238754051675</v>
      </c>
    </row>
    <row r="2384" spans="7:8" x14ac:dyDescent="0.3">
      <c r="G2384" s="24">
        <v>2372</v>
      </c>
      <c r="H2384">
        <f t="shared" ca="1" si="40"/>
        <v>-7.0812888414279226E-2</v>
      </c>
    </row>
    <row r="2385" spans="7:8" x14ac:dyDescent="0.3">
      <c r="G2385" s="24">
        <v>2373</v>
      </c>
      <c r="H2385">
        <f t="shared" ca="1" si="40"/>
        <v>-3.4231680387468252E-2</v>
      </c>
    </row>
    <row r="2386" spans="7:8" x14ac:dyDescent="0.3">
      <c r="G2386" s="24">
        <v>2374</v>
      </c>
      <c r="H2386">
        <f t="shared" ca="1" si="40"/>
        <v>5.7919692069624586E-2</v>
      </c>
    </row>
    <row r="2387" spans="7:8" x14ac:dyDescent="0.3">
      <c r="G2387" s="24">
        <v>2375</v>
      </c>
      <c r="H2387">
        <f t="shared" ca="1" si="40"/>
        <v>1.3945569136960866E-3</v>
      </c>
    </row>
    <row r="2388" spans="7:8" x14ac:dyDescent="0.3">
      <c r="G2388" s="24">
        <v>2376</v>
      </c>
      <c r="H2388">
        <f t="shared" ca="1" si="40"/>
        <v>-8.1173732756287906E-2</v>
      </c>
    </row>
    <row r="2389" spans="7:8" x14ac:dyDescent="0.3">
      <c r="G2389" s="24">
        <v>2377</v>
      </c>
      <c r="H2389">
        <f t="shared" ca="1" si="40"/>
        <v>4.5154647234540025E-2</v>
      </c>
    </row>
    <row r="2390" spans="7:8" x14ac:dyDescent="0.3">
      <c r="G2390" s="24">
        <v>2378</v>
      </c>
      <c r="H2390">
        <f t="shared" ca="1" si="40"/>
        <v>8.7904012905197837E-2</v>
      </c>
    </row>
    <row r="2391" spans="7:8" x14ac:dyDescent="0.3">
      <c r="G2391" s="24">
        <v>2379</v>
      </c>
      <c r="H2391">
        <f t="shared" ca="1" si="40"/>
        <v>0.14574521946922128</v>
      </c>
    </row>
    <row r="2392" spans="7:8" x14ac:dyDescent="0.3">
      <c r="G2392" s="24">
        <v>2380</v>
      </c>
      <c r="H2392">
        <f t="shared" ca="1" si="40"/>
        <v>-2.1596739911725595E-2</v>
      </c>
    </row>
    <row r="2393" spans="7:8" x14ac:dyDescent="0.3">
      <c r="G2393" s="24">
        <v>2381</v>
      </c>
      <c r="H2393">
        <f t="shared" ca="1" si="40"/>
        <v>0.12486536633043757</v>
      </c>
    </row>
    <row r="2394" spans="7:8" x14ac:dyDescent="0.3">
      <c r="G2394" s="24">
        <v>2382</v>
      </c>
      <c r="H2394">
        <f t="shared" ca="1" si="40"/>
        <v>-4.3030935995000907E-2</v>
      </c>
    </row>
    <row r="2395" spans="7:8" x14ac:dyDescent="0.3">
      <c r="G2395" s="24">
        <v>2383</v>
      </c>
      <c r="H2395">
        <f t="shared" ca="1" si="40"/>
        <v>-0.12265474259588627</v>
      </c>
    </row>
    <row r="2396" spans="7:8" x14ac:dyDescent="0.3">
      <c r="G2396" s="24">
        <v>2384</v>
      </c>
      <c r="H2396">
        <f t="shared" ca="1" si="40"/>
        <v>-9.2292144987873109E-2</v>
      </c>
    </row>
    <row r="2397" spans="7:8" x14ac:dyDescent="0.3">
      <c r="G2397" s="24">
        <v>2385</v>
      </c>
      <c r="H2397">
        <f t="shared" ca="1" si="40"/>
        <v>-0.14308784050693432</v>
      </c>
    </row>
    <row r="2398" spans="7:8" x14ac:dyDescent="0.3">
      <c r="G2398" s="24">
        <v>2386</v>
      </c>
      <c r="H2398">
        <f t="shared" ca="1" si="40"/>
        <v>6.9451810714497506E-3</v>
      </c>
    </row>
    <row r="2399" spans="7:8" x14ac:dyDescent="0.3">
      <c r="G2399" s="24">
        <v>2387</v>
      </c>
      <c r="H2399">
        <f t="shared" ca="1" si="40"/>
        <v>-9.2645387326808257E-2</v>
      </c>
    </row>
    <row r="2400" spans="7:8" x14ac:dyDescent="0.3">
      <c r="G2400" s="24">
        <v>2388</v>
      </c>
      <c r="H2400">
        <f t="shared" ca="1" si="40"/>
        <v>4.356593070302283E-2</v>
      </c>
    </row>
    <row r="2401" spans="7:8" x14ac:dyDescent="0.3">
      <c r="G2401" s="24">
        <v>2389</v>
      </c>
      <c r="H2401">
        <f t="shared" ca="1" si="40"/>
        <v>1.1742331438254421E-2</v>
      </c>
    </row>
    <row r="2402" spans="7:8" x14ac:dyDescent="0.3">
      <c r="G2402" s="24">
        <v>2390</v>
      </c>
      <c r="H2402">
        <f t="shared" ca="1" si="40"/>
        <v>5.4118550882588726E-2</v>
      </c>
    </row>
    <row r="2403" spans="7:8" x14ac:dyDescent="0.3">
      <c r="G2403" s="24">
        <v>2391</v>
      </c>
      <c r="H2403">
        <f t="shared" ca="1" si="40"/>
        <v>3.8111060178714497E-2</v>
      </c>
    </row>
    <row r="2404" spans="7:8" x14ac:dyDescent="0.3">
      <c r="G2404" s="24">
        <v>2392</v>
      </c>
      <c r="H2404">
        <f t="shared" ca="1" si="40"/>
        <v>-3.4566982797322891E-2</v>
      </c>
    </row>
    <row r="2405" spans="7:8" x14ac:dyDescent="0.3">
      <c r="G2405" s="24">
        <v>2393</v>
      </c>
      <c r="H2405">
        <f t="shared" ca="1" si="40"/>
        <v>0.1070905606526521</v>
      </c>
    </row>
    <row r="2406" spans="7:8" x14ac:dyDescent="0.3">
      <c r="G2406" s="24">
        <v>2394</v>
      </c>
      <c r="H2406">
        <f t="shared" ca="1" si="40"/>
        <v>-6.9358797074801359E-2</v>
      </c>
    </row>
    <row r="2407" spans="7:8" x14ac:dyDescent="0.3">
      <c r="G2407" s="24">
        <v>2395</v>
      </c>
      <c r="H2407">
        <f t="shared" ca="1" si="40"/>
        <v>-7.1063227483103453E-2</v>
      </c>
    </row>
    <row r="2408" spans="7:8" x14ac:dyDescent="0.3">
      <c r="G2408" s="24">
        <v>2396</v>
      </c>
      <c r="H2408">
        <f t="shared" ca="1" si="40"/>
        <v>5.8806369021186591E-2</v>
      </c>
    </row>
    <row r="2409" spans="7:8" x14ac:dyDescent="0.3">
      <c r="G2409" s="24">
        <v>2397</v>
      </c>
      <c r="H2409">
        <f t="shared" ca="1" si="40"/>
        <v>-0.12681203855752163</v>
      </c>
    </row>
    <row r="2410" spans="7:8" x14ac:dyDescent="0.3">
      <c r="G2410" s="24">
        <v>2398</v>
      </c>
      <c r="H2410">
        <f t="shared" ca="1" si="40"/>
        <v>-6.971251166170046E-3</v>
      </c>
    </row>
    <row r="2411" spans="7:8" x14ac:dyDescent="0.3">
      <c r="G2411" s="24">
        <v>2399</v>
      </c>
      <c r="H2411">
        <f t="shared" ca="1" si="40"/>
        <v>-5.8850971052005902E-2</v>
      </c>
    </row>
    <row r="2412" spans="7:8" x14ac:dyDescent="0.3">
      <c r="G2412" s="24">
        <v>2400</v>
      </c>
      <c r="H2412">
        <f t="shared" ca="1" si="40"/>
        <v>8.5700941041781886E-2</v>
      </c>
    </row>
    <row r="2413" spans="7:8" x14ac:dyDescent="0.3">
      <c r="G2413" s="24">
        <v>2401</v>
      </c>
      <c r="H2413">
        <f t="shared" ca="1" si="40"/>
        <v>-7.9400724560705405E-2</v>
      </c>
    </row>
    <row r="2414" spans="7:8" x14ac:dyDescent="0.3">
      <c r="G2414" s="24">
        <v>2402</v>
      </c>
      <c r="H2414">
        <f t="shared" ca="1" si="40"/>
        <v>-9.2013049256016416E-2</v>
      </c>
    </row>
    <row r="2415" spans="7:8" x14ac:dyDescent="0.3">
      <c r="G2415" s="24">
        <v>2403</v>
      </c>
      <c r="H2415">
        <f t="shared" ca="1" si="40"/>
        <v>3.0977437440924335E-2</v>
      </c>
    </row>
    <row r="2416" spans="7:8" x14ac:dyDescent="0.3">
      <c r="G2416" s="24">
        <v>2404</v>
      </c>
      <c r="H2416">
        <f t="shared" ca="1" si="40"/>
        <v>-9.9607015493293011E-2</v>
      </c>
    </row>
    <row r="2417" spans="7:8" x14ac:dyDescent="0.3">
      <c r="G2417" s="24">
        <v>2405</v>
      </c>
      <c r="H2417">
        <f t="shared" ca="1" si="40"/>
        <v>-6.599608430490353E-2</v>
      </c>
    </row>
    <row r="2418" spans="7:8" x14ac:dyDescent="0.3">
      <c r="G2418" s="24">
        <v>2406</v>
      </c>
      <c r="H2418">
        <f t="shared" ca="1" si="40"/>
        <v>1.6251897369394405E-2</v>
      </c>
    </row>
    <row r="2419" spans="7:8" x14ac:dyDescent="0.3">
      <c r="G2419" s="24">
        <v>2407</v>
      </c>
      <c r="H2419">
        <f t="shared" ca="1" si="40"/>
        <v>-1.589907683165466E-2</v>
      </c>
    </row>
    <row r="2420" spans="7:8" x14ac:dyDescent="0.3">
      <c r="G2420" s="24">
        <v>2408</v>
      </c>
      <c r="H2420">
        <f t="shared" ca="1" si="40"/>
        <v>-8.6538219140505759E-2</v>
      </c>
    </row>
    <row r="2421" spans="7:8" x14ac:dyDescent="0.3">
      <c r="G2421" s="24">
        <v>2409</v>
      </c>
      <c r="H2421">
        <f t="shared" ca="1" si="40"/>
        <v>-8.1903391356915017E-2</v>
      </c>
    </row>
    <row r="2422" spans="7:8" x14ac:dyDescent="0.3">
      <c r="G2422" s="24">
        <v>2410</v>
      </c>
      <c r="H2422">
        <f t="shared" ca="1" si="40"/>
        <v>-1.2443960484703644E-2</v>
      </c>
    </row>
    <row r="2423" spans="7:8" x14ac:dyDescent="0.3">
      <c r="G2423" s="24">
        <v>2411</v>
      </c>
      <c r="H2423">
        <f t="shared" ca="1" si="40"/>
        <v>1.4070123143334314E-2</v>
      </c>
    </row>
    <row r="2424" spans="7:8" x14ac:dyDescent="0.3">
      <c r="G2424" s="24">
        <v>2412</v>
      </c>
      <c r="H2424">
        <f t="shared" ca="1" si="40"/>
        <v>-4.2466548277273551E-2</v>
      </c>
    </row>
    <row r="2425" spans="7:8" x14ac:dyDescent="0.3">
      <c r="G2425" s="24">
        <v>2413</v>
      </c>
      <c r="H2425">
        <f t="shared" ca="1" si="40"/>
        <v>7.5288258637811453E-2</v>
      </c>
    </row>
    <row r="2426" spans="7:8" x14ac:dyDescent="0.3">
      <c r="G2426" s="24">
        <v>2414</v>
      </c>
      <c r="H2426">
        <f t="shared" ca="1" si="40"/>
        <v>4.6013553552727425E-2</v>
      </c>
    </row>
    <row r="2427" spans="7:8" x14ac:dyDescent="0.3">
      <c r="G2427" s="24">
        <v>2415</v>
      </c>
      <c r="H2427">
        <f t="shared" ca="1" si="40"/>
        <v>-1.714721805183173E-3</v>
      </c>
    </row>
    <row r="2428" spans="7:8" x14ac:dyDescent="0.3">
      <c r="G2428" s="24">
        <v>2416</v>
      </c>
      <c r="H2428">
        <f t="shared" ca="1" si="40"/>
        <v>-7.4455161526595023E-2</v>
      </c>
    </row>
    <row r="2429" spans="7:8" x14ac:dyDescent="0.3">
      <c r="G2429" s="24">
        <v>2417</v>
      </c>
      <c r="H2429">
        <f t="shared" ca="1" si="40"/>
        <v>-0.12988022230116711</v>
      </c>
    </row>
    <row r="2430" spans="7:8" x14ac:dyDescent="0.3">
      <c r="G2430" s="24">
        <v>2418</v>
      </c>
      <c r="H2430">
        <f t="shared" ca="1" si="40"/>
        <v>5.685599099710479E-2</v>
      </c>
    </row>
    <row r="2431" spans="7:8" x14ac:dyDescent="0.3">
      <c r="G2431" s="24">
        <v>2419</v>
      </c>
      <c r="H2431">
        <f t="shared" ca="1" si="40"/>
        <v>-1.3790668007888109E-2</v>
      </c>
    </row>
    <row r="2432" spans="7:8" x14ac:dyDescent="0.3">
      <c r="G2432" s="24">
        <v>2420</v>
      </c>
      <c r="H2432">
        <f t="shared" ca="1" si="40"/>
        <v>-0.10147503772129909</v>
      </c>
    </row>
    <row r="2433" spans="7:8" x14ac:dyDescent="0.3">
      <c r="G2433" s="24">
        <v>2421</v>
      </c>
      <c r="H2433">
        <f t="shared" ca="1" si="40"/>
        <v>-1.2247675992331961E-2</v>
      </c>
    </row>
    <row r="2434" spans="7:8" x14ac:dyDescent="0.3">
      <c r="G2434" s="24">
        <v>2422</v>
      </c>
      <c r="H2434">
        <f t="shared" ca="1" si="40"/>
        <v>-3.7552729958219719E-2</v>
      </c>
    </row>
    <row r="2435" spans="7:8" x14ac:dyDescent="0.3">
      <c r="G2435" s="24">
        <v>2423</v>
      </c>
      <c r="H2435">
        <f t="shared" ca="1" si="40"/>
        <v>-0.14348078261585098</v>
      </c>
    </row>
    <row r="2436" spans="7:8" x14ac:dyDescent="0.3">
      <c r="G2436" s="24">
        <v>2424</v>
      </c>
      <c r="H2436">
        <f t="shared" ca="1" si="40"/>
        <v>-0.10730635982473435</v>
      </c>
    </row>
    <row r="2437" spans="7:8" x14ac:dyDescent="0.3">
      <c r="G2437" s="24">
        <v>2425</v>
      </c>
      <c r="H2437">
        <f t="shared" ca="1" si="40"/>
        <v>5.534771056928757E-2</v>
      </c>
    </row>
    <row r="2438" spans="7:8" x14ac:dyDescent="0.3">
      <c r="G2438" s="24">
        <v>2426</v>
      </c>
      <c r="H2438">
        <f t="shared" ca="1" si="40"/>
        <v>0.1294737834357324</v>
      </c>
    </row>
    <row r="2439" spans="7:8" x14ac:dyDescent="0.3">
      <c r="G2439" s="24">
        <v>2427</v>
      </c>
      <c r="H2439">
        <f t="shared" ca="1" si="40"/>
        <v>6.8786035401293831E-4</v>
      </c>
    </row>
    <row r="2440" spans="7:8" x14ac:dyDescent="0.3">
      <c r="G2440" s="24">
        <v>2428</v>
      </c>
      <c r="H2440">
        <f t="shared" ca="1" si="40"/>
        <v>-3.8401675033449212E-2</v>
      </c>
    </row>
    <row r="2441" spans="7:8" x14ac:dyDescent="0.3">
      <c r="G2441" s="24">
        <v>2429</v>
      </c>
      <c r="H2441">
        <f t="shared" ca="1" si="40"/>
        <v>5.4703394483751416E-2</v>
      </c>
    </row>
    <row r="2442" spans="7:8" x14ac:dyDescent="0.3">
      <c r="G2442" s="24">
        <v>2430</v>
      </c>
      <c r="H2442">
        <f t="shared" ca="1" si="40"/>
        <v>5.9407122712405508E-3</v>
      </c>
    </row>
    <row r="2443" spans="7:8" x14ac:dyDescent="0.3">
      <c r="G2443" s="24">
        <v>2431</v>
      </c>
      <c r="H2443">
        <f t="shared" ca="1" si="40"/>
        <v>-4.1768310900040961E-2</v>
      </c>
    </row>
    <row r="2444" spans="7:8" x14ac:dyDescent="0.3">
      <c r="G2444" s="24">
        <v>2432</v>
      </c>
      <c r="H2444">
        <f t="shared" ca="1" si="40"/>
        <v>-6.5024745222883068E-2</v>
      </c>
    </row>
    <row r="2445" spans="7:8" x14ac:dyDescent="0.3">
      <c r="G2445" s="24">
        <v>2433</v>
      </c>
      <c r="H2445">
        <f t="shared" ca="1" si="40"/>
        <v>-7.0862483969074325E-2</v>
      </c>
    </row>
    <row r="2446" spans="7:8" x14ac:dyDescent="0.3">
      <c r="G2446" s="24">
        <v>2434</v>
      </c>
      <c r="H2446">
        <f t="shared" ref="H2446:H2509" ca="1" si="41">_xlfn.NORM.INV(RAND(),N$13,N$14)</f>
        <v>0.12993279661889715</v>
      </c>
    </row>
    <row r="2447" spans="7:8" x14ac:dyDescent="0.3">
      <c r="G2447" s="24">
        <v>2435</v>
      </c>
      <c r="H2447">
        <f t="shared" ca="1" si="41"/>
        <v>1.7695445436895576E-2</v>
      </c>
    </row>
    <row r="2448" spans="7:8" x14ac:dyDescent="0.3">
      <c r="G2448" s="24">
        <v>2436</v>
      </c>
      <c r="H2448">
        <f t="shared" ca="1" si="41"/>
        <v>0.11283064484087277</v>
      </c>
    </row>
    <row r="2449" spans="7:8" x14ac:dyDescent="0.3">
      <c r="G2449" s="24">
        <v>2437</v>
      </c>
      <c r="H2449">
        <f t="shared" ca="1" si="41"/>
        <v>5.5360304789584987E-2</v>
      </c>
    </row>
    <row r="2450" spans="7:8" x14ac:dyDescent="0.3">
      <c r="G2450" s="24">
        <v>2438</v>
      </c>
      <c r="H2450">
        <f t="shared" ca="1" si="41"/>
        <v>-4.3066237973175395E-2</v>
      </c>
    </row>
    <row r="2451" spans="7:8" x14ac:dyDescent="0.3">
      <c r="G2451" s="24">
        <v>2439</v>
      </c>
      <c r="H2451">
        <f t="shared" ca="1" si="41"/>
        <v>1.7840217626909786E-2</v>
      </c>
    </row>
    <row r="2452" spans="7:8" x14ac:dyDescent="0.3">
      <c r="G2452" s="24">
        <v>2440</v>
      </c>
      <c r="H2452">
        <f t="shared" ca="1" si="41"/>
        <v>-0.10795333577777767</v>
      </c>
    </row>
    <row r="2453" spans="7:8" x14ac:dyDescent="0.3">
      <c r="G2453" s="24">
        <v>2441</v>
      </c>
      <c r="H2453">
        <f t="shared" ca="1" si="41"/>
        <v>-3.228668690732793E-2</v>
      </c>
    </row>
    <row r="2454" spans="7:8" x14ac:dyDescent="0.3">
      <c r="G2454" s="24">
        <v>2442</v>
      </c>
      <c r="H2454">
        <f t="shared" ca="1" si="41"/>
        <v>3.3017445983013989E-2</v>
      </c>
    </row>
    <row r="2455" spans="7:8" x14ac:dyDescent="0.3">
      <c r="G2455" s="24">
        <v>2443</v>
      </c>
      <c r="H2455">
        <f t="shared" ca="1" si="41"/>
        <v>-5.5363305608850201E-2</v>
      </c>
    </row>
    <row r="2456" spans="7:8" x14ac:dyDescent="0.3">
      <c r="G2456" s="24">
        <v>2444</v>
      </c>
      <c r="H2456">
        <f t="shared" ca="1" si="41"/>
        <v>0.10538758910287518</v>
      </c>
    </row>
    <row r="2457" spans="7:8" x14ac:dyDescent="0.3">
      <c r="G2457" s="24">
        <v>2445</v>
      </c>
      <c r="H2457">
        <f t="shared" ca="1" si="41"/>
        <v>-5.9900166322641675E-2</v>
      </c>
    </row>
    <row r="2458" spans="7:8" x14ac:dyDescent="0.3">
      <c r="G2458" s="24">
        <v>2446</v>
      </c>
      <c r="H2458">
        <f t="shared" ca="1" si="41"/>
        <v>7.4764338226154553E-2</v>
      </c>
    </row>
    <row r="2459" spans="7:8" x14ac:dyDescent="0.3">
      <c r="G2459" s="24">
        <v>2447</v>
      </c>
      <c r="H2459">
        <f t="shared" ca="1" si="41"/>
        <v>-1.6657413287406261E-2</v>
      </c>
    </row>
    <row r="2460" spans="7:8" x14ac:dyDescent="0.3">
      <c r="G2460" s="24">
        <v>2448</v>
      </c>
      <c r="H2460">
        <f t="shared" ca="1" si="41"/>
        <v>6.2565049623255292E-2</v>
      </c>
    </row>
    <row r="2461" spans="7:8" x14ac:dyDescent="0.3">
      <c r="G2461" s="24">
        <v>2449</v>
      </c>
      <c r="H2461">
        <f t="shared" ca="1" si="41"/>
        <v>-8.6479117582588333E-2</v>
      </c>
    </row>
    <row r="2462" spans="7:8" x14ac:dyDescent="0.3">
      <c r="G2462" s="24">
        <v>2450</v>
      </c>
      <c r="H2462">
        <f t="shared" ca="1" si="41"/>
        <v>-8.8002334603586377E-3</v>
      </c>
    </row>
    <row r="2463" spans="7:8" x14ac:dyDescent="0.3">
      <c r="G2463" s="24">
        <v>2451</v>
      </c>
      <c r="H2463">
        <f t="shared" ca="1" si="41"/>
        <v>1.787708866246452E-2</v>
      </c>
    </row>
    <row r="2464" spans="7:8" x14ac:dyDescent="0.3">
      <c r="G2464" s="24">
        <v>2452</v>
      </c>
      <c r="H2464">
        <f t="shared" ca="1" si="41"/>
        <v>6.4131631669245723E-2</v>
      </c>
    </row>
    <row r="2465" spans="7:8" x14ac:dyDescent="0.3">
      <c r="G2465" s="24">
        <v>2453</v>
      </c>
      <c r="H2465">
        <f t="shared" ca="1" si="41"/>
        <v>-6.5190115276371002E-2</v>
      </c>
    </row>
    <row r="2466" spans="7:8" x14ac:dyDescent="0.3">
      <c r="G2466" s="24">
        <v>2454</v>
      </c>
      <c r="H2466">
        <f t="shared" ca="1" si="41"/>
        <v>-4.5856573123771421E-2</v>
      </c>
    </row>
    <row r="2467" spans="7:8" x14ac:dyDescent="0.3">
      <c r="G2467" s="24">
        <v>2455</v>
      </c>
      <c r="H2467">
        <f t="shared" ca="1" si="41"/>
        <v>1.9381853451261592E-2</v>
      </c>
    </row>
    <row r="2468" spans="7:8" x14ac:dyDescent="0.3">
      <c r="G2468" s="24">
        <v>2456</v>
      </c>
      <c r="H2468">
        <f t="shared" ca="1" si="41"/>
        <v>-0.12335877492642042</v>
      </c>
    </row>
    <row r="2469" spans="7:8" x14ac:dyDescent="0.3">
      <c r="G2469" s="24">
        <v>2457</v>
      </c>
      <c r="H2469">
        <f t="shared" ca="1" si="41"/>
        <v>4.5411262537506769E-2</v>
      </c>
    </row>
    <row r="2470" spans="7:8" x14ac:dyDescent="0.3">
      <c r="G2470" s="24">
        <v>2458</v>
      </c>
      <c r="H2470">
        <f t="shared" ca="1" si="41"/>
        <v>3.6160564615960795E-2</v>
      </c>
    </row>
    <row r="2471" spans="7:8" x14ac:dyDescent="0.3">
      <c r="G2471" s="24">
        <v>2459</v>
      </c>
      <c r="H2471">
        <f t="shared" ca="1" si="41"/>
        <v>-0.16406575504991244</v>
      </c>
    </row>
    <row r="2472" spans="7:8" x14ac:dyDescent="0.3">
      <c r="G2472" s="24">
        <v>2460</v>
      </c>
      <c r="H2472">
        <f t="shared" ca="1" si="41"/>
        <v>5.5355159412410759E-2</v>
      </c>
    </row>
    <row r="2473" spans="7:8" x14ac:dyDescent="0.3">
      <c r="G2473" s="24">
        <v>2461</v>
      </c>
      <c r="H2473">
        <f t="shared" ca="1" si="41"/>
        <v>-4.8213201518646671E-2</v>
      </c>
    </row>
    <row r="2474" spans="7:8" x14ac:dyDescent="0.3">
      <c r="G2474" s="24">
        <v>2462</v>
      </c>
      <c r="H2474">
        <f t="shared" ca="1" si="41"/>
        <v>-9.2602746261723587E-2</v>
      </c>
    </row>
    <row r="2475" spans="7:8" x14ac:dyDescent="0.3">
      <c r="G2475" s="24">
        <v>2463</v>
      </c>
      <c r="H2475">
        <f t="shared" ca="1" si="41"/>
        <v>-3.0839875605877341E-2</v>
      </c>
    </row>
    <row r="2476" spans="7:8" x14ac:dyDescent="0.3">
      <c r="G2476" s="24">
        <v>2464</v>
      </c>
      <c r="H2476">
        <f t="shared" ca="1" si="41"/>
        <v>-0.15522722839302186</v>
      </c>
    </row>
    <row r="2477" spans="7:8" x14ac:dyDescent="0.3">
      <c r="G2477" s="24">
        <v>2465</v>
      </c>
      <c r="H2477">
        <f t="shared" ca="1" si="41"/>
        <v>-0.10947754355485688</v>
      </c>
    </row>
    <row r="2478" spans="7:8" x14ac:dyDescent="0.3">
      <c r="G2478" s="24">
        <v>2466</v>
      </c>
      <c r="H2478">
        <f t="shared" ca="1" si="41"/>
        <v>-3.7464565100406647E-5</v>
      </c>
    </row>
    <row r="2479" spans="7:8" x14ac:dyDescent="0.3">
      <c r="G2479" s="24">
        <v>2467</v>
      </c>
      <c r="H2479">
        <f t="shared" ca="1" si="41"/>
        <v>2.8299658597532992E-3</v>
      </c>
    </row>
    <row r="2480" spans="7:8" x14ac:dyDescent="0.3">
      <c r="G2480" s="24">
        <v>2468</v>
      </c>
      <c r="H2480">
        <f t="shared" ca="1" si="41"/>
        <v>-7.9919781200777935E-3</v>
      </c>
    </row>
    <row r="2481" spans="7:8" x14ac:dyDescent="0.3">
      <c r="G2481" s="24">
        <v>2469</v>
      </c>
      <c r="H2481">
        <f t="shared" ca="1" si="41"/>
        <v>-0.14941977151915734</v>
      </c>
    </row>
    <row r="2482" spans="7:8" x14ac:dyDescent="0.3">
      <c r="G2482" s="24">
        <v>2470</v>
      </c>
      <c r="H2482">
        <f t="shared" ca="1" si="41"/>
        <v>-5.3392574762333084E-2</v>
      </c>
    </row>
    <row r="2483" spans="7:8" x14ac:dyDescent="0.3">
      <c r="G2483" s="24">
        <v>2471</v>
      </c>
      <c r="H2483">
        <f t="shared" ca="1" si="41"/>
        <v>-2.359650150866914E-2</v>
      </c>
    </row>
    <row r="2484" spans="7:8" x14ac:dyDescent="0.3">
      <c r="G2484" s="24">
        <v>2472</v>
      </c>
      <c r="H2484">
        <f t="shared" ca="1" si="41"/>
        <v>9.6486774166080522E-2</v>
      </c>
    </row>
    <row r="2485" spans="7:8" x14ac:dyDescent="0.3">
      <c r="G2485" s="24">
        <v>2473</v>
      </c>
      <c r="H2485">
        <f t="shared" ca="1" si="41"/>
        <v>3.2321910638670598E-2</v>
      </c>
    </row>
    <row r="2486" spans="7:8" x14ac:dyDescent="0.3">
      <c r="G2486" s="24">
        <v>2474</v>
      </c>
      <c r="H2486">
        <f t="shared" ca="1" si="41"/>
        <v>-2.555294105095204E-2</v>
      </c>
    </row>
    <row r="2487" spans="7:8" x14ac:dyDescent="0.3">
      <c r="G2487" s="24">
        <v>2475</v>
      </c>
      <c r="H2487">
        <f t="shared" ca="1" si="41"/>
        <v>0.13193325426456329</v>
      </c>
    </row>
    <row r="2488" spans="7:8" x14ac:dyDescent="0.3">
      <c r="G2488" s="24">
        <v>2476</v>
      </c>
      <c r="H2488">
        <f t="shared" ca="1" si="41"/>
        <v>1.6645385523793708E-2</v>
      </c>
    </row>
    <row r="2489" spans="7:8" x14ac:dyDescent="0.3">
      <c r="G2489" s="24">
        <v>2477</v>
      </c>
      <c r="H2489">
        <f t="shared" ca="1" si="41"/>
        <v>1.574289034060946E-2</v>
      </c>
    </row>
    <row r="2490" spans="7:8" x14ac:dyDescent="0.3">
      <c r="G2490" s="24">
        <v>2478</v>
      </c>
      <c r="H2490">
        <f t="shared" ca="1" si="41"/>
        <v>-2.538638749283266E-2</v>
      </c>
    </row>
    <row r="2491" spans="7:8" x14ac:dyDescent="0.3">
      <c r="G2491" s="24">
        <v>2479</v>
      </c>
      <c r="H2491">
        <f t="shared" ca="1" si="41"/>
        <v>1.5213250790792283E-2</v>
      </c>
    </row>
    <row r="2492" spans="7:8" x14ac:dyDescent="0.3">
      <c r="G2492" s="24">
        <v>2480</v>
      </c>
      <c r="H2492">
        <f t="shared" ca="1" si="41"/>
        <v>-9.9474055051332805E-2</v>
      </c>
    </row>
    <row r="2493" spans="7:8" x14ac:dyDescent="0.3">
      <c r="G2493" s="24">
        <v>2481</v>
      </c>
      <c r="H2493">
        <f t="shared" ca="1" si="41"/>
        <v>-8.9678140757915151E-2</v>
      </c>
    </row>
    <row r="2494" spans="7:8" x14ac:dyDescent="0.3">
      <c r="G2494" s="24">
        <v>2482</v>
      </c>
      <c r="H2494">
        <f t="shared" ca="1" si="41"/>
        <v>-7.8971770700751592E-2</v>
      </c>
    </row>
    <row r="2495" spans="7:8" x14ac:dyDescent="0.3">
      <c r="G2495" s="24">
        <v>2483</v>
      </c>
      <c r="H2495">
        <f t="shared" ca="1" si="41"/>
        <v>6.8415056179995368E-2</v>
      </c>
    </row>
    <row r="2496" spans="7:8" x14ac:dyDescent="0.3">
      <c r="G2496" s="24">
        <v>2484</v>
      </c>
      <c r="H2496">
        <f t="shared" ca="1" si="41"/>
        <v>3.9642184906758818E-2</v>
      </c>
    </row>
    <row r="2497" spans="7:8" x14ac:dyDescent="0.3">
      <c r="G2497" s="24">
        <v>2485</v>
      </c>
      <c r="H2497">
        <f t="shared" ca="1" si="41"/>
        <v>-4.4490527792552824E-2</v>
      </c>
    </row>
    <row r="2498" spans="7:8" x14ac:dyDescent="0.3">
      <c r="G2498" s="24">
        <v>2486</v>
      </c>
      <c r="H2498">
        <f t="shared" ca="1" si="41"/>
        <v>6.6226015444844105E-2</v>
      </c>
    </row>
    <row r="2499" spans="7:8" x14ac:dyDescent="0.3">
      <c r="G2499" s="24">
        <v>2487</v>
      </c>
      <c r="H2499">
        <f t="shared" ca="1" si="41"/>
        <v>-5.7000181421351714E-2</v>
      </c>
    </row>
    <row r="2500" spans="7:8" x14ac:dyDescent="0.3">
      <c r="G2500" s="24">
        <v>2488</v>
      </c>
      <c r="H2500">
        <f t="shared" ca="1" si="41"/>
        <v>-2.5653452546380892E-2</v>
      </c>
    </row>
    <row r="2501" spans="7:8" x14ac:dyDescent="0.3">
      <c r="G2501" s="24">
        <v>2489</v>
      </c>
      <c r="H2501">
        <f t="shared" ca="1" si="41"/>
        <v>5.5339204784233306E-2</v>
      </c>
    </row>
    <row r="2502" spans="7:8" x14ac:dyDescent="0.3">
      <c r="G2502" s="24">
        <v>2490</v>
      </c>
      <c r="H2502">
        <f t="shared" ca="1" si="41"/>
        <v>4.1216467820678962E-2</v>
      </c>
    </row>
    <row r="2503" spans="7:8" x14ac:dyDescent="0.3">
      <c r="G2503" s="24">
        <v>2491</v>
      </c>
      <c r="H2503">
        <f t="shared" ca="1" si="41"/>
        <v>5.8849675856944795E-3</v>
      </c>
    </row>
    <row r="2504" spans="7:8" x14ac:dyDescent="0.3">
      <c r="G2504" s="24">
        <v>2492</v>
      </c>
      <c r="H2504">
        <f t="shared" ca="1" si="41"/>
        <v>1.0778570876809019E-2</v>
      </c>
    </row>
    <row r="2505" spans="7:8" x14ac:dyDescent="0.3">
      <c r="G2505" s="24">
        <v>2493</v>
      </c>
      <c r="H2505">
        <f t="shared" ca="1" si="41"/>
        <v>1.1460738630768002E-2</v>
      </c>
    </row>
    <row r="2506" spans="7:8" x14ac:dyDescent="0.3">
      <c r="G2506" s="24">
        <v>2494</v>
      </c>
      <c r="H2506">
        <f t="shared" ca="1" si="41"/>
        <v>-1.3198783949131855E-2</v>
      </c>
    </row>
    <row r="2507" spans="7:8" x14ac:dyDescent="0.3">
      <c r="G2507" s="24">
        <v>2495</v>
      </c>
      <c r="H2507">
        <f t="shared" ca="1" si="41"/>
        <v>3.2974947533503537E-2</v>
      </c>
    </row>
    <row r="2508" spans="7:8" x14ac:dyDescent="0.3">
      <c r="G2508" s="24">
        <v>2496</v>
      </c>
      <c r="H2508">
        <f t="shared" ca="1" si="41"/>
        <v>-3.4380634527649181E-2</v>
      </c>
    </row>
    <row r="2509" spans="7:8" x14ac:dyDescent="0.3">
      <c r="G2509" s="24">
        <v>2497</v>
      </c>
      <c r="H2509">
        <f t="shared" ca="1" si="41"/>
        <v>-0.1474059779313254</v>
      </c>
    </row>
    <row r="2510" spans="7:8" x14ac:dyDescent="0.3">
      <c r="G2510" s="24">
        <v>2498</v>
      </c>
      <c r="H2510">
        <f t="shared" ref="H2510:H2573" ca="1" si="42">_xlfn.NORM.INV(RAND(),N$13,N$14)</f>
        <v>-8.8233250898768177E-3</v>
      </c>
    </row>
    <row r="2511" spans="7:8" x14ac:dyDescent="0.3">
      <c r="G2511" s="24">
        <v>2499</v>
      </c>
      <c r="H2511">
        <f t="shared" ca="1" si="42"/>
        <v>-4.3565582675263927E-2</v>
      </c>
    </row>
    <row r="2512" spans="7:8" x14ac:dyDescent="0.3">
      <c r="G2512" s="24">
        <v>2500</v>
      </c>
      <c r="H2512">
        <f t="shared" ca="1" si="42"/>
        <v>1.9555683561213882E-2</v>
      </c>
    </row>
    <row r="2513" spans="7:8" x14ac:dyDescent="0.3">
      <c r="G2513" s="24">
        <v>2501</v>
      </c>
      <c r="H2513">
        <f t="shared" ca="1" si="42"/>
        <v>-2.4812986261567613E-3</v>
      </c>
    </row>
    <row r="2514" spans="7:8" x14ac:dyDescent="0.3">
      <c r="G2514" s="24">
        <v>2502</v>
      </c>
      <c r="H2514">
        <f t="shared" ca="1" si="42"/>
        <v>6.3574396342443773E-2</v>
      </c>
    </row>
    <row r="2515" spans="7:8" x14ac:dyDescent="0.3">
      <c r="G2515" s="24">
        <v>2503</v>
      </c>
      <c r="H2515">
        <f t="shared" ca="1" si="42"/>
        <v>4.9203903482454979E-2</v>
      </c>
    </row>
    <row r="2516" spans="7:8" x14ac:dyDescent="0.3">
      <c r="G2516" s="24">
        <v>2504</v>
      </c>
      <c r="H2516">
        <f t="shared" ca="1" si="42"/>
        <v>-5.1430185825535699E-2</v>
      </c>
    </row>
    <row r="2517" spans="7:8" x14ac:dyDescent="0.3">
      <c r="G2517" s="24">
        <v>2505</v>
      </c>
      <c r="H2517">
        <f t="shared" ca="1" si="42"/>
        <v>7.4930541149864069E-2</v>
      </c>
    </row>
    <row r="2518" spans="7:8" x14ac:dyDescent="0.3">
      <c r="G2518" s="24">
        <v>2506</v>
      </c>
      <c r="H2518">
        <f t="shared" ca="1" si="42"/>
        <v>4.0598829488436593E-2</v>
      </c>
    </row>
    <row r="2519" spans="7:8" x14ac:dyDescent="0.3">
      <c r="G2519" s="24">
        <v>2507</v>
      </c>
      <c r="H2519">
        <f t="shared" ca="1" si="42"/>
        <v>9.6861547200002479E-2</v>
      </c>
    </row>
    <row r="2520" spans="7:8" x14ac:dyDescent="0.3">
      <c r="G2520" s="24">
        <v>2508</v>
      </c>
      <c r="H2520">
        <f t="shared" ca="1" si="42"/>
        <v>-6.4888505850045934E-4</v>
      </c>
    </row>
    <row r="2521" spans="7:8" x14ac:dyDescent="0.3">
      <c r="G2521" s="24">
        <v>2509</v>
      </c>
      <c r="H2521">
        <f t="shared" ca="1" si="42"/>
        <v>0.16992092101940723</v>
      </c>
    </row>
    <row r="2522" spans="7:8" x14ac:dyDescent="0.3">
      <c r="G2522" s="24">
        <v>2510</v>
      </c>
      <c r="H2522">
        <f t="shared" ca="1" si="42"/>
        <v>8.7803696079750658E-3</v>
      </c>
    </row>
    <row r="2523" spans="7:8" x14ac:dyDescent="0.3">
      <c r="G2523" s="24">
        <v>2511</v>
      </c>
      <c r="H2523">
        <f t="shared" ca="1" si="42"/>
        <v>6.1916186484187202E-2</v>
      </c>
    </row>
    <row r="2524" spans="7:8" x14ac:dyDescent="0.3">
      <c r="G2524" s="24">
        <v>2512</v>
      </c>
      <c r="H2524">
        <f t="shared" ca="1" si="42"/>
        <v>-1.7791954716235882E-2</v>
      </c>
    </row>
    <row r="2525" spans="7:8" x14ac:dyDescent="0.3">
      <c r="G2525" s="24">
        <v>2513</v>
      </c>
      <c r="H2525">
        <f t="shared" ca="1" si="42"/>
        <v>-0.10917039925707242</v>
      </c>
    </row>
    <row r="2526" spans="7:8" x14ac:dyDescent="0.3">
      <c r="G2526" s="24">
        <v>2514</v>
      </c>
      <c r="H2526">
        <f t="shared" ca="1" si="42"/>
        <v>4.9742296669065586E-2</v>
      </c>
    </row>
    <row r="2527" spans="7:8" x14ac:dyDescent="0.3">
      <c r="G2527" s="24">
        <v>2515</v>
      </c>
      <c r="H2527">
        <f t="shared" ca="1" si="42"/>
        <v>6.1745602282619258E-2</v>
      </c>
    </row>
    <row r="2528" spans="7:8" x14ac:dyDescent="0.3">
      <c r="G2528" s="24">
        <v>2516</v>
      </c>
      <c r="H2528">
        <f t="shared" ca="1" si="42"/>
        <v>2.8529124734705088E-2</v>
      </c>
    </row>
    <row r="2529" spans="7:8" x14ac:dyDescent="0.3">
      <c r="G2529" s="24">
        <v>2517</v>
      </c>
      <c r="H2529">
        <f t="shared" ca="1" si="42"/>
        <v>-3.0339722677262201E-2</v>
      </c>
    </row>
    <row r="2530" spans="7:8" x14ac:dyDescent="0.3">
      <c r="G2530" s="24">
        <v>2518</v>
      </c>
      <c r="H2530">
        <f t="shared" ca="1" si="42"/>
        <v>-1.8349966460046645E-2</v>
      </c>
    </row>
    <row r="2531" spans="7:8" x14ac:dyDescent="0.3">
      <c r="G2531" s="24">
        <v>2519</v>
      </c>
      <c r="H2531">
        <f t="shared" ca="1" si="42"/>
        <v>7.1370149383776782E-2</v>
      </c>
    </row>
    <row r="2532" spans="7:8" x14ac:dyDescent="0.3">
      <c r="G2532" s="24">
        <v>2520</v>
      </c>
      <c r="H2532">
        <f t="shared" ca="1" si="42"/>
        <v>9.1037083090260942E-2</v>
      </c>
    </row>
    <row r="2533" spans="7:8" x14ac:dyDescent="0.3">
      <c r="G2533" s="24">
        <v>2521</v>
      </c>
      <c r="H2533">
        <f t="shared" ca="1" si="42"/>
        <v>2.0068159906982151E-2</v>
      </c>
    </row>
    <row r="2534" spans="7:8" x14ac:dyDescent="0.3">
      <c r="G2534" s="24">
        <v>2522</v>
      </c>
      <c r="H2534">
        <f t="shared" ca="1" si="42"/>
        <v>7.8874478234353756E-2</v>
      </c>
    </row>
    <row r="2535" spans="7:8" x14ac:dyDescent="0.3">
      <c r="G2535" s="24">
        <v>2523</v>
      </c>
      <c r="H2535">
        <f t="shared" ca="1" si="42"/>
        <v>-0.10064503982487477</v>
      </c>
    </row>
    <row r="2536" spans="7:8" x14ac:dyDescent="0.3">
      <c r="G2536" s="24">
        <v>2524</v>
      </c>
      <c r="H2536">
        <f t="shared" ca="1" si="42"/>
        <v>0.18923302217437205</v>
      </c>
    </row>
    <row r="2537" spans="7:8" x14ac:dyDescent="0.3">
      <c r="G2537" s="24">
        <v>2525</v>
      </c>
      <c r="H2537">
        <f t="shared" ca="1" si="42"/>
        <v>-6.5452190262197327E-3</v>
      </c>
    </row>
    <row r="2538" spans="7:8" x14ac:dyDescent="0.3">
      <c r="G2538" s="24">
        <v>2526</v>
      </c>
      <c r="H2538">
        <f t="shared" ca="1" si="42"/>
        <v>-0.10640629127887742</v>
      </c>
    </row>
    <row r="2539" spans="7:8" x14ac:dyDescent="0.3">
      <c r="G2539" s="24">
        <v>2527</v>
      </c>
      <c r="H2539">
        <f t="shared" ca="1" si="42"/>
        <v>0.14480847222236023</v>
      </c>
    </row>
    <row r="2540" spans="7:8" x14ac:dyDescent="0.3">
      <c r="G2540" s="24">
        <v>2528</v>
      </c>
      <c r="H2540">
        <f t="shared" ca="1" si="42"/>
        <v>8.3236975212295131E-2</v>
      </c>
    </row>
    <row r="2541" spans="7:8" x14ac:dyDescent="0.3">
      <c r="G2541" s="24">
        <v>2529</v>
      </c>
      <c r="H2541">
        <f t="shared" ca="1" si="42"/>
        <v>-3.3616286594875998E-2</v>
      </c>
    </row>
    <row r="2542" spans="7:8" x14ac:dyDescent="0.3">
      <c r="G2542" s="24">
        <v>2530</v>
      </c>
      <c r="H2542">
        <f t="shared" ca="1" si="42"/>
        <v>-2.991593317898188E-2</v>
      </c>
    </row>
    <row r="2543" spans="7:8" x14ac:dyDescent="0.3">
      <c r="G2543" s="24">
        <v>2531</v>
      </c>
      <c r="H2543">
        <f t="shared" ca="1" si="42"/>
        <v>-2.4306423767854721E-2</v>
      </c>
    </row>
    <row r="2544" spans="7:8" x14ac:dyDescent="0.3">
      <c r="G2544" s="24">
        <v>2532</v>
      </c>
      <c r="H2544">
        <f t="shared" ca="1" si="42"/>
        <v>-5.6822091100188217E-2</v>
      </c>
    </row>
    <row r="2545" spans="7:8" x14ac:dyDescent="0.3">
      <c r="G2545" s="24">
        <v>2533</v>
      </c>
      <c r="H2545">
        <f t="shared" ca="1" si="42"/>
        <v>-5.8666337503426313E-2</v>
      </c>
    </row>
    <row r="2546" spans="7:8" x14ac:dyDescent="0.3">
      <c r="G2546" s="24">
        <v>2534</v>
      </c>
      <c r="H2546">
        <f t="shared" ca="1" si="42"/>
        <v>-4.83110570548776E-2</v>
      </c>
    </row>
    <row r="2547" spans="7:8" x14ac:dyDescent="0.3">
      <c r="G2547" s="24">
        <v>2535</v>
      </c>
      <c r="H2547">
        <f t="shared" ca="1" si="42"/>
        <v>2.0082223072483054E-2</v>
      </c>
    </row>
    <row r="2548" spans="7:8" x14ac:dyDescent="0.3">
      <c r="G2548" s="24">
        <v>2536</v>
      </c>
      <c r="H2548">
        <f t="shared" ca="1" si="42"/>
        <v>-8.9730988427507933E-3</v>
      </c>
    </row>
    <row r="2549" spans="7:8" x14ac:dyDescent="0.3">
      <c r="G2549" s="24">
        <v>2537</v>
      </c>
      <c r="H2549">
        <f t="shared" ca="1" si="42"/>
        <v>2.5602893506464379E-2</v>
      </c>
    </row>
    <row r="2550" spans="7:8" x14ac:dyDescent="0.3">
      <c r="G2550" s="24">
        <v>2538</v>
      </c>
      <c r="H2550">
        <f t="shared" ca="1" si="42"/>
        <v>6.5060309026539934E-2</v>
      </c>
    </row>
    <row r="2551" spans="7:8" x14ac:dyDescent="0.3">
      <c r="G2551" s="24">
        <v>2539</v>
      </c>
      <c r="H2551">
        <f t="shared" ca="1" si="42"/>
        <v>-1.4901923344502785E-2</v>
      </c>
    </row>
    <row r="2552" spans="7:8" x14ac:dyDescent="0.3">
      <c r="G2552" s="24">
        <v>2540</v>
      </c>
      <c r="H2552">
        <f t="shared" ca="1" si="42"/>
        <v>2.0348246551980614E-2</v>
      </c>
    </row>
    <row r="2553" spans="7:8" x14ac:dyDescent="0.3">
      <c r="G2553" s="24">
        <v>2541</v>
      </c>
      <c r="H2553">
        <f t="shared" ca="1" si="42"/>
        <v>-6.216651702991078E-2</v>
      </c>
    </row>
    <row r="2554" spans="7:8" x14ac:dyDescent="0.3">
      <c r="G2554" s="24">
        <v>2542</v>
      </c>
      <c r="H2554">
        <f t="shared" ca="1" si="42"/>
        <v>7.225003906675842E-2</v>
      </c>
    </row>
    <row r="2555" spans="7:8" x14ac:dyDescent="0.3">
      <c r="G2555" s="24">
        <v>2543</v>
      </c>
      <c r="H2555">
        <f t="shared" ca="1" si="42"/>
        <v>1.0268630979277611E-2</v>
      </c>
    </row>
    <row r="2556" spans="7:8" x14ac:dyDescent="0.3">
      <c r="G2556" s="24">
        <v>2544</v>
      </c>
      <c r="H2556">
        <f t="shared" ca="1" si="42"/>
        <v>-5.5415971690855659E-2</v>
      </c>
    </row>
    <row r="2557" spans="7:8" x14ac:dyDescent="0.3">
      <c r="G2557" s="24">
        <v>2545</v>
      </c>
      <c r="H2557">
        <f t="shared" ca="1" si="42"/>
        <v>9.079672607676785E-2</v>
      </c>
    </row>
    <row r="2558" spans="7:8" x14ac:dyDescent="0.3">
      <c r="G2558" s="24">
        <v>2546</v>
      </c>
      <c r="H2558">
        <f t="shared" ca="1" si="42"/>
        <v>-3.925804211865478E-2</v>
      </c>
    </row>
    <row r="2559" spans="7:8" x14ac:dyDescent="0.3">
      <c r="G2559" s="24">
        <v>2547</v>
      </c>
      <c r="H2559">
        <f t="shared" ca="1" si="42"/>
        <v>4.9989096777915717E-4</v>
      </c>
    </row>
    <row r="2560" spans="7:8" x14ac:dyDescent="0.3">
      <c r="G2560" s="24">
        <v>2548</v>
      </c>
      <c r="H2560">
        <f t="shared" ca="1" si="42"/>
        <v>-3.0947025521434451E-2</v>
      </c>
    </row>
    <row r="2561" spans="7:8" x14ac:dyDescent="0.3">
      <c r="G2561" s="24">
        <v>2549</v>
      </c>
      <c r="H2561">
        <f t="shared" ca="1" si="42"/>
        <v>5.7332126326603061E-2</v>
      </c>
    </row>
    <row r="2562" spans="7:8" x14ac:dyDescent="0.3">
      <c r="G2562" s="24">
        <v>2550</v>
      </c>
      <c r="H2562">
        <f t="shared" ca="1" si="42"/>
        <v>-9.7360313958321995E-4</v>
      </c>
    </row>
    <row r="2563" spans="7:8" x14ac:dyDescent="0.3">
      <c r="G2563" s="24">
        <v>2551</v>
      </c>
      <c r="H2563">
        <f t="shared" ca="1" si="42"/>
        <v>9.7718148057462845E-2</v>
      </c>
    </row>
    <row r="2564" spans="7:8" x14ac:dyDescent="0.3">
      <c r="G2564" s="24">
        <v>2552</v>
      </c>
      <c r="H2564">
        <f t="shared" ca="1" si="42"/>
        <v>6.4870845147140629E-2</v>
      </c>
    </row>
    <row r="2565" spans="7:8" x14ac:dyDescent="0.3">
      <c r="G2565" s="24">
        <v>2553</v>
      </c>
      <c r="H2565">
        <f t="shared" ca="1" si="42"/>
        <v>4.4380456742941138E-2</v>
      </c>
    </row>
    <row r="2566" spans="7:8" x14ac:dyDescent="0.3">
      <c r="G2566" s="24">
        <v>2554</v>
      </c>
      <c r="H2566">
        <f t="shared" ca="1" si="42"/>
        <v>-8.6977571273922624E-2</v>
      </c>
    </row>
    <row r="2567" spans="7:8" x14ac:dyDescent="0.3">
      <c r="G2567" s="24">
        <v>2555</v>
      </c>
      <c r="H2567">
        <f t="shared" ca="1" si="42"/>
        <v>-5.5708206424743202E-2</v>
      </c>
    </row>
    <row r="2568" spans="7:8" x14ac:dyDescent="0.3">
      <c r="G2568" s="24">
        <v>2556</v>
      </c>
      <c r="H2568">
        <f t="shared" ca="1" si="42"/>
        <v>-0.11123682648650073</v>
      </c>
    </row>
    <row r="2569" spans="7:8" x14ac:dyDescent="0.3">
      <c r="G2569" s="24">
        <v>2557</v>
      </c>
      <c r="H2569">
        <f t="shared" ca="1" si="42"/>
        <v>-5.4365302856785078E-2</v>
      </c>
    </row>
    <row r="2570" spans="7:8" x14ac:dyDescent="0.3">
      <c r="G2570" s="24">
        <v>2558</v>
      </c>
      <c r="H2570">
        <f t="shared" ca="1" si="42"/>
        <v>-3.1721585167671928E-2</v>
      </c>
    </row>
    <row r="2571" spans="7:8" x14ac:dyDescent="0.3">
      <c r="G2571" s="24">
        <v>2559</v>
      </c>
      <c r="H2571">
        <f t="shared" ca="1" si="42"/>
        <v>0.10873267781055593</v>
      </c>
    </row>
    <row r="2572" spans="7:8" x14ac:dyDescent="0.3">
      <c r="G2572" s="24">
        <v>2560</v>
      </c>
      <c r="H2572">
        <f t="shared" ca="1" si="42"/>
        <v>-7.7003960047595327E-2</v>
      </c>
    </row>
    <row r="2573" spans="7:8" x14ac:dyDescent="0.3">
      <c r="G2573" s="24">
        <v>2561</v>
      </c>
      <c r="H2573">
        <f t="shared" ca="1" si="42"/>
        <v>0.24288054869362996</v>
      </c>
    </row>
    <row r="2574" spans="7:8" x14ac:dyDescent="0.3">
      <c r="G2574" s="24">
        <v>2562</v>
      </c>
      <c r="H2574">
        <f t="shared" ref="H2574:H2637" ca="1" si="43">_xlfn.NORM.INV(RAND(),N$13,N$14)</f>
        <v>-6.0611268469919856E-2</v>
      </c>
    </row>
    <row r="2575" spans="7:8" x14ac:dyDescent="0.3">
      <c r="G2575" s="24">
        <v>2563</v>
      </c>
      <c r="H2575">
        <f t="shared" ca="1" si="43"/>
        <v>-3.794134403496205E-3</v>
      </c>
    </row>
    <row r="2576" spans="7:8" x14ac:dyDescent="0.3">
      <c r="G2576" s="24">
        <v>2564</v>
      </c>
      <c r="H2576">
        <f t="shared" ca="1" si="43"/>
        <v>3.7144503128593097E-2</v>
      </c>
    </row>
    <row r="2577" spans="7:8" x14ac:dyDescent="0.3">
      <c r="G2577" s="24">
        <v>2565</v>
      </c>
      <c r="H2577">
        <f t="shared" ca="1" si="43"/>
        <v>-2.6172969203536497E-2</v>
      </c>
    </row>
    <row r="2578" spans="7:8" x14ac:dyDescent="0.3">
      <c r="G2578" s="24">
        <v>2566</v>
      </c>
      <c r="H2578">
        <f t="shared" ca="1" si="43"/>
        <v>2.2101934194052288E-2</v>
      </c>
    </row>
    <row r="2579" spans="7:8" x14ac:dyDescent="0.3">
      <c r="G2579" s="24">
        <v>2567</v>
      </c>
      <c r="H2579">
        <f t="shared" ca="1" si="43"/>
        <v>-8.2437223708249768E-3</v>
      </c>
    </row>
    <row r="2580" spans="7:8" x14ac:dyDescent="0.3">
      <c r="G2580" s="24">
        <v>2568</v>
      </c>
      <c r="H2580">
        <f t="shared" ca="1" si="43"/>
        <v>0.12958401456710306</v>
      </c>
    </row>
    <row r="2581" spans="7:8" x14ac:dyDescent="0.3">
      <c r="G2581" s="24">
        <v>2569</v>
      </c>
      <c r="H2581">
        <f t="shared" ca="1" si="43"/>
        <v>6.3215534787941466E-2</v>
      </c>
    </row>
    <row r="2582" spans="7:8" x14ac:dyDescent="0.3">
      <c r="G2582" s="24">
        <v>2570</v>
      </c>
      <c r="H2582">
        <f t="shared" ca="1" si="43"/>
        <v>4.9011535964692363E-2</v>
      </c>
    </row>
    <row r="2583" spans="7:8" x14ac:dyDescent="0.3">
      <c r="G2583" s="24">
        <v>2571</v>
      </c>
      <c r="H2583">
        <f t="shared" ca="1" si="43"/>
        <v>5.4295572959600844E-2</v>
      </c>
    </row>
    <row r="2584" spans="7:8" x14ac:dyDescent="0.3">
      <c r="G2584" s="24">
        <v>2572</v>
      </c>
      <c r="H2584">
        <f t="shared" ca="1" si="43"/>
        <v>4.6803033243514869E-3</v>
      </c>
    </row>
    <row r="2585" spans="7:8" x14ac:dyDescent="0.3">
      <c r="G2585" s="24">
        <v>2573</v>
      </c>
      <c r="H2585">
        <f t="shared" ca="1" si="43"/>
        <v>-2.3024679658396878E-2</v>
      </c>
    </row>
    <row r="2586" spans="7:8" x14ac:dyDescent="0.3">
      <c r="G2586" s="24">
        <v>2574</v>
      </c>
      <c r="H2586">
        <f t="shared" ca="1" si="43"/>
        <v>4.4918832672331384E-2</v>
      </c>
    </row>
    <row r="2587" spans="7:8" x14ac:dyDescent="0.3">
      <c r="G2587" s="24">
        <v>2575</v>
      </c>
      <c r="H2587">
        <f t="shared" ca="1" si="43"/>
        <v>-7.5221309907124202E-3</v>
      </c>
    </row>
    <row r="2588" spans="7:8" x14ac:dyDescent="0.3">
      <c r="G2588" s="24">
        <v>2576</v>
      </c>
      <c r="H2588">
        <f t="shared" ca="1" si="43"/>
        <v>2.6655794611671949E-2</v>
      </c>
    </row>
    <row r="2589" spans="7:8" x14ac:dyDescent="0.3">
      <c r="G2589" s="24">
        <v>2577</v>
      </c>
      <c r="H2589">
        <f t="shared" ca="1" si="43"/>
        <v>-9.9888529893208566E-2</v>
      </c>
    </row>
    <row r="2590" spans="7:8" x14ac:dyDescent="0.3">
      <c r="G2590" s="24">
        <v>2578</v>
      </c>
      <c r="H2590">
        <f t="shared" ca="1" si="43"/>
        <v>-2.7010570799770563E-2</v>
      </c>
    </row>
    <row r="2591" spans="7:8" x14ac:dyDescent="0.3">
      <c r="G2591" s="24">
        <v>2579</v>
      </c>
      <c r="H2591">
        <f t="shared" ca="1" si="43"/>
        <v>9.035538695845792E-2</v>
      </c>
    </row>
    <row r="2592" spans="7:8" x14ac:dyDescent="0.3">
      <c r="G2592" s="24">
        <v>2580</v>
      </c>
      <c r="H2592">
        <f t="shared" ca="1" si="43"/>
        <v>8.6970175656563981E-3</v>
      </c>
    </row>
    <row r="2593" spans="7:8" x14ac:dyDescent="0.3">
      <c r="G2593" s="24">
        <v>2581</v>
      </c>
      <c r="H2593">
        <f t="shared" ca="1" si="43"/>
        <v>1.90803874610182E-3</v>
      </c>
    </row>
    <row r="2594" spans="7:8" x14ac:dyDescent="0.3">
      <c r="G2594" s="24">
        <v>2582</v>
      </c>
      <c r="H2594">
        <f t="shared" ca="1" si="43"/>
        <v>-6.6412539910493451E-2</v>
      </c>
    </row>
    <row r="2595" spans="7:8" x14ac:dyDescent="0.3">
      <c r="G2595" s="24">
        <v>2583</v>
      </c>
      <c r="H2595">
        <f t="shared" ca="1" si="43"/>
        <v>6.9674223551944733E-2</v>
      </c>
    </row>
    <row r="2596" spans="7:8" x14ac:dyDescent="0.3">
      <c r="G2596" s="24">
        <v>2584</v>
      </c>
      <c r="H2596">
        <f t="shared" ca="1" si="43"/>
        <v>0.14701954371332288</v>
      </c>
    </row>
    <row r="2597" spans="7:8" x14ac:dyDescent="0.3">
      <c r="G2597" s="24">
        <v>2585</v>
      </c>
      <c r="H2597">
        <f t="shared" ca="1" si="43"/>
        <v>-4.399928617801406E-2</v>
      </c>
    </row>
    <row r="2598" spans="7:8" x14ac:dyDescent="0.3">
      <c r="G2598" s="24">
        <v>2586</v>
      </c>
      <c r="H2598">
        <f t="shared" ca="1" si="43"/>
        <v>-0.11374595699608095</v>
      </c>
    </row>
    <row r="2599" spans="7:8" x14ac:dyDescent="0.3">
      <c r="G2599" s="24">
        <v>2587</v>
      </c>
      <c r="H2599">
        <f t="shared" ca="1" si="43"/>
        <v>6.5975187246895314E-2</v>
      </c>
    </row>
    <row r="2600" spans="7:8" x14ac:dyDescent="0.3">
      <c r="G2600" s="24">
        <v>2588</v>
      </c>
      <c r="H2600">
        <f t="shared" ca="1" si="43"/>
        <v>-4.678481676833093E-3</v>
      </c>
    </row>
    <row r="2601" spans="7:8" x14ac:dyDescent="0.3">
      <c r="G2601" s="24">
        <v>2589</v>
      </c>
      <c r="H2601">
        <f t="shared" ca="1" si="43"/>
        <v>4.8272228460705779E-2</v>
      </c>
    </row>
    <row r="2602" spans="7:8" x14ac:dyDescent="0.3">
      <c r="G2602" s="24">
        <v>2590</v>
      </c>
      <c r="H2602">
        <f t="shared" ca="1" si="43"/>
        <v>-6.1048045501001243E-2</v>
      </c>
    </row>
    <row r="2603" spans="7:8" x14ac:dyDescent="0.3">
      <c r="G2603" s="24">
        <v>2591</v>
      </c>
      <c r="H2603">
        <f t="shared" ca="1" si="43"/>
        <v>2.2243353195097536E-2</v>
      </c>
    </row>
    <row r="2604" spans="7:8" x14ac:dyDescent="0.3">
      <c r="G2604" s="24">
        <v>2592</v>
      </c>
      <c r="H2604">
        <f t="shared" ca="1" si="43"/>
        <v>-0.12227668708974053</v>
      </c>
    </row>
    <row r="2605" spans="7:8" x14ac:dyDescent="0.3">
      <c r="G2605" s="24">
        <v>2593</v>
      </c>
      <c r="H2605">
        <f t="shared" ca="1" si="43"/>
        <v>0.11419871789995205</v>
      </c>
    </row>
    <row r="2606" spans="7:8" x14ac:dyDescent="0.3">
      <c r="G2606" s="24">
        <v>2594</v>
      </c>
      <c r="H2606">
        <f t="shared" ca="1" si="43"/>
        <v>-1.5622540780429905E-2</v>
      </c>
    </row>
    <row r="2607" spans="7:8" x14ac:dyDescent="0.3">
      <c r="G2607" s="24">
        <v>2595</v>
      </c>
      <c r="H2607">
        <f t="shared" ca="1" si="43"/>
        <v>6.6250790306924587E-2</v>
      </c>
    </row>
    <row r="2608" spans="7:8" x14ac:dyDescent="0.3">
      <c r="G2608" s="24">
        <v>2596</v>
      </c>
      <c r="H2608">
        <f t="shared" ca="1" si="43"/>
        <v>-4.1548559641775527E-3</v>
      </c>
    </row>
    <row r="2609" spans="7:8" x14ac:dyDescent="0.3">
      <c r="G2609" s="24">
        <v>2597</v>
      </c>
      <c r="H2609">
        <f t="shared" ca="1" si="43"/>
        <v>-2.5245720352871027E-2</v>
      </c>
    </row>
    <row r="2610" spans="7:8" x14ac:dyDescent="0.3">
      <c r="G2610" s="24">
        <v>2598</v>
      </c>
      <c r="H2610">
        <f t="shared" ca="1" si="43"/>
        <v>7.6523175071322891E-2</v>
      </c>
    </row>
    <row r="2611" spans="7:8" x14ac:dyDescent="0.3">
      <c r="G2611" s="24">
        <v>2599</v>
      </c>
      <c r="H2611">
        <f t="shared" ca="1" si="43"/>
        <v>4.3218140095620847E-2</v>
      </c>
    </row>
    <row r="2612" spans="7:8" x14ac:dyDescent="0.3">
      <c r="G2612" s="24">
        <v>2600</v>
      </c>
      <c r="H2612">
        <f t="shared" ca="1" si="43"/>
        <v>-5.4933548534571476E-2</v>
      </c>
    </row>
    <row r="2613" spans="7:8" x14ac:dyDescent="0.3">
      <c r="G2613" s="24">
        <v>2601</v>
      </c>
      <c r="H2613">
        <f t="shared" ca="1" si="43"/>
        <v>-2.0815395191209396E-2</v>
      </c>
    </row>
    <row r="2614" spans="7:8" x14ac:dyDescent="0.3">
      <c r="G2614" s="24">
        <v>2602</v>
      </c>
      <c r="H2614">
        <f t="shared" ca="1" si="43"/>
        <v>-6.2615999622345694E-2</v>
      </c>
    </row>
    <row r="2615" spans="7:8" x14ac:dyDescent="0.3">
      <c r="G2615" s="24">
        <v>2603</v>
      </c>
      <c r="H2615">
        <f t="shared" ca="1" si="43"/>
        <v>-8.8394827405781667E-2</v>
      </c>
    </row>
    <row r="2616" spans="7:8" x14ac:dyDescent="0.3">
      <c r="G2616" s="24">
        <v>2604</v>
      </c>
      <c r="H2616">
        <f t="shared" ca="1" si="43"/>
        <v>-6.7970733898242264E-2</v>
      </c>
    </row>
    <row r="2617" spans="7:8" x14ac:dyDescent="0.3">
      <c r="G2617" s="24">
        <v>2605</v>
      </c>
      <c r="H2617">
        <f t="shared" ca="1" si="43"/>
        <v>6.1139221104514899E-3</v>
      </c>
    </row>
    <row r="2618" spans="7:8" x14ac:dyDescent="0.3">
      <c r="G2618" s="24">
        <v>2606</v>
      </c>
      <c r="H2618">
        <f t="shared" ca="1" si="43"/>
        <v>-3.6582722101140767E-2</v>
      </c>
    </row>
    <row r="2619" spans="7:8" x14ac:dyDescent="0.3">
      <c r="G2619" s="24">
        <v>2607</v>
      </c>
      <c r="H2619">
        <f t="shared" ca="1" si="43"/>
        <v>-0.14749599916020115</v>
      </c>
    </row>
    <row r="2620" spans="7:8" x14ac:dyDescent="0.3">
      <c r="G2620" s="24">
        <v>2608</v>
      </c>
      <c r="H2620">
        <f t="shared" ca="1" si="43"/>
        <v>-2.9844559384792361E-2</v>
      </c>
    </row>
    <row r="2621" spans="7:8" x14ac:dyDescent="0.3">
      <c r="G2621" s="24">
        <v>2609</v>
      </c>
      <c r="H2621">
        <f t="shared" ca="1" si="43"/>
        <v>-5.0473617011963387E-2</v>
      </c>
    </row>
    <row r="2622" spans="7:8" x14ac:dyDescent="0.3">
      <c r="G2622" s="24">
        <v>2610</v>
      </c>
      <c r="H2622">
        <f t="shared" ca="1" si="43"/>
        <v>3.601891921458051E-2</v>
      </c>
    </row>
    <row r="2623" spans="7:8" x14ac:dyDescent="0.3">
      <c r="G2623" s="24">
        <v>2611</v>
      </c>
      <c r="H2623">
        <f t="shared" ca="1" si="43"/>
        <v>-5.0435420649449253E-2</v>
      </c>
    </row>
    <row r="2624" spans="7:8" x14ac:dyDescent="0.3">
      <c r="G2624" s="24">
        <v>2612</v>
      </c>
      <c r="H2624">
        <f t="shared" ca="1" si="43"/>
        <v>2.7378735691093961E-2</v>
      </c>
    </row>
    <row r="2625" spans="7:8" x14ac:dyDescent="0.3">
      <c r="G2625" s="24">
        <v>2613</v>
      </c>
      <c r="H2625">
        <f t="shared" ca="1" si="43"/>
        <v>5.1193815985345829E-2</v>
      </c>
    </row>
    <row r="2626" spans="7:8" x14ac:dyDescent="0.3">
      <c r="G2626" s="24">
        <v>2614</v>
      </c>
      <c r="H2626">
        <f t="shared" ca="1" si="43"/>
        <v>4.1870374474709475E-2</v>
      </c>
    </row>
    <row r="2627" spans="7:8" x14ac:dyDescent="0.3">
      <c r="G2627" s="24">
        <v>2615</v>
      </c>
      <c r="H2627">
        <f t="shared" ca="1" si="43"/>
        <v>-1.5961497411076629E-3</v>
      </c>
    </row>
    <row r="2628" spans="7:8" x14ac:dyDescent="0.3">
      <c r="G2628" s="24">
        <v>2616</v>
      </c>
      <c r="H2628">
        <f t="shared" ca="1" si="43"/>
        <v>-9.9521443301082368E-2</v>
      </c>
    </row>
    <row r="2629" spans="7:8" x14ac:dyDescent="0.3">
      <c r="G2629" s="24">
        <v>2617</v>
      </c>
      <c r="H2629">
        <f t="shared" ca="1" si="43"/>
        <v>-1.6048580772698447E-2</v>
      </c>
    </row>
    <row r="2630" spans="7:8" x14ac:dyDescent="0.3">
      <c r="G2630" s="24">
        <v>2618</v>
      </c>
      <c r="H2630">
        <f t="shared" ca="1" si="43"/>
        <v>-0.11271550081171028</v>
      </c>
    </row>
    <row r="2631" spans="7:8" x14ac:dyDescent="0.3">
      <c r="G2631" s="24">
        <v>2619</v>
      </c>
      <c r="H2631">
        <f t="shared" ca="1" si="43"/>
        <v>-1.3694848956566089E-2</v>
      </c>
    </row>
    <row r="2632" spans="7:8" x14ac:dyDescent="0.3">
      <c r="G2632" s="24">
        <v>2620</v>
      </c>
      <c r="H2632">
        <f t="shared" ca="1" si="43"/>
        <v>2.1704673129787936E-3</v>
      </c>
    </row>
    <row r="2633" spans="7:8" x14ac:dyDescent="0.3">
      <c r="G2633" s="24">
        <v>2621</v>
      </c>
      <c r="H2633">
        <f t="shared" ca="1" si="43"/>
        <v>-4.3657055910960404E-2</v>
      </c>
    </row>
    <row r="2634" spans="7:8" x14ac:dyDescent="0.3">
      <c r="G2634" s="24">
        <v>2622</v>
      </c>
      <c r="H2634">
        <f t="shared" ca="1" si="43"/>
        <v>-7.8638737916446086E-2</v>
      </c>
    </row>
    <row r="2635" spans="7:8" x14ac:dyDescent="0.3">
      <c r="G2635" s="24">
        <v>2623</v>
      </c>
      <c r="H2635">
        <f t="shared" ca="1" si="43"/>
        <v>-2.5783430053694802E-2</v>
      </c>
    </row>
    <row r="2636" spans="7:8" x14ac:dyDescent="0.3">
      <c r="G2636" s="24">
        <v>2624</v>
      </c>
      <c r="H2636">
        <f t="shared" ca="1" si="43"/>
        <v>6.9806586441666943E-2</v>
      </c>
    </row>
    <row r="2637" spans="7:8" x14ac:dyDescent="0.3">
      <c r="G2637" s="24">
        <v>2625</v>
      </c>
      <c r="H2637">
        <f t="shared" ca="1" si="43"/>
        <v>-1.246900677641122E-3</v>
      </c>
    </row>
    <row r="2638" spans="7:8" x14ac:dyDescent="0.3">
      <c r="G2638" s="24">
        <v>2626</v>
      </c>
      <c r="H2638">
        <f t="shared" ref="H2638:H2701" ca="1" si="44">_xlfn.NORM.INV(RAND(),N$13,N$14)</f>
        <v>-8.6321638459152666E-3</v>
      </c>
    </row>
    <row r="2639" spans="7:8" x14ac:dyDescent="0.3">
      <c r="G2639" s="24">
        <v>2627</v>
      </c>
      <c r="H2639">
        <f t="shared" ca="1" si="44"/>
        <v>3.1284540223861193E-2</v>
      </c>
    </row>
    <row r="2640" spans="7:8" x14ac:dyDescent="0.3">
      <c r="G2640" s="24">
        <v>2628</v>
      </c>
      <c r="H2640">
        <f t="shared" ca="1" si="44"/>
        <v>3.9983613487387139E-2</v>
      </c>
    </row>
    <row r="2641" spans="7:8" x14ac:dyDescent="0.3">
      <c r="G2641" s="24">
        <v>2629</v>
      </c>
      <c r="H2641">
        <f t="shared" ca="1" si="44"/>
        <v>-8.3456025124257843E-2</v>
      </c>
    </row>
    <row r="2642" spans="7:8" x14ac:dyDescent="0.3">
      <c r="G2642" s="24">
        <v>2630</v>
      </c>
      <c r="H2642">
        <f t="shared" ca="1" si="44"/>
        <v>-0.14913462842784012</v>
      </c>
    </row>
    <row r="2643" spans="7:8" x14ac:dyDescent="0.3">
      <c r="G2643" s="24">
        <v>2631</v>
      </c>
      <c r="H2643">
        <f t="shared" ca="1" si="44"/>
        <v>4.1784972369328904E-2</v>
      </c>
    </row>
    <row r="2644" spans="7:8" x14ac:dyDescent="0.3">
      <c r="G2644" s="24">
        <v>2632</v>
      </c>
      <c r="H2644">
        <f t="shared" ca="1" si="44"/>
        <v>1.4184516304631705E-2</v>
      </c>
    </row>
    <row r="2645" spans="7:8" x14ac:dyDescent="0.3">
      <c r="G2645" s="24">
        <v>2633</v>
      </c>
      <c r="H2645">
        <f t="shared" ca="1" si="44"/>
        <v>-1.1758907221849234E-2</v>
      </c>
    </row>
    <row r="2646" spans="7:8" x14ac:dyDescent="0.3">
      <c r="G2646" s="24">
        <v>2634</v>
      </c>
      <c r="H2646">
        <f t="shared" ca="1" si="44"/>
        <v>-5.5435139064850113E-2</v>
      </c>
    </row>
    <row r="2647" spans="7:8" x14ac:dyDescent="0.3">
      <c r="G2647" s="24">
        <v>2635</v>
      </c>
      <c r="H2647">
        <f t="shared" ca="1" si="44"/>
        <v>6.7075296574605758E-2</v>
      </c>
    </row>
    <row r="2648" spans="7:8" x14ac:dyDescent="0.3">
      <c r="G2648" s="24">
        <v>2636</v>
      </c>
      <c r="H2648">
        <f t="shared" ca="1" si="44"/>
        <v>1.545928156115316E-2</v>
      </c>
    </row>
    <row r="2649" spans="7:8" x14ac:dyDescent="0.3">
      <c r="G2649" s="24">
        <v>2637</v>
      </c>
      <c r="H2649">
        <f t="shared" ca="1" si="44"/>
        <v>-0.11106648368391071</v>
      </c>
    </row>
    <row r="2650" spans="7:8" x14ac:dyDescent="0.3">
      <c r="G2650" s="24">
        <v>2638</v>
      </c>
      <c r="H2650">
        <f t="shared" ca="1" si="44"/>
        <v>-7.0919264123520207E-4</v>
      </c>
    </row>
    <row r="2651" spans="7:8" x14ac:dyDescent="0.3">
      <c r="G2651" s="24">
        <v>2639</v>
      </c>
      <c r="H2651">
        <f t="shared" ca="1" si="44"/>
        <v>4.046080694341507E-2</v>
      </c>
    </row>
    <row r="2652" spans="7:8" x14ac:dyDescent="0.3">
      <c r="G2652" s="24">
        <v>2640</v>
      </c>
      <c r="H2652">
        <f t="shared" ca="1" si="44"/>
        <v>5.7722760419286152E-2</v>
      </c>
    </row>
    <row r="2653" spans="7:8" x14ac:dyDescent="0.3">
      <c r="G2653" s="24">
        <v>2641</v>
      </c>
      <c r="H2653">
        <f t="shared" ca="1" si="44"/>
        <v>1.4004043469858502E-2</v>
      </c>
    </row>
    <row r="2654" spans="7:8" x14ac:dyDescent="0.3">
      <c r="G2654" s="24">
        <v>2642</v>
      </c>
      <c r="H2654">
        <f t="shared" ca="1" si="44"/>
        <v>0.10029618668436109</v>
      </c>
    </row>
    <row r="2655" spans="7:8" x14ac:dyDescent="0.3">
      <c r="G2655" s="24">
        <v>2643</v>
      </c>
      <c r="H2655">
        <f t="shared" ca="1" si="44"/>
        <v>0.10667488223224683</v>
      </c>
    </row>
    <row r="2656" spans="7:8" x14ac:dyDescent="0.3">
      <c r="G2656" s="24">
        <v>2644</v>
      </c>
      <c r="H2656">
        <f t="shared" ca="1" si="44"/>
        <v>-5.4110797119294528E-2</v>
      </c>
    </row>
    <row r="2657" spans="7:8" x14ac:dyDescent="0.3">
      <c r="G2657" s="24">
        <v>2645</v>
      </c>
      <c r="H2657">
        <f t="shared" ca="1" si="44"/>
        <v>-3.0076254860601352E-3</v>
      </c>
    </row>
    <row r="2658" spans="7:8" x14ac:dyDescent="0.3">
      <c r="G2658" s="24">
        <v>2646</v>
      </c>
      <c r="H2658">
        <f t="shared" ca="1" si="44"/>
        <v>3.4413394224615215E-2</v>
      </c>
    </row>
    <row r="2659" spans="7:8" x14ac:dyDescent="0.3">
      <c r="G2659" s="24">
        <v>2647</v>
      </c>
      <c r="H2659">
        <f t="shared" ca="1" si="44"/>
        <v>4.6858992236354924E-3</v>
      </c>
    </row>
    <row r="2660" spans="7:8" x14ac:dyDescent="0.3">
      <c r="G2660" s="24">
        <v>2648</v>
      </c>
      <c r="H2660">
        <f t="shared" ca="1" si="44"/>
        <v>8.768495011217162E-3</v>
      </c>
    </row>
    <row r="2661" spans="7:8" x14ac:dyDescent="0.3">
      <c r="G2661" s="24">
        <v>2649</v>
      </c>
      <c r="H2661">
        <f t="shared" ca="1" si="44"/>
        <v>4.9293428667758973E-2</v>
      </c>
    </row>
    <row r="2662" spans="7:8" x14ac:dyDescent="0.3">
      <c r="G2662" s="24">
        <v>2650</v>
      </c>
      <c r="H2662">
        <f t="shared" ca="1" si="44"/>
        <v>0.10361065136615757</v>
      </c>
    </row>
    <row r="2663" spans="7:8" x14ac:dyDescent="0.3">
      <c r="G2663" s="24">
        <v>2651</v>
      </c>
      <c r="H2663">
        <f t="shared" ca="1" si="44"/>
        <v>2.4865292129113738E-3</v>
      </c>
    </row>
    <row r="2664" spans="7:8" x14ac:dyDescent="0.3">
      <c r="G2664" s="24">
        <v>2652</v>
      </c>
      <c r="H2664">
        <f t="shared" ca="1" si="44"/>
        <v>-4.7973853740046174E-2</v>
      </c>
    </row>
    <row r="2665" spans="7:8" x14ac:dyDescent="0.3">
      <c r="G2665" s="24">
        <v>2653</v>
      </c>
      <c r="H2665">
        <f t="shared" ca="1" si="44"/>
        <v>-5.3375447854121863E-2</v>
      </c>
    </row>
    <row r="2666" spans="7:8" x14ac:dyDescent="0.3">
      <c r="G2666" s="24">
        <v>2654</v>
      </c>
      <c r="H2666">
        <f t="shared" ca="1" si="44"/>
        <v>4.5790018568545324E-2</v>
      </c>
    </row>
    <row r="2667" spans="7:8" x14ac:dyDescent="0.3">
      <c r="G2667" s="24">
        <v>2655</v>
      </c>
      <c r="H2667">
        <f t="shared" ca="1" si="44"/>
        <v>-1.0147382008759715E-2</v>
      </c>
    </row>
    <row r="2668" spans="7:8" x14ac:dyDescent="0.3">
      <c r="G2668" s="24">
        <v>2656</v>
      </c>
      <c r="H2668">
        <f t="shared" ca="1" si="44"/>
        <v>8.9112699849893534E-2</v>
      </c>
    </row>
    <row r="2669" spans="7:8" x14ac:dyDescent="0.3">
      <c r="G2669" s="24">
        <v>2657</v>
      </c>
      <c r="H2669">
        <f t="shared" ca="1" si="44"/>
        <v>9.373132148729138E-2</v>
      </c>
    </row>
    <row r="2670" spans="7:8" x14ac:dyDescent="0.3">
      <c r="G2670" s="24">
        <v>2658</v>
      </c>
      <c r="H2670">
        <f t="shared" ca="1" si="44"/>
        <v>1.6481982580643685E-2</v>
      </c>
    </row>
    <row r="2671" spans="7:8" x14ac:dyDescent="0.3">
      <c r="G2671" s="24">
        <v>2659</v>
      </c>
      <c r="H2671">
        <f t="shared" ca="1" si="44"/>
        <v>0.14534132606213834</v>
      </c>
    </row>
    <row r="2672" spans="7:8" x14ac:dyDescent="0.3">
      <c r="G2672" s="24">
        <v>2660</v>
      </c>
      <c r="H2672">
        <f t="shared" ca="1" si="44"/>
        <v>3.035289584907773E-2</v>
      </c>
    </row>
    <row r="2673" spans="7:8" x14ac:dyDescent="0.3">
      <c r="G2673" s="24">
        <v>2661</v>
      </c>
      <c r="H2673">
        <f t="shared" ca="1" si="44"/>
        <v>-2.378343473219972E-2</v>
      </c>
    </row>
    <row r="2674" spans="7:8" x14ac:dyDescent="0.3">
      <c r="G2674" s="24">
        <v>2662</v>
      </c>
      <c r="H2674">
        <f t="shared" ca="1" si="44"/>
        <v>5.15339439306296E-2</v>
      </c>
    </row>
    <row r="2675" spans="7:8" x14ac:dyDescent="0.3">
      <c r="G2675" s="24">
        <v>2663</v>
      </c>
      <c r="H2675">
        <f t="shared" ca="1" si="44"/>
        <v>4.3117162496930081E-2</v>
      </c>
    </row>
    <row r="2676" spans="7:8" x14ac:dyDescent="0.3">
      <c r="G2676" s="24">
        <v>2664</v>
      </c>
      <c r="H2676">
        <f t="shared" ca="1" si="44"/>
        <v>4.5222059211610266E-2</v>
      </c>
    </row>
    <row r="2677" spans="7:8" x14ac:dyDescent="0.3">
      <c r="G2677" s="24">
        <v>2665</v>
      </c>
      <c r="H2677">
        <f t="shared" ca="1" si="44"/>
        <v>-4.5647272939735362E-2</v>
      </c>
    </row>
    <row r="2678" spans="7:8" x14ac:dyDescent="0.3">
      <c r="G2678" s="24">
        <v>2666</v>
      </c>
      <c r="H2678">
        <f t="shared" ca="1" si="44"/>
        <v>9.0751085242283432E-3</v>
      </c>
    </row>
    <row r="2679" spans="7:8" x14ac:dyDescent="0.3">
      <c r="G2679" s="24">
        <v>2667</v>
      </c>
      <c r="H2679">
        <f t="shared" ca="1" si="44"/>
        <v>2.645032314880754E-2</v>
      </c>
    </row>
    <row r="2680" spans="7:8" x14ac:dyDescent="0.3">
      <c r="G2680" s="24">
        <v>2668</v>
      </c>
      <c r="H2680">
        <f t="shared" ca="1" si="44"/>
        <v>1.8432378792760495E-3</v>
      </c>
    </row>
    <row r="2681" spans="7:8" x14ac:dyDescent="0.3">
      <c r="G2681" s="24">
        <v>2669</v>
      </c>
      <c r="H2681">
        <f t="shared" ca="1" si="44"/>
        <v>5.1982588867348196E-2</v>
      </c>
    </row>
    <row r="2682" spans="7:8" x14ac:dyDescent="0.3">
      <c r="G2682" s="24">
        <v>2670</v>
      </c>
      <c r="H2682">
        <f t="shared" ca="1" si="44"/>
        <v>3.5840873360460192E-2</v>
      </c>
    </row>
    <row r="2683" spans="7:8" x14ac:dyDescent="0.3">
      <c r="G2683" s="24">
        <v>2671</v>
      </c>
      <c r="H2683">
        <f t="shared" ca="1" si="44"/>
        <v>-1.6211541347488253E-2</v>
      </c>
    </row>
    <row r="2684" spans="7:8" x14ac:dyDescent="0.3">
      <c r="G2684" s="24">
        <v>2672</v>
      </c>
      <c r="H2684">
        <f t="shared" ca="1" si="44"/>
        <v>5.3740547051301976E-2</v>
      </c>
    </row>
    <row r="2685" spans="7:8" x14ac:dyDescent="0.3">
      <c r="G2685" s="24">
        <v>2673</v>
      </c>
      <c r="H2685">
        <f t="shared" ca="1" si="44"/>
        <v>0.1434935149910401</v>
      </c>
    </row>
    <row r="2686" spans="7:8" x14ac:dyDescent="0.3">
      <c r="G2686" s="24">
        <v>2674</v>
      </c>
      <c r="H2686">
        <f t="shared" ca="1" si="44"/>
        <v>3.3044156241512634E-2</v>
      </c>
    </row>
    <row r="2687" spans="7:8" x14ac:dyDescent="0.3">
      <c r="G2687" s="24">
        <v>2675</v>
      </c>
      <c r="H2687">
        <f t="shared" ca="1" si="44"/>
        <v>3.9319241177713286E-2</v>
      </c>
    </row>
    <row r="2688" spans="7:8" x14ac:dyDescent="0.3">
      <c r="G2688" s="24">
        <v>2676</v>
      </c>
      <c r="H2688">
        <f t="shared" ca="1" si="44"/>
        <v>1.7484029992785857E-3</v>
      </c>
    </row>
    <row r="2689" spans="7:8" x14ac:dyDescent="0.3">
      <c r="G2689" s="24">
        <v>2677</v>
      </c>
      <c r="H2689">
        <f t="shared" ca="1" si="44"/>
        <v>-0.17860601390205355</v>
      </c>
    </row>
    <row r="2690" spans="7:8" x14ac:dyDescent="0.3">
      <c r="G2690" s="24">
        <v>2678</v>
      </c>
      <c r="H2690">
        <f t="shared" ca="1" si="44"/>
        <v>-1.73346444380954E-2</v>
      </c>
    </row>
    <row r="2691" spans="7:8" x14ac:dyDescent="0.3">
      <c r="G2691" s="24">
        <v>2679</v>
      </c>
      <c r="H2691">
        <f t="shared" ca="1" si="44"/>
        <v>2.4431618614916158E-2</v>
      </c>
    </row>
    <row r="2692" spans="7:8" x14ac:dyDescent="0.3">
      <c r="G2692" s="24">
        <v>2680</v>
      </c>
      <c r="H2692">
        <f t="shared" ca="1" si="44"/>
        <v>6.2993665362766973E-3</v>
      </c>
    </row>
    <row r="2693" spans="7:8" x14ac:dyDescent="0.3">
      <c r="G2693" s="24">
        <v>2681</v>
      </c>
      <c r="H2693">
        <f t="shared" ca="1" si="44"/>
        <v>-7.0598869676445457E-3</v>
      </c>
    </row>
    <row r="2694" spans="7:8" x14ac:dyDescent="0.3">
      <c r="G2694" s="24">
        <v>2682</v>
      </c>
      <c r="H2694">
        <f t="shared" ca="1" si="44"/>
        <v>-4.8084704984532795E-2</v>
      </c>
    </row>
    <row r="2695" spans="7:8" x14ac:dyDescent="0.3">
      <c r="G2695" s="24">
        <v>2683</v>
      </c>
      <c r="H2695">
        <f t="shared" ca="1" si="44"/>
        <v>-4.8435940828601656E-2</v>
      </c>
    </row>
    <row r="2696" spans="7:8" x14ac:dyDescent="0.3">
      <c r="G2696" s="24">
        <v>2684</v>
      </c>
      <c r="H2696">
        <f t="shared" ca="1" si="44"/>
        <v>9.0526238530037717E-2</v>
      </c>
    </row>
    <row r="2697" spans="7:8" x14ac:dyDescent="0.3">
      <c r="G2697" s="24">
        <v>2685</v>
      </c>
      <c r="H2697">
        <f t="shared" ca="1" si="44"/>
        <v>1.8406252998341841E-2</v>
      </c>
    </row>
    <row r="2698" spans="7:8" x14ac:dyDescent="0.3">
      <c r="G2698" s="24">
        <v>2686</v>
      </c>
      <c r="H2698">
        <f t="shared" ca="1" si="44"/>
        <v>-4.4519714365645849E-2</v>
      </c>
    </row>
    <row r="2699" spans="7:8" x14ac:dyDescent="0.3">
      <c r="G2699" s="24">
        <v>2687</v>
      </c>
      <c r="H2699">
        <f t="shared" ca="1" si="44"/>
        <v>-6.1848742390244384E-2</v>
      </c>
    </row>
    <row r="2700" spans="7:8" x14ac:dyDescent="0.3">
      <c r="G2700" s="24">
        <v>2688</v>
      </c>
      <c r="H2700">
        <f t="shared" ca="1" si="44"/>
        <v>-1.3211912532973638E-2</v>
      </c>
    </row>
    <row r="2701" spans="7:8" x14ac:dyDescent="0.3">
      <c r="G2701" s="24">
        <v>2689</v>
      </c>
      <c r="H2701">
        <f t="shared" ca="1" si="44"/>
        <v>-6.8343396662678916E-3</v>
      </c>
    </row>
    <row r="2702" spans="7:8" x14ac:dyDescent="0.3">
      <c r="G2702" s="24">
        <v>2690</v>
      </c>
      <c r="H2702">
        <f t="shared" ref="H2702:H2765" ca="1" si="45">_xlfn.NORM.INV(RAND(),N$13,N$14)</f>
        <v>-3.9600730883369427E-2</v>
      </c>
    </row>
    <row r="2703" spans="7:8" x14ac:dyDescent="0.3">
      <c r="G2703" s="24">
        <v>2691</v>
      </c>
      <c r="H2703">
        <f t="shared" ca="1" si="45"/>
        <v>8.6929677731562103E-3</v>
      </c>
    </row>
    <row r="2704" spans="7:8" x14ac:dyDescent="0.3">
      <c r="G2704" s="24">
        <v>2692</v>
      </c>
      <c r="H2704">
        <f t="shared" ca="1" si="45"/>
        <v>5.3685329536415867E-2</v>
      </c>
    </row>
    <row r="2705" spans="7:8" x14ac:dyDescent="0.3">
      <c r="G2705" s="24">
        <v>2693</v>
      </c>
      <c r="H2705">
        <f t="shared" ca="1" si="45"/>
        <v>7.5094315340178353E-2</v>
      </c>
    </row>
    <row r="2706" spans="7:8" x14ac:dyDescent="0.3">
      <c r="G2706" s="24">
        <v>2694</v>
      </c>
      <c r="H2706">
        <f t="shared" ca="1" si="45"/>
        <v>3.5848168996667415E-2</v>
      </c>
    </row>
    <row r="2707" spans="7:8" x14ac:dyDescent="0.3">
      <c r="G2707" s="24">
        <v>2695</v>
      </c>
      <c r="H2707">
        <f t="shared" ca="1" si="45"/>
        <v>-0.18703151209342472</v>
      </c>
    </row>
    <row r="2708" spans="7:8" x14ac:dyDescent="0.3">
      <c r="G2708" s="24">
        <v>2696</v>
      </c>
      <c r="H2708">
        <f t="shared" ca="1" si="45"/>
        <v>4.8207502845624917E-2</v>
      </c>
    </row>
    <row r="2709" spans="7:8" x14ac:dyDescent="0.3">
      <c r="G2709" s="24">
        <v>2697</v>
      </c>
      <c r="H2709">
        <f t="shared" ca="1" si="45"/>
        <v>-2.3932153440810965E-2</v>
      </c>
    </row>
    <row r="2710" spans="7:8" x14ac:dyDescent="0.3">
      <c r="G2710" s="24">
        <v>2698</v>
      </c>
      <c r="H2710">
        <f t="shared" ca="1" si="45"/>
        <v>-0.15204788913530717</v>
      </c>
    </row>
    <row r="2711" spans="7:8" x14ac:dyDescent="0.3">
      <c r="G2711" s="24">
        <v>2699</v>
      </c>
      <c r="H2711">
        <f t="shared" ca="1" si="45"/>
        <v>7.7339729361470036E-4</v>
      </c>
    </row>
    <row r="2712" spans="7:8" x14ac:dyDescent="0.3">
      <c r="G2712" s="24">
        <v>2700</v>
      </c>
      <c r="H2712">
        <f t="shared" ca="1" si="45"/>
        <v>-7.5131226079162325E-2</v>
      </c>
    </row>
    <row r="2713" spans="7:8" x14ac:dyDescent="0.3">
      <c r="G2713" s="24">
        <v>2701</v>
      </c>
      <c r="H2713">
        <f t="shared" ca="1" si="45"/>
        <v>-6.1839274405983601E-2</v>
      </c>
    </row>
    <row r="2714" spans="7:8" x14ac:dyDescent="0.3">
      <c r="G2714" s="24">
        <v>2702</v>
      </c>
      <c r="H2714">
        <f t="shared" ca="1" si="45"/>
        <v>-7.4465468596989423E-2</v>
      </c>
    </row>
    <row r="2715" spans="7:8" x14ac:dyDescent="0.3">
      <c r="G2715" s="24">
        <v>2703</v>
      </c>
      <c r="H2715">
        <f t="shared" ca="1" si="45"/>
        <v>-7.1436428885022427E-2</v>
      </c>
    </row>
    <row r="2716" spans="7:8" x14ac:dyDescent="0.3">
      <c r="G2716" s="24">
        <v>2704</v>
      </c>
      <c r="H2716">
        <f t="shared" ca="1" si="45"/>
        <v>-5.3765639598065691E-2</v>
      </c>
    </row>
    <row r="2717" spans="7:8" x14ac:dyDescent="0.3">
      <c r="G2717" s="24">
        <v>2705</v>
      </c>
      <c r="H2717">
        <f t="shared" ca="1" si="45"/>
        <v>-1.4122639617447998E-2</v>
      </c>
    </row>
    <row r="2718" spans="7:8" x14ac:dyDescent="0.3">
      <c r="G2718" s="24">
        <v>2706</v>
      </c>
      <c r="H2718">
        <f t="shared" ca="1" si="45"/>
        <v>4.1684830192497621E-3</v>
      </c>
    </row>
    <row r="2719" spans="7:8" x14ac:dyDescent="0.3">
      <c r="G2719" s="24">
        <v>2707</v>
      </c>
      <c r="H2719">
        <f t="shared" ca="1" si="45"/>
        <v>-4.3462626142423889E-2</v>
      </c>
    </row>
    <row r="2720" spans="7:8" x14ac:dyDescent="0.3">
      <c r="G2720" s="24">
        <v>2708</v>
      </c>
      <c r="H2720">
        <f t="shared" ca="1" si="45"/>
        <v>2.630143958450383E-2</v>
      </c>
    </row>
    <row r="2721" spans="7:8" x14ac:dyDescent="0.3">
      <c r="G2721" s="24">
        <v>2709</v>
      </c>
      <c r="H2721">
        <f t="shared" ca="1" si="45"/>
        <v>7.3139858257049526E-3</v>
      </c>
    </row>
    <row r="2722" spans="7:8" x14ac:dyDescent="0.3">
      <c r="G2722" s="24">
        <v>2710</v>
      </c>
      <c r="H2722">
        <f t="shared" ca="1" si="45"/>
        <v>0.11625807024711492</v>
      </c>
    </row>
    <row r="2723" spans="7:8" x14ac:dyDescent="0.3">
      <c r="G2723" s="24">
        <v>2711</v>
      </c>
      <c r="H2723">
        <f t="shared" ca="1" si="45"/>
        <v>1.3116333360873977E-2</v>
      </c>
    </row>
    <row r="2724" spans="7:8" x14ac:dyDescent="0.3">
      <c r="G2724" s="24">
        <v>2712</v>
      </c>
      <c r="H2724">
        <f t="shared" ca="1" si="45"/>
        <v>-3.7942898546511554E-2</v>
      </c>
    </row>
    <row r="2725" spans="7:8" x14ac:dyDescent="0.3">
      <c r="G2725" s="24">
        <v>2713</v>
      </c>
      <c r="H2725">
        <f t="shared" ca="1" si="45"/>
        <v>-5.4683445085314974E-2</v>
      </c>
    </row>
    <row r="2726" spans="7:8" x14ac:dyDescent="0.3">
      <c r="G2726" s="24">
        <v>2714</v>
      </c>
      <c r="H2726">
        <f t="shared" ca="1" si="45"/>
        <v>1.9302571155052899E-2</v>
      </c>
    </row>
    <row r="2727" spans="7:8" x14ac:dyDescent="0.3">
      <c r="G2727" s="24">
        <v>2715</v>
      </c>
      <c r="H2727">
        <f t="shared" ca="1" si="45"/>
        <v>-5.6508677316444315E-2</v>
      </c>
    </row>
    <row r="2728" spans="7:8" x14ac:dyDescent="0.3">
      <c r="G2728" s="24">
        <v>2716</v>
      </c>
      <c r="H2728">
        <f t="shared" ca="1" si="45"/>
        <v>-5.0280801402938453E-2</v>
      </c>
    </row>
    <row r="2729" spans="7:8" x14ac:dyDescent="0.3">
      <c r="G2729" s="24">
        <v>2717</v>
      </c>
      <c r="H2729">
        <f t="shared" ca="1" si="45"/>
        <v>-2.90954062853691E-3</v>
      </c>
    </row>
    <row r="2730" spans="7:8" x14ac:dyDescent="0.3">
      <c r="G2730" s="24">
        <v>2718</v>
      </c>
      <c r="H2730">
        <f t="shared" ca="1" si="45"/>
        <v>5.4823597737429543E-2</v>
      </c>
    </row>
    <row r="2731" spans="7:8" x14ac:dyDescent="0.3">
      <c r="G2731" s="24">
        <v>2719</v>
      </c>
      <c r="H2731">
        <f t="shared" ca="1" si="45"/>
        <v>1.7030397992158993E-2</v>
      </c>
    </row>
    <row r="2732" spans="7:8" x14ac:dyDescent="0.3">
      <c r="G2732" s="24">
        <v>2720</v>
      </c>
      <c r="H2732">
        <f t="shared" ca="1" si="45"/>
        <v>0.10818438180388619</v>
      </c>
    </row>
    <row r="2733" spans="7:8" x14ac:dyDescent="0.3">
      <c r="G2733" s="24">
        <v>2721</v>
      </c>
      <c r="H2733">
        <f t="shared" ca="1" si="45"/>
        <v>-0.143789659447848</v>
      </c>
    </row>
    <row r="2734" spans="7:8" x14ac:dyDescent="0.3">
      <c r="G2734" s="24">
        <v>2722</v>
      </c>
      <c r="H2734">
        <f t="shared" ca="1" si="45"/>
        <v>5.28686816308588E-3</v>
      </c>
    </row>
    <row r="2735" spans="7:8" x14ac:dyDescent="0.3">
      <c r="G2735" s="24">
        <v>2723</v>
      </c>
      <c r="H2735">
        <f t="shared" ca="1" si="45"/>
        <v>1.6569911583527698E-2</v>
      </c>
    </row>
    <row r="2736" spans="7:8" x14ac:dyDescent="0.3">
      <c r="G2736" s="24">
        <v>2724</v>
      </c>
      <c r="H2736">
        <f t="shared" ca="1" si="45"/>
        <v>-1.1560391089280003E-2</v>
      </c>
    </row>
    <row r="2737" spans="7:8" x14ac:dyDescent="0.3">
      <c r="G2737" s="24">
        <v>2725</v>
      </c>
      <c r="H2737">
        <f t="shared" ca="1" si="45"/>
        <v>1.6867775808168995E-2</v>
      </c>
    </row>
    <row r="2738" spans="7:8" x14ac:dyDescent="0.3">
      <c r="G2738" s="24">
        <v>2726</v>
      </c>
      <c r="H2738">
        <f t="shared" ca="1" si="45"/>
        <v>3.9808202073785895E-2</v>
      </c>
    </row>
    <row r="2739" spans="7:8" x14ac:dyDescent="0.3">
      <c r="G2739" s="24">
        <v>2727</v>
      </c>
      <c r="H2739">
        <f t="shared" ca="1" si="45"/>
        <v>1.2278059811882324E-2</v>
      </c>
    </row>
    <row r="2740" spans="7:8" x14ac:dyDescent="0.3">
      <c r="G2740" s="24">
        <v>2728</v>
      </c>
      <c r="H2740">
        <f t="shared" ca="1" si="45"/>
        <v>2.94984383835512E-2</v>
      </c>
    </row>
    <row r="2741" spans="7:8" x14ac:dyDescent="0.3">
      <c r="G2741" s="24">
        <v>2729</v>
      </c>
      <c r="H2741">
        <f t="shared" ca="1" si="45"/>
        <v>-7.3204524153410097E-2</v>
      </c>
    </row>
    <row r="2742" spans="7:8" x14ac:dyDescent="0.3">
      <c r="G2742" s="24">
        <v>2730</v>
      </c>
      <c r="H2742">
        <f t="shared" ca="1" si="45"/>
        <v>2.9353250573255781E-2</v>
      </c>
    </row>
    <row r="2743" spans="7:8" x14ac:dyDescent="0.3">
      <c r="G2743" s="24">
        <v>2731</v>
      </c>
      <c r="H2743">
        <f t="shared" ca="1" si="45"/>
        <v>-6.2226516483749793E-2</v>
      </c>
    </row>
    <row r="2744" spans="7:8" x14ac:dyDescent="0.3">
      <c r="G2744" s="24">
        <v>2732</v>
      </c>
      <c r="H2744">
        <f t="shared" ca="1" si="45"/>
        <v>-6.7373912531941194E-2</v>
      </c>
    </row>
    <row r="2745" spans="7:8" x14ac:dyDescent="0.3">
      <c r="G2745" s="24">
        <v>2733</v>
      </c>
      <c r="H2745">
        <f t="shared" ca="1" si="45"/>
        <v>1.5994624347270395E-2</v>
      </c>
    </row>
    <row r="2746" spans="7:8" x14ac:dyDescent="0.3">
      <c r="G2746" s="24">
        <v>2734</v>
      </c>
      <c r="H2746">
        <f t="shared" ca="1" si="45"/>
        <v>4.4365673105059992E-3</v>
      </c>
    </row>
    <row r="2747" spans="7:8" x14ac:dyDescent="0.3">
      <c r="G2747" s="24">
        <v>2735</v>
      </c>
      <c r="H2747">
        <f t="shared" ca="1" si="45"/>
        <v>8.9754829951652307E-2</v>
      </c>
    </row>
    <row r="2748" spans="7:8" x14ac:dyDescent="0.3">
      <c r="G2748" s="24">
        <v>2736</v>
      </c>
      <c r="H2748">
        <f t="shared" ca="1" si="45"/>
        <v>-2.3999348599136876E-2</v>
      </c>
    </row>
    <row r="2749" spans="7:8" x14ac:dyDescent="0.3">
      <c r="G2749" s="24">
        <v>2737</v>
      </c>
      <c r="H2749">
        <f t="shared" ca="1" si="45"/>
        <v>0.11305683514586831</v>
      </c>
    </row>
    <row r="2750" spans="7:8" x14ac:dyDescent="0.3">
      <c r="G2750" s="24">
        <v>2738</v>
      </c>
      <c r="H2750">
        <f t="shared" ca="1" si="45"/>
        <v>5.4506510146911914E-2</v>
      </c>
    </row>
    <row r="2751" spans="7:8" x14ac:dyDescent="0.3">
      <c r="G2751" s="24">
        <v>2739</v>
      </c>
      <c r="H2751">
        <f t="shared" ca="1" si="45"/>
        <v>1.1136719423468021E-2</v>
      </c>
    </row>
    <row r="2752" spans="7:8" x14ac:dyDescent="0.3">
      <c r="G2752" s="24">
        <v>2740</v>
      </c>
      <c r="H2752">
        <f t="shared" ca="1" si="45"/>
        <v>-7.0735742549704939E-2</v>
      </c>
    </row>
    <row r="2753" spans="7:8" x14ac:dyDescent="0.3">
      <c r="G2753" s="24">
        <v>2741</v>
      </c>
      <c r="H2753">
        <f t="shared" ca="1" si="45"/>
        <v>3.03980870115503E-2</v>
      </c>
    </row>
    <row r="2754" spans="7:8" x14ac:dyDescent="0.3">
      <c r="G2754" s="24">
        <v>2742</v>
      </c>
      <c r="H2754">
        <f t="shared" ca="1" si="45"/>
        <v>-3.2882138934074573E-2</v>
      </c>
    </row>
    <row r="2755" spans="7:8" x14ac:dyDescent="0.3">
      <c r="G2755" s="24">
        <v>2743</v>
      </c>
      <c r="H2755">
        <f t="shared" ca="1" si="45"/>
        <v>9.94100982274298E-2</v>
      </c>
    </row>
    <row r="2756" spans="7:8" x14ac:dyDescent="0.3">
      <c r="G2756" s="24">
        <v>2744</v>
      </c>
      <c r="H2756">
        <f t="shared" ca="1" si="45"/>
        <v>-5.1254525652086061E-2</v>
      </c>
    </row>
    <row r="2757" spans="7:8" x14ac:dyDescent="0.3">
      <c r="G2757" s="24">
        <v>2745</v>
      </c>
      <c r="H2757">
        <f t="shared" ca="1" si="45"/>
        <v>2.7860395789096348E-3</v>
      </c>
    </row>
    <row r="2758" spans="7:8" x14ac:dyDescent="0.3">
      <c r="G2758" s="24">
        <v>2746</v>
      </c>
      <c r="H2758">
        <f t="shared" ca="1" si="45"/>
        <v>6.0637839246465423E-2</v>
      </c>
    </row>
    <row r="2759" spans="7:8" x14ac:dyDescent="0.3">
      <c r="G2759" s="24">
        <v>2747</v>
      </c>
      <c r="H2759">
        <f t="shared" ca="1" si="45"/>
        <v>7.8852300552500143E-2</v>
      </c>
    </row>
    <row r="2760" spans="7:8" x14ac:dyDescent="0.3">
      <c r="G2760" s="24">
        <v>2748</v>
      </c>
      <c r="H2760">
        <f t="shared" ca="1" si="45"/>
        <v>4.1926623516557959E-2</v>
      </c>
    </row>
    <row r="2761" spans="7:8" x14ac:dyDescent="0.3">
      <c r="G2761" s="24">
        <v>2749</v>
      </c>
      <c r="H2761">
        <f t="shared" ca="1" si="45"/>
        <v>1.311658142565863E-2</v>
      </c>
    </row>
    <row r="2762" spans="7:8" x14ac:dyDescent="0.3">
      <c r="G2762" s="24">
        <v>2750</v>
      </c>
      <c r="H2762">
        <f t="shared" ca="1" si="45"/>
        <v>6.0440212453181263E-2</v>
      </c>
    </row>
    <row r="2763" spans="7:8" x14ac:dyDescent="0.3">
      <c r="G2763" s="24">
        <v>2751</v>
      </c>
      <c r="H2763">
        <f t="shared" ca="1" si="45"/>
        <v>3.805641661863856E-2</v>
      </c>
    </row>
    <row r="2764" spans="7:8" x14ac:dyDescent="0.3">
      <c r="G2764" s="24">
        <v>2752</v>
      </c>
      <c r="H2764">
        <f t="shared" ca="1" si="45"/>
        <v>-8.5887168646147163E-2</v>
      </c>
    </row>
    <row r="2765" spans="7:8" x14ac:dyDescent="0.3">
      <c r="G2765" s="24">
        <v>2753</v>
      </c>
      <c r="H2765">
        <f t="shared" ca="1" si="45"/>
        <v>0.10679146694822192</v>
      </c>
    </row>
    <row r="2766" spans="7:8" x14ac:dyDescent="0.3">
      <c r="G2766" s="24">
        <v>2754</v>
      </c>
      <c r="H2766">
        <f t="shared" ref="H2766:H2829" ca="1" si="46">_xlfn.NORM.INV(RAND(),N$13,N$14)</f>
        <v>5.7285910303803152E-2</v>
      </c>
    </row>
    <row r="2767" spans="7:8" x14ac:dyDescent="0.3">
      <c r="G2767" s="24">
        <v>2755</v>
      </c>
      <c r="H2767">
        <f t="shared" ca="1" si="46"/>
        <v>-2.1557486447992345E-2</v>
      </c>
    </row>
    <row r="2768" spans="7:8" x14ac:dyDescent="0.3">
      <c r="G2768" s="24">
        <v>2756</v>
      </c>
      <c r="H2768">
        <f t="shared" ca="1" si="46"/>
        <v>1.0997450441711996E-2</v>
      </c>
    </row>
    <row r="2769" spans="7:8" x14ac:dyDescent="0.3">
      <c r="G2769" s="24">
        <v>2757</v>
      </c>
      <c r="H2769">
        <f t="shared" ca="1" si="46"/>
        <v>-4.8617388493451395E-2</v>
      </c>
    </row>
    <row r="2770" spans="7:8" x14ac:dyDescent="0.3">
      <c r="G2770" s="24">
        <v>2758</v>
      </c>
      <c r="H2770">
        <f t="shared" ca="1" si="46"/>
        <v>5.7463457659952713E-2</v>
      </c>
    </row>
    <row r="2771" spans="7:8" x14ac:dyDescent="0.3">
      <c r="G2771" s="24">
        <v>2759</v>
      </c>
      <c r="H2771">
        <f t="shared" ca="1" si="46"/>
        <v>0.1249451722424494</v>
      </c>
    </row>
    <row r="2772" spans="7:8" x14ac:dyDescent="0.3">
      <c r="G2772" s="24">
        <v>2760</v>
      </c>
      <c r="H2772">
        <f t="shared" ca="1" si="46"/>
        <v>8.2200116932329176E-2</v>
      </c>
    </row>
    <row r="2773" spans="7:8" x14ac:dyDescent="0.3">
      <c r="G2773" s="24">
        <v>2761</v>
      </c>
      <c r="H2773">
        <f t="shared" ca="1" si="46"/>
        <v>0.14143165123776757</v>
      </c>
    </row>
    <row r="2774" spans="7:8" x14ac:dyDescent="0.3">
      <c r="G2774" s="24">
        <v>2762</v>
      </c>
      <c r="H2774">
        <f t="shared" ca="1" si="46"/>
        <v>0.11873324356205166</v>
      </c>
    </row>
    <row r="2775" spans="7:8" x14ac:dyDescent="0.3">
      <c r="G2775" s="24">
        <v>2763</v>
      </c>
      <c r="H2775">
        <f t="shared" ca="1" si="46"/>
        <v>8.2710960733111183E-2</v>
      </c>
    </row>
    <row r="2776" spans="7:8" x14ac:dyDescent="0.3">
      <c r="G2776" s="24">
        <v>2764</v>
      </c>
      <c r="H2776">
        <f t="shared" ca="1" si="46"/>
        <v>6.6565499055398977E-2</v>
      </c>
    </row>
    <row r="2777" spans="7:8" x14ac:dyDescent="0.3">
      <c r="G2777" s="24">
        <v>2765</v>
      </c>
      <c r="H2777">
        <f t="shared" ca="1" si="46"/>
        <v>-3.8012761907005227E-2</v>
      </c>
    </row>
    <row r="2778" spans="7:8" x14ac:dyDescent="0.3">
      <c r="G2778" s="24">
        <v>2766</v>
      </c>
      <c r="H2778">
        <f t="shared" ca="1" si="46"/>
        <v>2.5669915095529381E-2</v>
      </c>
    </row>
    <row r="2779" spans="7:8" x14ac:dyDescent="0.3">
      <c r="G2779" s="24">
        <v>2767</v>
      </c>
      <c r="H2779">
        <f t="shared" ca="1" si="46"/>
        <v>1.3539966741620587E-2</v>
      </c>
    </row>
    <row r="2780" spans="7:8" x14ac:dyDescent="0.3">
      <c r="G2780" s="24">
        <v>2768</v>
      </c>
      <c r="H2780">
        <f t="shared" ca="1" si="46"/>
        <v>-8.0299013125482904E-2</v>
      </c>
    </row>
    <row r="2781" spans="7:8" x14ac:dyDescent="0.3">
      <c r="G2781" s="24">
        <v>2769</v>
      </c>
      <c r="H2781">
        <f t="shared" ca="1" si="46"/>
        <v>6.4498952176220148E-3</v>
      </c>
    </row>
    <row r="2782" spans="7:8" x14ac:dyDescent="0.3">
      <c r="G2782" s="24">
        <v>2770</v>
      </c>
      <c r="H2782">
        <f t="shared" ca="1" si="46"/>
        <v>-3.8693866079918066E-2</v>
      </c>
    </row>
    <row r="2783" spans="7:8" x14ac:dyDescent="0.3">
      <c r="G2783" s="24">
        <v>2771</v>
      </c>
      <c r="H2783">
        <f t="shared" ca="1" si="46"/>
        <v>1.196769573961449E-2</v>
      </c>
    </row>
    <row r="2784" spans="7:8" x14ac:dyDescent="0.3">
      <c r="G2784" s="24">
        <v>2772</v>
      </c>
      <c r="H2784">
        <f t="shared" ca="1" si="46"/>
        <v>0.11306081081758497</v>
      </c>
    </row>
    <row r="2785" spans="7:8" x14ac:dyDescent="0.3">
      <c r="G2785" s="24">
        <v>2773</v>
      </c>
      <c r="H2785">
        <f t="shared" ca="1" si="46"/>
        <v>5.925162787619815E-2</v>
      </c>
    </row>
    <row r="2786" spans="7:8" x14ac:dyDescent="0.3">
      <c r="G2786" s="24">
        <v>2774</v>
      </c>
      <c r="H2786">
        <f t="shared" ca="1" si="46"/>
        <v>-0.1222217197532396</v>
      </c>
    </row>
    <row r="2787" spans="7:8" x14ac:dyDescent="0.3">
      <c r="G2787" s="24">
        <v>2775</v>
      </c>
      <c r="H2787">
        <f t="shared" ca="1" si="46"/>
        <v>2.7967602785898098E-2</v>
      </c>
    </row>
    <row r="2788" spans="7:8" x14ac:dyDescent="0.3">
      <c r="G2788" s="24">
        <v>2776</v>
      </c>
      <c r="H2788">
        <f t="shared" ca="1" si="46"/>
        <v>8.8290593929836056E-2</v>
      </c>
    </row>
    <row r="2789" spans="7:8" x14ac:dyDescent="0.3">
      <c r="G2789" s="24">
        <v>2777</v>
      </c>
      <c r="H2789">
        <f t="shared" ca="1" si="46"/>
        <v>5.7933844996842634E-2</v>
      </c>
    </row>
    <row r="2790" spans="7:8" x14ac:dyDescent="0.3">
      <c r="G2790" s="24">
        <v>2778</v>
      </c>
      <c r="H2790">
        <f t="shared" ca="1" si="46"/>
        <v>-4.9070969331970922E-3</v>
      </c>
    </row>
    <row r="2791" spans="7:8" x14ac:dyDescent="0.3">
      <c r="G2791" s="24">
        <v>2779</v>
      </c>
      <c r="H2791">
        <f t="shared" ca="1" si="46"/>
        <v>1.6273553515665007E-2</v>
      </c>
    </row>
    <row r="2792" spans="7:8" x14ac:dyDescent="0.3">
      <c r="G2792" s="24">
        <v>2780</v>
      </c>
      <c r="H2792">
        <f t="shared" ca="1" si="46"/>
        <v>9.1679630974995666E-2</v>
      </c>
    </row>
    <row r="2793" spans="7:8" x14ac:dyDescent="0.3">
      <c r="G2793" s="24">
        <v>2781</v>
      </c>
      <c r="H2793">
        <f t="shared" ca="1" si="46"/>
        <v>7.1180608987386665E-2</v>
      </c>
    </row>
    <row r="2794" spans="7:8" x14ac:dyDescent="0.3">
      <c r="G2794" s="24">
        <v>2782</v>
      </c>
      <c r="H2794">
        <f t="shared" ca="1" si="46"/>
        <v>-0.10502536053282827</v>
      </c>
    </row>
    <row r="2795" spans="7:8" x14ac:dyDescent="0.3">
      <c r="G2795" s="24">
        <v>2783</v>
      </c>
      <c r="H2795">
        <f t="shared" ca="1" si="46"/>
        <v>-9.9879218692673188E-2</v>
      </c>
    </row>
    <row r="2796" spans="7:8" x14ac:dyDescent="0.3">
      <c r="G2796" s="24">
        <v>2784</v>
      </c>
      <c r="H2796">
        <f t="shared" ca="1" si="46"/>
        <v>-0.12417582392295762</v>
      </c>
    </row>
    <row r="2797" spans="7:8" x14ac:dyDescent="0.3">
      <c r="G2797" s="24">
        <v>2785</v>
      </c>
      <c r="H2797">
        <f t="shared" ca="1" si="46"/>
        <v>6.1081655137258301E-2</v>
      </c>
    </row>
    <row r="2798" spans="7:8" x14ac:dyDescent="0.3">
      <c r="G2798" s="24">
        <v>2786</v>
      </c>
      <c r="H2798">
        <f t="shared" ca="1" si="46"/>
        <v>-4.5254535898391325E-2</v>
      </c>
    </row>
    <row r="2799" spans="7:8" x14ac:dyDescent="0.3">
      <c r="G2799" s="24">
        <v>2787</v>
      </c>
      <c r="H2799">
        <f t="shared" ca="1" si="46"/>
        <v>3.0238291892416672E-2</v>
      </c>
    </row>
    <row r="2800" spans="7:8" x14ac:dyDescent="0.3">
      <c r="G2800" s="24">
        <v>2788</v>
      </c>
      <c r="H2800">
        <f t="shared" ca="1" si="46"/>
        <v>-5.7817977659705651E-2</v>
      </c>
    </row>
    <row r="2801" spans="7:8" x14ac:dyDescent="0.3">
      <c r="G2801" s="24">
        <v>2789</v>
      </c>
      <c r="H2801">
        <f t="shared" ca="1" si="46"/>
        <v>7.5975085877162118E-2</v>
      </c>
    </row>
    <row r="2802" spans="7:8" x14ac:dyDescent="0.3">
      <c r="G2802" s="24">
        <v>2790</v>
      </c>
      <c r="H2802">
        <f t="shared" ca="1" si="46"/>
        <v>-2.5143287346158002E-2</v>
      </c>
    </row>
    <row r="2803" spans="7:8" x14ac:dyDescent="0.3">
      <c r="G2803" s="24">
        <v>2791</v>
      </c>
      <c r="H2803">
        <f t="shared" ca="1" si="46"/>
        <v>2.1274422937890999E-2</v>
      </c>
    </row>
    <row r="2804" spans="7:8" x14ac:dyDescent="0.3">
      <c r="G2804" s="24">
        <v>2792</v>
      </c>
      <c r="H2804">
        <f t="shared" ca="1" si="46"/>
        <v>4.9987441836661796E-2</v>
      </c>
    </row>
    <row r="2805" spans="7:8" x14ac:dyDescent="0.3">
      <c r="G2805" s="24">
        <v>2793</v>
      </c>
      <c r="H2805">
        <f t="shared" ca="1" si="46"/>
        <v>-2.8409180676054716E-3</v>
      </c>
    </row>
    <row r="2806" spans="7:8" x14ac:dyDescent="0.3">
      <c r="G2806" s="24">
        <v>2794</v>
      </c>
      <c r="H2806">
        <f t="shared" ca="1" si="46"/>
        <v>-3.7040586471684796E-2</v>
      </c>
    </row>
    <row r="2807" spans="7:8" x14ac:dyDescent="0.3">
      <c r="G2807" s="24">
        <v>2795</v>
      </c>
      <c r="H2807">
        <f t="shared" ca="1" si="46"/>
        <v>-7.5211506286529575E-2</v>
      </c>
    </row>
    <row r="2808" spans="7:8" x14ac:dyDescent="0.3">
      <c r="G2808" s="24">
        <v>2796</v>
      </c>
      <c r="H2808">
        <f t="shared" ca="1" si="46"/>
        <v>0.13370339488563623</v>
      </c>
    </row>
    <row r="2809" spans="7:8" x14ac:dyDescent="0.3">
      <c r="G2809" s="24">
        <v>2797</v>
      </c>
      <c r="H2809">
        <f t="shared" ca="1" si="46"/>
        <v>1.037372161269362E-2</v>
      </c>
    </row>
    <row r="2810" spans="7:8" x14ac:dyDescent="0.3">
      <c r="G2810" s="24">
        <v>2798</v>
      </c>
      <c r="H2810">
        <f t="shared" ca="1" si="46"/>
        <v>8.7662428741728138E-2</v>
      </c>
    </row>
    <row r="2811" spans="7:8" x14ac:dyDescent="0.3">
      <c r="G2811" s="24">
        <v>2799</v>
      </c>
      <c r="H2811">
        <f t="shared" ca="1" si="46"/>
        <v>5.760476440877395E-3</v>
      </c>
    </row>
    <row r="2812" spans="7:8" x14ac:dyDescent="0.3">
      <c r="G2812" s="24">
        <v>2800</v>
      </c>
      <c r="H2812">
        <f t="shared" ca="1" si="46"/>
        <v>5.0828747821900611E-2</v>
      </c>
    </row>
    <row r="2813" spans="7:8" x14ac:dyDescent="0.3">
      <c r="G2813" s="24">
        <v>2801</v>
      </c>
      <c r="H2813">
        <f t="shared" ca="1" si="46"/>
        <v>9.1215478397060944E-4</v>
      </c>
    </row>
    <row r="2814" spans="7:8" x14ac:dyDescent="0.3">
      <c r="G2814" s="24">
        <v>2802</v>
      </c>
      <c r="H2814">
        <f t="shared" ca="1" si="46"/>
        <v>9.936747636554355E-2</v>
      </c>
    </row>
    <row r="2815" spans="7:8" x14ac:dyDescent="0.3">
      <c r="G2815" s="24">
        <v>2803</v>
      </c>
      <c r="H2815">
        <f t="shared" ca="1" si="46"/>
        <v>0.11823798774796551</v>
      </c>
    </row>
    <row r="2816" spans="7:8" x14ac:dyDescent="0.3">
      <c r="G2816" s="24">
        <v>2804</v>
      </c>
      <c r="H2816">
        <f t="shared" ca="1" si="46"/>
        <v>-1.2833765140319689E-2</v>
      </c>
    </row>
    <row r="2817" spans="7:8" x14ac:dyDescent="0.3">
      <c r="G2817" s="24">
        <v>2805</v>
      </c>
      <c r="H2817">
        <f t="shared" ca="1" si="46"/>
        <v>2.0184359606215386E-2</v>
      </c>
    </row>
    <row r="2818" spans="7:8" x14ac:dyDescent="0.3">
      <c r="G2818" s="24">
        <v>2806</v>
      </c>
      <c r="H2818">
        <f t="shared" ca="1" si="46"/>
        <v>-4.1483819503221962E-2</v>
      </c>
    </row>
    <row r="2819" spans="7:8" x14ac:dyDescent="0.3">
      <c r="G2819" s="24">
        <v>2807</v>
      </c>
      <c r="H2819">
        <f t="shared" ca="1" si="46"/>
        <v>4.2694369809414413E-2</v>
      </c>
    </row>
    <row r="2820" spans="7:8" x14ac:dyDescent="0.3">
      <c r="G2820" s="24">
        <v>2808</v>
      </c>
      <c r="H2820">
        <f t="shared" ca="1" si="46"/>
        <v>-0.10740736907474412</v>
      </c>
    </row>
    <row r="2821" spans="7:8" x14ac:dyDescent="0.3">
      <c r="G2821" s="24">
        <v>2809</v>
      </c>
      <c r="H2821">
        <f t="shared" ca="1" si="46"/>
        <v>-0.12390734557342467</v>
      </c>
    </row>
    <row r="2822" spans="7:8" x14ac:dyDescent="0.3">
      <c r="G2822" s="24">
        <v>2810</v>
      </c>
      <c r="H2822">
        <f t="shared" ca="1" si="46"/>
        <v>3.061942709064118E-2</v>
      </c>
    </row>
    <row r="2823" spans="7:8" x14ac:dyDescent="0.3">
      <c r="G2823" s="24">
        <v>2811</v>
      </c>
      <c r="H2823">
        <f t="shared" ca="1" si="46"/>
        <v>-5.1035237447492228E-2</v>
      </c>
    </row>
    <row r="2824" spans="7:8" x14ac:dyDescent="0.3">
      <c r="G2824" s="24">
        <v>2812</v>
      </c>
      <c r="H2824">
        <f t="shared" ca="1" si="46"/>
        <v>0.10855041695079753</v>
      </c>
    </row>
    <row r="2825" spans="7:8" x14ac:dyDescent="0.3">
      <c r="G2825" s="24">
        <v>2813</v>
      </c>
      <c r="H2825">
        <f t="shared" ca="1" si="46"/>
        <v>3.5450621537520988E-2</v>
      </c>
    </row>
    <row r="2826" spans="7:8" x14ac:dyDescent="0.3">
      <c r="G2826" s="24">
        <v>2814</v>
      </c>
      <c r="H2826">
        <f t="shared" ca="1" si="46"/>
        <v>-0.16498268924487622</v>
      </c>
    </row>
    <row r="2827" spans="7:8" x14ac:dyDescent="0.3">
      <c r="G2827" s="24">
        <v>2815</v>
      </c>
      <c r="H2827">
        <f t="shared" ca="1" si="46"/>
        <v>0.10466293948285572</v>
      </c>
    </row>
    <row r="2828" spans="7:8" x14ac:dyDescent="0.3">
      <c r="G2828" s="24">
        <v>2816</v>
      </c>
      <c r="H2828">
        <f t="shared" ca="1" si="46"/>
        <v>-0.1496027002463699</v>
      </c>
    </row>
    <row r="2829" spans="7:8" x14ac:dyDescent="0.3">
      <c r="G2829" s="24">
        <v>2817</v>
      </c>
      <c r="H2829">
        <f t="shared" ca="1" si="46"/>
        <v>0.12997603929037949</v>
      </c>
    </row>
    <row r="2830" spans="7:8" x14ac:dyDescent="0.3">
      <c r="G2830" s="24">
        <v>2818</v>
      </c>
      <c r="H2830">
        <f t="shared" ref="H2830:H2893" ca="1" si="47">_xlfn.NORM.INV(RAND(),N$13,N$14)</f>
        <v>7.7216085246165814E-2</v>
      </c>
    </row>
    <row r="2831" spans="7:8" x14ac:dyDescent="0.3">
      <c r="G2831" s="24">
        <v>2819</v>
      </c>
      <c r="H2831">
        <f t="shared" ca="1" si="47"/>
        <v>-6.1381309471645502E-2</v>
      </c>
    </row>
    <row r="2832" spans="7:8" x14ac:dyDescent="0.3">
      <c r="G2832" s="24">
        <v>2820</v>
      </c>
      <c r="H2832">
        <f t="shared" ca="1" si="47"/>
        <v>-7.7577991766880367E-3</v>
      </c>
    </row>
    <row r="2833" spans="7:8" x14ac:dyDescent="0.3">
      <c r="G2833" s="24">
        <v>2821</v>
      </c>
      <c r="H2833">
        <f t="shared" ca="1" si="47"/>
        <v>-0.13868070567469021</v>
      </c>
    </row>
    <row r="2834" spans="7:8" x14ac:dyDescent="0.3">
      <c r="G2834" s="24">
        <v>2822</v>
      </c>
      <c r="H2834">
        <f t="shared" ca="1" si="47"/>
        <v>-2.950414850903391E-2</v>
      </c>
    </row>
    <row r="2835" spans="7:8" x14ac:dyDescent="0.3">
      <c r="G2835" s="24">
        <v>2823</v>
      </c>
      <c r="H2835">
        <f t="shared" ca="1" si="47"/>
        <v>2.9179143149323548E-2</v>
      </c>
    </row>
    <row r="2836" spans="7:8" x14ac:dyDescent="0.3">
      <c r="G2836" s="24">
        <v>2824</v>
      </c>
      <c r="H2836">
        <f t="shared" ca="1" si="47"/>
        <v>-7.3162757140798521E-2</v>
      </c>
    </row>
    <row r="2837" spans="7:8" x14ac:dyDescent="0.3">
      <c r="G2837" s="24">
        <v>2825</v>
      </c>
      <c r="H2837">
        <f t="shared" ca="1" si="47"/>
        <v>-0.11979199386902649</v>
      </c>
    </row>
    <row r="2838" spans="7:8" x14ac:dyDescent="0.3">
      <c r="G2838" s="24">
        <v>2826</v>
      </c>
      <c r="H2838">
        <f t="shared" ca="1" si="47"/>
        <v>3.702660912422423E-2</v>
      </c>
    </row>
    <row r="2839" spans="7:8" x14ac:dyDescent="0.3">
      <c r="G2839" s="24">
        <v>2827</v>
      </c>
      <c r="H2839">
        <f t="shared" ca="1" si="47"/>
        <v>-9.801637542715097E-2</v>
      </c>
    </row>
    <row r="2840" spans="7:8" x14ac:dyDescent="0.3">
      <c r="G2840" s="24">
        <v>2828</v>
      </c>
      <c r="H2840">
        <f t="shared" ca="1" si="47"/>
        <v>-6.5467636602619964E-2</v>
      </c>
    </row>
    <row r="2841" spans="7:8" x14ac:dyDescent="0.3">
      <c r="G2841" s="24">
        <v>2829</v>
      </c>
      <c r="H2841">
        <f t="shared" ca="1" si="47"/>
        <v>8.2663066343677968E-2</v>
      </c>
    </row>
    <row r="2842" spans="7:8" x14ac:dyDescent="0.3">
      <c r="G2842" s="24">
        <v>2830</v>
      </c>
      <c r="H2842">
        <f t="shared" ca="1" si="47"/>
        <v>2.092065181207553E-2</v>
      </c>
    </row>
    <row r="2843" spans="7:8" x14ac:dyDescent="0.3">
      <c r="G2843" s="24">
        <v>2831</v>
      </c>
      <c r="H2843">
        <f t="shared" ca="1" si="47"/>
        <v>6.6513021144560702E-2</v>
      </c>
    </row>
    <row r="2844" spans="7:8" x14ac:dyDescent="0.3">
      <c r="G2844" s="24">
        <v>2832</v>
      </c>
      <c r="H2844">
        <f t="shared" ca="1" si="47"/>
        <v>-7.0406779984356821E-2</v>
      </c>
    </row>
    <row r="2845" spans="7:8" x14ac:dyDescent="0.3">
      <c r="G2845" s="24">
        <v>2833</v>
      </c>
      <c r="H2845">
        <f t="shared" ca="1" si="47"/>
        <v>-2.9165267255746963E-3</v>
      </c>
    </row>
    <row r="2846" spans="7:8" x14ac:dyDescent="0.3">
      <c r="G2846" s="24">
        <v>2834</v>
      </c>
      <c r="H2846">
        <f t="shared" ca="1" si="47"/>
        <v>-2.8798051924224619E-2</v>
      </c>
    </row>
    <row r="2847" spans="7:8" x14ac:dyDescent="0.3">
      <c r="G2847" s="24">
        <v>2835</v>
      </c>
      <c r="H2847">
        <f t="shared" ca="1" si="47"/>
        <v>5.7114365540210507E-3</v>
      </c>
    </row>
    <row r="2848" spans="7:8" x14ac:dyDescent="0.3">
      <c r="G2848" s="24">
        <v>2836</v>
      </c>
      <c r="H2848">
        <f t="shared" ca="1" si="47"/>
        <v>-7.8178678600300006E-2</v>
      </c>
    </row>
    <row r="2849" spans="7:8" x14ac:dyDescent="0.3">
      <c r="G2849" s="24">
        <v>2837</v>
      </c>
      <c r="H2849">
        <f t="shared" ca="1" si="47"/>
        <v>8.5230615353245068E-2</v>
      </c>
    </row>
    <row r="2850" spans="7:8" x14ac:dyDescent="0.3">
      <c r="G2850" s="24">
        <v>2838</v>
      </c>
      <c r="H2850">
        <f t="shared" ca="1" si="47"/>
        <v>8.2700340704178685E-2</v>
      </c>
    </row>
    <row r="2851" spans="7:8" x14ac:dyDescent="0.3">
      <c r="G2851" s="24">
        <v>2839</v>
      </c>
      <c r="H2851">
        <f t="shared" ca="1" si="47"/>
        <v>2.843491282209881E-3</v>
      </c>
    </row>
    <row r="2852" spans="7:8" x14ac:dyDescent="0.3">
      <c r="G2852" s="24">
        <v>2840</v>
      </c>
      <c r="H2852">
        <f t="shared" ca="1" si="47"/>
        <v>7.1091822704790978E-3</v>
      </c>
    </row>
    <row r="2853" spans="7:8" x14ac:dyDescent="0.3">
      <c r="G2853" s="24">
        <v>2841</v>
      </c>
      <c r="H2853">
        <f t="shared" ca="1" si="47"/>
        <v>-5.0144613308120159E-2</v>
      </c>
    </row>
    <row r="2854" spans="7:8" x14ac:dyDescent="0.3">
      <c r="G2854" s="24">
        <v>2842</v>
      </c>
      <c r="H2854">
        <f t="shared" ca="1" si="47"/>
        <v>-4.7629017044091948E-2</v>
      </c>
    </row>
    <row r="2855" spans="7:8" x14ac:dyDescent="0.3">
      <c r="G2855" s="24">
        <v>2843</v>
      </c>
      <c r="H2855">
        <f t="shared" ca="1" si="47"/>
        <v>-7.7596144666538039E-2</v>
      </c>
    </row>
    <row r="2856" spans="7:8" x14ac:dyDescent="0.3">
      <c r="G2856" s="24">
        <v>2844</v>
      </c>
      <c r="H2856">
        <f t="shared" ca="1" si="47"/>
        <v>-3.7269414985695686E-2</v>
      </c>
    </row>
    <row r="2857" spans="7:8" x14ac:dyDescent="0.3">
      <c r="G2857" s="24">
        <v>2845</v>
      </c>
      <c r="H2857">
        <f t="shared" ca="1" si="47"/>
        <v>6.5194824400770068E-2</v>
      </c>
    </row>
    <row r="2858" spans="7:8" x14ac:dyDescent="0.3">
      <c r="G2858" s="24">
        <v>2846</v>
      </c>
      <c r="H2858">
        <f t="shared" ca="1" si="47"/>
        <v>-0.10977778708821354</v>
      </c>
    </row>
    <row r="2859" spans="7:8" x14ac:dyDescent="0.3">
      <c r="G2859" s="24">
        <v>2847</v>
      </c>
      <c r="H2859">
        <f t="shared" ca="1" si="47"/>
        <v>-4.0394147215353275E-2</v>
      </c>
    </row>
    <row r="2860" spans="7:8" x14ac:dyDescent="0.3">
      <c r="G2860" s="24">
        <v>2848</v>
      </c>
      <c r="H2860">
        <f t="shared" ca="1" si="47"/>
        <v>-7.0962881243443507E-2</v>
      </c>
    </row>
    <row r="2861" spans="7:8" x14ac:dyDescent="0.3">
      <c r="G2861" s="24">
        <v>2849</v>
      </c>
      <c r="H2861">
        <f t="shared" ca="1" si="47"/>
        <v>-7.3401125920930871E-2</v>
      </c>
    </row>
    <row r="2862" spans="7:8" x14ac:dyDescent="0.3">
      <c r="G2862" s="24">
        <v>2850</v>
      </c>
      <c r="H2862">
        <f t="shared" ca="1" si="47"/>
        <v>6.0777206810484694E-2</v>
      </c>
    </row>
    <row r="2863" spans="7:8" x14ac:dyDescent="0.3">
      <c r="G2863" s="24">
        <v>2851</v>
      </c>
      <c r="H2863">
        <f t="shared" ca="1" si="47"/>
        <v>-2.1531305899455823E-2</v>
      </c>
    </row>
    <row r="2864" spans="7:8" x14ac:dyDescent="0.3">
      <c r="G2864" s="24">
        <v>2852</v>
      </c>
      <c r="H2864">
        <f t="shared" ca="1" si="47"/>
        <v>-4.8954677285843955E-2</v>
      </c>
    </row>
    <row r="2865" spans="7:8" x14ac:dyDescent="0.3">
      <c r="G2865" s="24">
        <v>2853</v>
      </c>
      <c r="H2865">
        <f t="shared" ca="1" si="47"/>
        <v>4.1810605524756891E-2</v>
      </c>
    </row>
    <row r="2866" spans="7:8" x14ac:dyDescent="0.3">
      <c r="G2866" s="24">
        <v>2854</v>
      </c>
      <c r="H2866">
        <f t="shared" ca="1" si="47"/>
        <v>5.3348942940597047E-4</v>
      </c>
    </row>
    <row r="2867" spans="7:8" x14ac:dyDescent="0.3">
      <c r="G2867" s="24">
        <v>2855</v>
      </c>
      <c r="H2867">
        <f t="shared" ca="1" si="47"/>
        <v>-7.2184613068186798E-2</v>
      </c>
    </row>
    <row r="2868" spans="7:8" x14ac:dyDescent="0.3">
      <c r="G2868" s="24">
        <v>2856</v>
      </c>
      <c r="H2868">
        <f t="shared" ca="1" si="47"/>
        <v>-3.0115089365969096E-2</v>
      </c>
    </row>
    <row r="2869" spans="7:8" x14ac:dyDescent="0.3">
      <c r="G2869" s="24">
        <v>2857</v>
      </c>
      <c r="H2869">
        <f t="shared" ca="1" si="47"/>
        <v>-2.3527472700001985E-3</v>
      </c>
    </row>
    <row r="2870" spans="7:8" x14ac:dyDescent="0.3">
      <c r="G2870" s="24">
        <v>2858</v>
      </c>
      <c r="H2870">
        <f t="shared" ca="1" si="47"/>
        <v>-0.10414489561164871</v>
      </c>
    </row>
    <row r="2871" spans="7:8" x14ac:dyDescent="0.3">
      <c r="G2871" s="24">
        <v>2859</v>
      </c>
      <c r="H2871">
        <f t="shared" ca="1" si="47"/>
        <v>2.8436536538507366E-2</v>
      </c>
    </row>
    <row r="2872" spans="7:8" x14ac:dyDescent="0.3">
      <c r="G2872" s="24">
        <v>2860</v>
      </c>
      <c r="H2872">
        <f t="shared" ca="1" si="47"/>
        <v>4.6664349988129211E-2</v>
      </c>
    </row>
    <row r="2873" spans="7:8" x14ac:dyDescent="0.3">
      <c r="G2873" s="24">
        <v>2861</v>
      </c>
      <c r="H2873">
        <f t="shared" ca="1" si="47"/>
        <v>-3.3328978764557947E-2</v>
      </c>
    </row>
    <row r="2874" spans="7:8" x14ac:dyDescent="0.3">
      <c r="G2874" s="24">
        <v>2862</v>
      </c>
      <c r="H2874">
        <f t="shared" ca="1" si="47"/>
        <v>0.10733844887962189</v>
      </c>
    </row>
    <row r="2875" spans="7:8" x14ac:dyDescent="0.3">
      <c r="G2875" s="24">
        <v>2863</v>
      </c>
      <c r="H2875">
        <f t="shared" ca="1" si="47"/>
        <v>-2.4194484641883205E-2</v>
      </c>
    </row>
    <row r="2876" spans="7:8" x14ac:dyDescent="0.3">
      <c r="G2876" s="24">
        <v>2864</v>
      </c>
      <c r="H2876">
        <f t="shared" ca="1" si="47"/>
        <v>4.6928216425696986E-2</v>
      </c>
    </row>
    <row r="2877" spans="7:8" x14ac:dyDescent="0.3">
      <c r="G2877" s="24">
        <v>2865</v>
      </c>
      <c r="H2877">
        <f t="shared" ca="1" si="47"/>
        <v>0.14329521582570162</v>
      </c>
    </row>
    <row r="2878" spans="7:8" x14ac:dyDescent="0.3">
      <c r="G2878" s="24">
        <v>2866</v>
      </c>
      <c r="H2878">
        <f t="shared" ca="1" si="47"/>
        <v>-9.6537906149178357E-2</v>
      </c>
    </row>
    <row r="2879" spans="7:8" x14ac:dyDescent="0.3">
      <c r="G2879" s="24">
        <v>2867</v>
      </c>
      <c r="H2879">
        <f t="shared" ca="1" si="47"/>
        <v>1.6480757751877614E-2</v>
      </c>
    </row>
    <row r="2880" spans="7:8" x14ac:dyDescent="0.3">
      <c r="G2880" s="24">
        <v>2868</v>
      </c>
      <c r="H2880">
        <f t="shared" ca="1" si="47"/>
        <v>4.2969024985383596E-2</v>
      </c>
    </row>
    <row r="2881" spans="7:8" x14ac:dyDescent="0.3">
      <c r="G2881" s="24">
        <v>2869</v>
      </c>
      <c r="H2881">
        <f t="shared" ca="1" si="47"/>
        <v>3.0360538487396321E-2</v>
      </c>
    </row>
    <row r="2882" spans="7:8" x14ac:dyDescent="0.3">
      <c r="G2882" s="24">
        <v>2870</v>
      </c>
      <c r="H2882">
        <f t="shared" ca="1" si="47"/>
        <v>9.7473275698309991E-2</v>
      </c>
    </row>
    <row r="2883" spans="7:8" x14ac:dyDescent="0.3">
      <c r="G2883" s="24">
        <v>2871</v>
      </c>
      <c r="H2883">
        <f t="shared" ca="1" si="47"/>
        <v>2.0090328420777379E-2</v>
      </c>
    </row>
    <row r="2884" spans="7:8" x14ac:dyDescent="0.3">
      <c r="G2884" s="24">
        <v>2872</v>
      </c>
      <c r="H2884">
        <f t="shared" ca="1" si="47"/>
        <v>-5.0901500056035484E-2</v>
      </c>
    </row>
    <row r="2885" spans="7:8" x14ac:dyDescent="0.3">
      <c r="G2885" s="24">
        <v>2873</v>
      </c>
      <c r="H2885">
        <f t="shared" ca="1" si="47"/>
        <v>-2.5747732928728884E-2</v>
      </c>
    </row>
    <row r="2886" spans="7:8" x14ac:dyDescent="0.3">
      <c r="G2886" s="24">
        <v>2874</v>
      </c>
      <c r="H2886">
        <f t="shared" ca="1" si="47"/>
        <v>0.15128223327055346</v>
      </c>
    </row>
    <row r="2887" spans="7:8" x14ac:dyDescent="0.3">
      <c r="G2887" s="24">
        <v>2875</v>
      </c>
      <c r="H2887">
        <f t="shared" ca="1" si="47"/>
        <v>-0.11343868506833407</v>
      </c>
    </row>
    <row r="2888" spans="7:8" x14ac:dyDescent="0.3">
      <c r="G2888" s="24">
        <v>2876</v>
      </c>
      <c r="H2888">
        <f t="shared" ca="1" si="47"/>
        <v>0.12189076715513771</v>
      </c>
    </row>
    <row r="2889" spans="7:8" x14ac:dyDescent="0.3">
      <c r="G2889" s="24">
        <v>2877</v>
      </c>
      <c r="H2889">
        <f t="shared" ca="1" si="47"/>
        <v>-3.7801148692107947E-2</v>
      </c>
    </row>
    <row r="2890" spans="7:8" x14ac:dyDescent="0.3">
      <c r="G2890" s="24">
        <v>2878</v>
      </c>
      <c r="H2890">
        <f t="shared" ca="1" si="47"/>
        <v>-9.956692775428537E-2</v>
      </c>
    </row>
    <row r="2891" spans="7:8" x14ac:dyDescent="0.3">
      <c r="G2891" s="24">
        <v>2879</v>
      </c>
      <c r="H2891">
        <f t="shared" ca="1" si="47"/>
        <v>-0.12423297160083724</v>
      </c>
    </row>
    <row r="2892" spans="7:8" x14ac:dyDescent="0.3">
      <c r="G2892" s="24">
        <v>2880</v>
      </c>
      <c r="H2892">
        <f t="shared" ca="1" si="47"/>
        <v>-5.5798879240744559E-2</v>
      </c>
    </row>
    <row r="2893" spans="7:8" x14ac:dyDescent="0.3">
      <c r="G2893" s="24">
        <v>2881</v>
      </c>
      <c r="H2893">
        <f t="shared" ca="1" si="47"/>
        <v>-3.2188754704856416E-2</v>
      </c>
    </row>
    <row r="2894" spans="7:8" x14ac:dyDescent="0.3">
      <c r="G2894" s="24">
        <v>2882</v>
      </c>
      <c r="H2894">
        <f t="shared" ref="H2894:H2957" ca="1" si="48">_xlfn.NORM.INV(RAND(),N$13,N$14)</f>
        <v>-1.2671630320004835E-2</v>
      </c>
    </row>
    <row r="2895" spans="7:8" x14ac:dyDescent="0.3">
      <c r="G2895" s="24">
        <v>2883</v>
      </c>
      <c r="H2895">
        <f t="shared" ca="1" si="48"/>
        <v>3.9845371072877445E-2</v>
      </c>
    </row>
    <row r="2896" spans="7:8" x14ac:dyDescent="0.3">
      <c r="G2896" s="24">
        <v>2884</v>
      </c>
      <c r="H2896">
        <f t="shared" ca="1" si="48"/>
        <v>-4.6687553779034136E-2</v>
      </c>
    </row>
    <row r="2897" spans="7:8" x14ac:dyDescent="0.3">
      <c r="G2897" s="24">
        <v>2885</v>
      </c>
      <c r="H2897">
        <f t="shared" ca="1" si="48"/>
        <v>-8.6587669630500172E-2</v>
      </c>
    </row>
    <row r="2898" spans="7:8" x14ac:dyDescent="0.3">
      <c r="G2898" s="24">
        <v>2886</v>
      </c>
      <c r="H2898">
        <f t="shared" ca="1" si="48"/>
        <v>-4.1570166789587221E-2</v>
      </c>
    </row>
    <row r="2899" spans="7:8" x14ac:dyDescent="0.3">
      <c r="G2899" s="24">
        <v>2887</v>
      </c>
      <c r="H2899">
        <f t="shared" ca="1" si="48"/>
        <v>0.123844263901699</v>
      </c>
    </row>
    <row r="2900" spans="7:8" x14ac:dyDescent="0.3">
      <c r="G2900" s="24">
        <v>2888</v>
      </c>
      <c r="H2900">
        <f t="shared" ca="1" si="48"/>
        <v>0.11732616978676266</v>
      </c>
    </row>
    <row r="2901" spans="7:8" x14ac:dyDescent="0.3">
      <c r="G2901" s="24">
        <v>2889</v>
      </c>
      <c r="H2901">
        <f t="shared" ca="1" si="48"/>
        <v>7.9012531521695351E-2</v>
      </c>
    </row>
    <row r="2902" spans="7:8" x14ac:dyDescent="0.3">
      <c r="G2902" s="24">
        <v>2890</v>
      </c>
      <c r="H2902">
        <f t="shared" ca="1" si="48"/>
        <v>-5.5489527656376967E-3</v>
      </c>
    </row>
    <row r="2903" spans="7:8" x14ac:dyDescent="0.3">
      <c r="G2903" s="24">
        <v>2891</v>
      </c>
      <c r="H2903">
        <f t="shared" ca="1" si="48"/>
        <v>-1.3548376305851921E-2</v>
      </c>
    </row>
    <row r="2904" spans="7:8" x14ac:dyDescent="0.3">
      <c r="G2904" s="24">
        <v>2892</v>
      </c>
      <c r="H2904">
        <f t="shared" ca="1" si="48"/>
        <v>-7.4204322860208054E-3</v>
      </c>
    </row>
    <row r="2905" spans="7:8" x14ac:dyDescent="0.3">
      <c r="G2905" s="24">
        <v>2893</v>
      </c>
      <c r="H2905">
        <f t="shared" ca="1" si="48"/>
        <v>6.1571803573437271E-2</v>
      </c>
    </row>
    <row r="2906" spans="7:8" x14ac:dyDescent="0.3">
      <c r="G2906" s="24">
        <v>2894</v>
      </c>
      <c r="H2906">
        <f t="shared" ca="1" si="48"/>
        <v>-3.9171870056780765E-2</v>
      </c>
    </row>
    <row r="2907" spans="7:8" x14ac:dyDescent="0.3">
      <c r="G2907" s="24">
        <v>2895</v>
      </c>
      <c r="H2907">
        <f t="shared" ca="1" si="48"/>
        <v>-5.8763709905981745E-2</v>
      </c>
    </row>
    <row r="2908" spans="7:8" x14ac:dyDescent="0.3">
      <c r="G2908" s="24">
        <v>2896</v>
      </c>
      <c r="H2908">
        <f t="shared" ca="1" si="48"/>
        <v>0.14892601439627171</v>
      </c>
    </row>
    <row r="2909" spans="7:8" x14ac:dyDescent="0.3">
      <c r="G2909" s="24">
        <v>2897</v>
      </c>
      <c r="H2909">
        <f t="shared" ca="1" si="48"/>
        <v>-9.0803062150966833E-3</v>
      </c>
    </row>
    <row r="2910" spans="7:8" x14ac:dyDescent="0.3">
      <c r="G2910" s="24">
        <v>2898</v>
      </c>
      <c r="H2910">
        <f t="shared" ca="1" si="48"/>
        <v>6.2054675259272447E-2</v>
      </c>
    </row>
    <row r="2911" spans="7:8" x14ac:dyDescent="0.3">
      <c r="G2911" s="24">
        <v>2899</v>
      </c>
      <c r="H2911">
        <f t="shared" ca="1" si="48"/>
        <v>8.604428513820106E-2</v>
      </c>
    </row>
    <row r="2912" spans="7:8" x14ac:dyDescent="0.3">
      <c r="G2912" s="24">
        <v>2900</v>
      </c>
      <c r="H2912">
        <f t="shared" ca="1" si="48"/>
        <v>-0.11671593244662026</v>
      </c>
    </row>
    <row r="2913" spans="7:8" x14ac:dyDescent="0.3">
      <c r="G2913" s="24">
        <v>2901</v>
      </c>
      <c r="H2913">
        <f t="shared" ca="1" si="48"/>
        <v>2.6929120070143687E-3</v>
      </c>
    </row>
    <row r="2914" spans="7:8" x14ac:dyDescent="0.3">
      <c r="G2914" s="24">
        <v>2902</v>
      </c>
      <c r="H2914">
        <f t="shared" ca="1" si="48"/>
        <v>-2.8230115249969043E-3</v>
      </c>
    </row>
    <row r="2915" spans="7:8" x14ac:dyDescent="0.3">
      <c r="G2915" s="24">
        <v>2903</v>
      </c>
      <c r="H2915">
        <f t="shared" ca="1" si="48"/>
        <v>-3.5673930892369782E-2</v>
      </c>
    </row>
    <row r="2916" spans="7:8" x14ac:dyDescent="0.3">
      <c r="G2916" s="24">
        <v>2904</v>
      </c>
      <c r="H2916">
        <f t="shared" ca="1" si="48"/>
        <v>0.11845745270346202</v>
      </c>
    </row>
    <row r="2917" spans="7:8" x14ac:dyDescent="0.3">
      <c r="G2917" s="24">
        <v>2905</v>
      </c>
      <c r="H2917">
        <f t="shared" ca="1" si="48"/>
        <v>3.328768828221481E-2</v>
      </c>
    </row>
    <row r="2918" spans="7:8" x14ac:dyDescent="0.3">
      <c r="G2918" s="24">
        <v>2906</v>
      </c>
      <c r="H2918">
        <f t="shared" ca="1" si="48"/>
        <v>0.12798239328585981</v>
      </c>
    </row>
    <row r="2919" spans="7:8" x14ac:dyDescent="0.3">
      <c r="G2919" s="24">
        <v>2907</v>
      </c>
      <c r="H2919">
        <f t="shared" ca="1" si="48"/>
        <v>5.0225583616748816E-2</v>
      </c>
    </row>
    <row r="2920" spans="7:8" x14ac:dyDescent="0.3">
      <c r="G2920" s="24">
        <v>2908</v>
      </c>
      <c r="H2920">
        <f t="shared" ca="1" si="48"/>
        <v>0.11299613958677802</v>
      </c>
    </row>
    <row r="2921" spans="7:8" x14ac:dyDescent="0.3">
      <c r="G2921" s="24">
        <v>2909</v>
      </c>
      <c r="H2921">
        <f t="shared" ca="1" si="48"/>
        <v>-5.1088019811375306E-2</v>
      </c>
    </row>
    <row r="2922" spans="7:8" x14ac:dyDescent="0.3">
      <c r="G2922" s="24">
        <v>2910</v>
      </c>
      <c r="H2922">
        <f t="shared" ca="1" si="48"/>
        <v>8.1934497593954964E-2</v>
      </c>
    </row>
    <row r="2923" spans="7:8" x14ac:dyDescent="0.3">
      <c r="G2923" s="24">
        <v>2911</v>
      </c>
      <c r="H2923">
        <f t="shared" ca="1" si="48"/>
        <v>-6.6458583703674481E-2</v>
      </c>
    </row>
    <row r="2924" spans="7:8" x14ac:dyDescent="0.3">
      <c r="G2924" s="24">
        <v>2912</v>
      </c>
      <c r="H2924">
        <f t="shared" ca="1" si="48"/>
        <v>-8.2053182853880524E-2</v>
      </c>
    </row>
    <row r="2925" spans="7:8" x14ac:dyDescent="0.3">
      <c r="G2925" s="24">
        <v>2913</v>
      </c>
      <c r="H2925">
        <f t="shared" ca="1" si="48"/>
        <v>8.8701471690377329E-2</v>
      </c>
    </row>
    <row r="2926" spans="7:8" x14ac:dyDescent="0.3">
      <c r="G2926" s="24">
        <v>2914</v>
      </c>
      <c r="H2926">
        <f t="shared" ca="1" si="48"/>
        <v>2.1764117501213646E-2</v>
      </c>
    </row>
    <row r="2927" spans="7:8" x14ac:dyDescent="0.3">
      <c r="G2927" s="24">
        <v>2915</v>
      </c>
      <c r="H2927">
        <f t="shared" ca="1" si="48"/>
        <v>1.6814623614409926E-2</v>
      </c>
    </row>
    <row r="2928" spans="7:8" x14ac:dyDescent="0.3">
      <c r="G2928" s="24">
        <v>2916</v>
      </c>
      <c r="H2928">
        <f t="shared" ca="1" si="48"/>
        <v>4.9535508792933197E-3</v>
      </c>
    </row>
    <row r="2929" spans="7:8" x14ac:dyDescent="0.3">
      <c r="G2929" s="24">
        <v>2917</v>
      </c>
      <c r="H2929">
        <f t="shared" ca="1" si="48"/>
        <v>2.0440584435785791E-2</v>
      </c>
    </row>
    <row r="2930" spans="7:8" x14ac:dyDescent="0.3">
      <c r="G2930" s="24">
        <v>2918</v>
      </c>
      <c r="H2930">
        <f t="shared" ca="1" si="48"/>
        <v>4.631876877248909E-3</v>
      </c>
    </row>
    <row r="2931" spans="7:8" x14ac:dyDescent="0.3">
      <c r="G2931" s="24">
        <v>2919</v>
      </c>
      <c r="H2931">
        <f t="shared" ca="1" si="48"/>
        <v>6.2957385374276129E-2</v>
      </c>
    </row>
    <row r="2932" spans="7:8" x14ac:dyDescent="0.3">
      <c r="G2932" s="24">
        <v>2920</v>
      </c>
      <c r="H2932">
        <f t="shared" ca="1" si="48"/>
        <v>-2.2487348949199377E-3</v>
      </c>
    </row>
    <row r="2933" spans="7:8" x14ac:dyDescent="0.3">
      <c r="G2933" s="24">
        <v>2921</v>
      </c>
      <c r="H2933">
        <f t="shared" ca="1" si="48"/>
        <v>-8.4886107695314687E-3</v>
      </c>
    </row>
    <row r="2934" spans="7:8" x14ac:dyDescent="0.3">
      <c r="G2934" s="24">
        <v>2922</v>
      </c>
      <c r="H2934">
        <f t="shared" ca="1" si="48"/>
        <v>0.10756390140945089</v>
      </c>
    </row>
    <row r="2935" spans="7:8" x14ac:dyDescent="0.3">
      <c r="G2935" s="24">
        <v>2923</v>
      </c>
      <c r="H2935">
        <f t="shared" ca="1" si="48"/>
        <v>9.5201473436527573E-2</v>
      </c>
    </row>
    <row r="2936" spans="7:8" x14ac:dyDescent="0.3">
      <c r="G2936" s="24">
        <v>2924</v>
      </c>
      <c r="H2936">
        <f t="shared" ca="1" si="48"/>
        <v>-2.1821450678431619E-2</v>
      </c>
    </row>
    <row r="2937" spans="7:8" x14ac:dyDescent="0.3">
      <c r="G2937" s="24">
        <v>2925</v>
      </c>
      <c r="H2937">
        <f t="shared" ca="1" si="48"/>
        <v>-2.2719148871213925E-2</v>
      </c>
    </row>
    <row r="2938" spans="7:8" x14ac:dyDescent="0.3">
      <c r="G2938" s="24">
        <v>2926</v>
      </c>
      <c r="H2938">
        <f t="shared" ca="1" si="48"/>
        <v>0.10386541562348447</v>
      </c>
    </row>
    <row r="2939" spans="7:8" x14ac:dyDescent="0.3">
      <c r="G2939" s="24">
        <v>2927</v>
      </c>
      <c r="H2939">
        <f t="shared" ca="1" si="48"/>
        <v>-1.7055776669667466E-2</v>
      </c>
    </row>
    <row r="2940" spans="7:8" x14ac:dyDescent="0.3">
      <c r="G2940" s="24">
        <v>2928</v>
      </c>
      <c r="H2940">
        <f t="shared" ca="1" si="48"/>
        <v>-6.1053102668311786E-2</v>
      </c>
    </row>
    <row r="2941" spans="7:8" x14ac:dyDescent="0.3">
      <c r="G2941" s="24">
        <v>2929</v>
      </c>
      <c r="H2941">
        <f t="shared" ca="1" si="48"/>
        <v>9.5012708776214094E-2</v>
      </c>
    </row>
    <row r="2942" spans="7:8" x14ac:dyDescent="0.3">
      <c r="G2942" s="24">
        <v>2930</v>
      </c>
      <c r="H2942">
        <f t="shared" ca="1" si="48"/>
        <v>-7.4191066886221107E-3</v>
      </c>
    </row>
    <row r="2943" spans="7:8" x14ac:dyDescent="0.3">
      <c r="G2943" s="24">
        <v>2931</v>
      </c>
      <c r="H2943">
        <f t="shared" ca="1" si="48"/>
        <v>-7.6688827257626685E-2</v>
      </c>
    </row>
    <row r="2944" spans="7:8" x14ac:dyDescent="0.3">
      <c r="G2944" s="24">
        <v>2932</v>
      </c>
      <c r="H2944">
        <f t="shared" ca="1" si="48"/>
        <v>5.4282444937340538E-2</v>
      </c>
    </row>
    <row r="2945" spans="7:8" x14ac:dyDescent="0.3">
      <c r="G2945" s="24">
        <v>2933</v>
      </c>
      <c r="H2945">
        <f t="shared" ca="1" si="48"/>
        <v>3.4416639952015611E-2</v>
      </c>
    </row>
    <row r="2946" spans="7:8" x14ac:dyDescent="0.3">
      <c r="G2946" s="24">
        <v>2934</v>
      </c>
      <c r="H2946">
        <f t="shared" ca="1" si="48"/>
        <v>3.9970210924790944E-2</v>
      </c>
    </row>
    <row r="2947" spans="7:8" x14ac:dyDescent="0.3">
      <c r="G2947" s="24">
        <v>2935</v>
      </c>
      <c r="H2947">
        <f t="shared" ca="1" si="48"/>
        <v>2.9397898070895323E-2</v>
      </c>
    </row>
    <row r="2948" spans="7:8" x14ac:dyDescent="0.3">
      <c r="G2948" s="24">
        <v>2936</v>
      </c>
      <c r="H2948">
        <f t="shared" ca="1" si="48"/>
        <v>-5.0683382221814864E-2</v>
      </c>
    </row>
    <row r="2949" spans="7:8" x14ac:dyDescent="0.3">
      <c r="G2949" s="24">
        <v>2937</v>
      </c>
      <c r="H2949">
        <f t="shared" ca="1" si="48"/>
        <v>-8.7340719960816535E-2</v>
      </c>
    </row>
    <row r="2950" spans="7:8" x14ac:dyDescent="0.3">
      <c r="G2950" s="24">
        <v>2938</v>
      </c>
      <c r="H2950">
        <f t="shared" ca="1" si="48"/>
        <v>3.9037259909966873E-3</v>
      </c>
    </row>
    <row r="2951" spans="7:8" x14ac:dyDescent="0.3">
      <c r="G2951" s="24">
        <v>2939</v>
      </c>
      <c r="H2951">
        <f t="shared" ca="1" si="48"/>
        <v>-8.6584072462072403E-3</v>
      </c>
    </row>
    <row r="2952" spans="7:8" x14ac:dyDescent="0.3">
      <c r="G2952" s="24">
        <v>2940</v>
      </c>
      <c r="H2952">
        <f t="shared" ca="1" si="48"/>
        <v>-2.3969418383250271E-2</v>
      </c>
    </row>
    <row r="2953" spans="7:8" x14ac:dyDescent="0.3">
      <c r="G2953" s="24">
        <v>2941</v>
      </c>
      <c r="H2953">
        <f t="shared" ca="1" si="48"/>
        <v>-0.10816837199798143</v>
      </c>
    </row>
    <row r="2954" spans="7:8" x14ac:dyDescent="0.3">
      <c r="G2954" s="24">
        <v>2942</v>
      </c>
      <c r="H2954">
        <f t="shared" ca="1" si="48"/>
        <v>0.15828733703537612</v>
      </c>
    </row>
    <row r="2955" spans="7:8" x14ac:dyDescent="0.3">
      <c r="G2955" s="24">
        <v>2943</v>
      </c>
      <c r="H2955">
        <f t="shared" ca="1" si="48"/>
        <v>3.3490986262682738E-4</v>
      </c>
    </row>
    <row r="2956" spans="7:8" x14ac:dyDescent="0.3">
      <c r="G2956" s="24">
        <v>2944</v>
      </c>
      <c r="H2956">
        <f t="shared" ca="1" si="48"/>
        <v>-3.8100231797418206E-2</v>
      </c>
    </row>
    <row r="2957" spans="7:8" x14ac:dyDescent="0.3">
      <c r="G2957" s="24">
        <v>2945</v>
      </c>
      <c r="H2957">
        <f t="shared" ca="1" si="48"/>
        <v>6.201433021110021E-3</v>
      </c>
    </row>
    <row r="2958" spans="7:8" x14ac:dyDescent="0.3">
      <c r="G2958" s="24">
        <v>2946</v>
      </c>
      <c r="H2958">
        <f t="shared" ref="H2958:H3021" ca="1" si="49">_xlfn.NORM.INV(RAND(),N$13,N$14)</f>
        <v>-6.0263453054042952E-2</v>
      </c>
    </row>
    <row r="2959" spans="7:8" x14ac:dyDescent="0.3">
      <c r="G2959" s="24">
        <v>2947</v>
      </c>
      <c r="H2959">
        <f t="shared" ca="1" si="49"/>
        <v>-4.289838636307107E-2</v>
      </c>
    </row>
    <row r="2960" spans="7:8" x14ac:dyDescent="0.3">
      <c r="G2960" s="24">
        <v>2948</v>
      </c>
      <c r="H2960">
        <f t="shared" ca="1" si="49"/>
        <v>1.4619648126724533E-2</v>
      </c>
    </row>
    <row r="2961" spans="7:8" x14ac:dyDescent="0.3">
      <c r="G2961" s="24">
        <v>2949</v>
      </c>
      <c r="H2961">
        <f t="shared" ca="1" si="49"/>
        <v>-3.710122778245125E-2</v>
      </c>
    </row>
    <row r="2962" spans="7:8" x14ac:dyDescent="0.3">
      <c r="G2962" s="24">
        <v>2950</v>
      </c>
      <c r="H2962">
        <f t="shared" ca="1" si="49"/>
        <v>-2.4665353662702096E-2</v>
      </c>
    </row>
    <row r="2963" spans="7:8" x14ac:dyDescent="0.3">
      <c r="G2963" s="24">
        <v>2951</v>
      </c>
      <c r="H2963">
        <f t="shared" ca="1" si="49"/>
        <v>-9.7919553828505229E-2</v>
      </c>
    </row>
    <row r="2964" spans="7:8" x14ac:dyDescent="0.3">
      <c r="G2964" s="24">
        <v>2952</v>
      </c>
      <c r="H2964">
        <f t="shared" ca="1" si="49"/>
        <v>-2.9456604541072889E-2</v>
      </c>
    </row>
    <row r="2965" spans="7:8" x14ac:dyDescent="0.3">
      <c r="G2965" s="24">
        <v>2953</v>
      </c>
      <c r="H2965">
        <f t="shared" ca="1" si="49"/>
        <v>6.0568474742848682E-2</v>
      </c>
    </row>
    <row r="2966" spans="7:8" x14ac:dyDescent="0.3">
      <c r="G2966" s="24">
        <v>2954</v>
      </c>
      <c r="H2966">
        <f t="shared" ca="1" si="49"/>
        <v>1.670321983686145E-2</v>
      </c>
    </row>
    <row r="2967" spans="7:8" x14ac:dyDescent="0.3">
      <c r="G2967" s="24">
        <v>2955</v>
      </c>
      <c r="H2967">
        <f t="shared" ca="1" si="49"/>
        <v>5.7524426432913403E-2</v>
      </c>
    </row>
    <row r="2968" spans="7:8" x14ac:dyDescent="0.3">
      <c r="G2968" s="24">
        <v>2956</v>
      </c>
      <c r="H2968">
        <f t="shared" ca="1" si="49"/>
        <v>5.22676146664122E-2</v>
      </c>
    </row>
    <row r="2969" spans="7:8" x14ac:dyDescent="0.3">
      <c r="G2969" s="24">
        <v>2957</v>
      </c>
      <c r="H2969">
        <f t="shared" ca="1" si="49"/>
        <v>4.6966499211306377E-2</v>
      </c>
    </row>
    <row r="2970" spans="7:8" x14ac:dyDescent="0.3">
      <c r="G2970" s="24">
        <v>2958</v>
      </c>
      <c r="H2970">
        <f t="shared" ca="1" si="49"/>
        <v>-7.0628121773432403E-2</v>
      </c>
    </row>
    <row r="2971" spans="7:8" x14ac:dyDescent="0.3">
      <c r="G2971" s="24">
        <v>2959</v>
      </c>
      <c r="H2971">
        <f t="shared" ca="1" si="49"/>
        <v>-1.8637392220396988E-2</v>
      </c>
    </row>
    <row r="2972" spans="7:8" x14ac:dyDescent="0.3">
      <c r="G2972" s="24">
        <v>2960</v>
      </c>
      <c r="H2972">
        <f t="shared" ca="1" si="49"/>
        <v>-7.9857175077975504E-2</v>
      </c>
    </row>
    <row r="2973" spans="7:8" x14ac:dyDescent="0.3">
      <c r="G2973" s="24">
        <v>2961</v>
      </c>
      <c r="H2973">
        <f t="shared" ca="1" si="49"/>
        <v>-0.18605097434707893</v>
      </c>
    </row>
    <row r="2974" spans="7:8" x14ac:dyDescent="0.3">
      <c r="G2974" s="24">
        <v>2962</v>
      </c>
      <c r="H2974">
        <f t="shared" ca="1" si="49"/>
        <v>1.0003715249162597E-2</v>
      </c>
    </row>
    <row r="2975" spans="7:8" x14ac:dyDescent="0.3">
      <c r="G2975" s="24">
        <v>2963</v>
      </c>
      <c r="H2975">
        <f t="shared" ca="1" si="49"/>
        <v>0.10900488019008418</v>
      </c>
    </row>
    <row r="2976" spans="7:8" x14ac:dyDescent="0.3">
      <c r="G2976" s="24">
        <v>2964</v>
      </c>
      <c r="H2976">
        <f t="shared" ca="1" si="49"/>
        <v>-0.14378917584847151</v>
      </c>
    </row>
    <row r="2977" spans="7:8" x14ac:dyDescent="0.3">
      <c r="G2977" s="24">
        <v>2965</v>
      </c>
      <c r="H2977">
        <f t="shared" ca="1" si="49"/>
        <v>-7.959623460590393E-3</v>
      </c>
    </row>
    <row r="2978" spans="7:8" x14ac:dyDescent="0.3">
      <c r="G2978" s="24">
        <v>2966</v>
      </c>
      <c r="H2978">
        <f t="shared" ca="1" si="49"/>
        <v>1.8870199280898357E-2</v>
      </c>
    </row>
    <row r="2979" spans="7:8" x14ac:dyDescent="0.3">
      <c r="G2979" s="24">
        <v>2967</v>
      </c>
      <c r="H2979">
        <f t="shared" ca="1" si="49"/>
        <v>-7.8266843541199532E-2</v>
      </c>
    </row>
    <row r="2980" spans="7:8" x14ac:dyDescent="0.3">
      <c r="G2980" s="24">
        <v>2968</v>
      </c>
      <c r="H2980">
        <f t="shared" ca="1" si="49"/>
        <v>-1.0841895665075938E-2</v>
      </c>
    </row>
    <row r="2981" spans="7:8" x14ac:dyDescent="0.3">
      <c r="G2981" s="24">
        <v>2969</v>
      </c>
      <c r="H2981">
        <f t="shared" ca="1" si="49"/>
        <v>-8.7878265312913192E-2</v>
      </c>
    </row>
    <row r="2982" spans="7:8" x14ac:dyDescent="0.3">
      <c r="G2982" s="24">
        <v>2970</v>
      </c>
      <c r="H2982">
        <f t="shared" ca="1" si="49"/>
        <v>-9.6464998104115005E-2</v>
      </c>
    </row>
    <row r="2983" spans="7:8" x14ac:dyDescent="0.3">
      <c r="G2983" s="24">
        <v>2971</v>
      </c>
      <c r="H2983">
        <f t="shared" ca="1" si="49"/>
        <v>-1.4550316631439065E-2</v>
      </c>
    </row>
    <row r="2984" spans="7:8" x14ac:dyDescent="0.3">
      <c r="G2984" s="24">
        <v>2972</v>
      </c>
      <c r="H2984">
        <f t="shared" ca="1" si="49"/>
        <v>-1.0846180348803301E-2</v>
      </c>
    </row>
    <row r="2985" spans="7:8" x14ac:dyDescent="0.3">
      <c r="G2985" s="24">
        <v>2973</v>
      </c>
      <c r="H2985">
        <f t="shared" ca="1" si="49"/>
        <v>2.2219587616670172E-2</v>
      </c>
    </row>
    <row r="2986" spans="7:8" x14ac:dyDescent="0.3">
      <c r="G2986" s="24">
        <v>2974</v>
      </c>
      <c r="H2986">
        <f t="shared" ca="1" si="49"/>
        <v>-0.14939486216400016</v>
      </c>
    </row>
    <row r="2987" spans="7:8" x14ac:dyDescent="0.3">
      <c r="G2987" s="24">
        <v>2975</v>
      </c>
      <c r="H2987">
        <f t="shared" ca="1" si="49"/>
        <v>-2.8573674402191485E-2</v>
      </c>
    </row>
    <row r="2988" spans="7:8" x14ac:dyDescent="0.3">
      <c r="G2988" s="24">
        <v>2976</v>
      </c>
      <c r="H2988">
        <f t="shared" ca="1" si="49"/>
        <v>-1.6405824032761071E-2</v>
      </c>
    </row>
    <row r="2989" spans="7:8" x14ac:dyDescent="0.3">
      <c r="G2989" s="24">
        <v>2977</v>
      </c>
      <c r="H2989">
        <f t="shared" ca="1" si="49"/>
        <v>7.1136875868136787E-2</v>
      </c>
    </row>
    <row r="2990" spans="7:8" x14ac:dyDescent="0.3">
      <c r="G2990" s="24">
        <v>2978</v>
      </c>
      <c r="H2990">
        <f t="shared" ca="1" si="49"/>
        <v>-7.7550960049656184E-2</v>
      </c>
    </row>
    <row r="2991" spans="7:8" x14ac:dyDescent="0.3">
      <c r="G2991" s="24">
        <v>2979</v>
      </c>
      <c r="H2991">
        <f t="shared" ca="1" si="49"/>
        <v>-9.2499276567134959E-3</v>
      </c>
    </row>
    <row r="2992" spans="7:8" x14ac:dyDescent="0.3">
      <c r="G2992" s="24">
        <v>2980</v>
      </c>
      <c r="H2992">
        <f t="shared" ca="1" si="49"/>
        <v>9.4050595681759386E-2</v>
      </c>
    </row>
    <row r="2993" spans="7:8" x14ac:dyDescent="0.3">
      <c r="G2993" s="24">
        <v>2981</v>
      </c>
      <c r="H2993">
        <f t="shared" ca="1" si="49"/>
        <v>0.1099549374601696</v>
      </c>
    </row>
    <row r="2994" spans="7:8" x14ac:dyDescent="0.3">
      <c r="G2994" s="24">
        <v>2982</v>
      </c>
      <c r="H2994">
        <f t="shared" ca="1" si="49"/>
        <v>4.9424590441671516E-2</v>
      </c>
    </row>
    <row r="2995" spans="7:8" x14ac:dyDescent="0.3">
      <c r="G2995" s="24">
        <v>2983</v>
      </c>
      <c r="H2995">
        <f t="shared" ca="1" si="49"/>
        <v>-4.4156971318196285E-2</v>
      </c>
    </row>
    <row r="2996" spans="7:8" x14ac:dyDescent="0.3">
      <c r="G2996" s="24">
        <v>2984</v>
      </c>
      <c r="H2996">
        <f t="shared" ca="1" si="49"/>
        <v>0.17214477123897848</v>
      </c>
    </row>
    <row r="2997" spans="7:8" x14ac:dyDescent="0.3">
      <c r="G2997" s="24">
        <v>2985</v>
      </c>
      <c r="H2997">
        <f t="shared" ca="1" si="49"/>
        <v>9.4670552918834194E-2</v>
      </c>
    </row>
    <row r="2998" spans="7:8" x14ac:dyDescent="0.3">
      <c r="G2998" s="24">
        <v>2986</v>
      </c>
      <c r="H2998">
        <f t="shared" ca="1" si="49"/>
        <v>-3.6916578602597019E-2</v>
      </c>
    </row>
    <row r="2999" spans="7:8" x14ac:dyDescent="0.3">
      <c r="G2999" s="24">
        <v>2987</v>
      </c>
      <c r="H2999">
        <f t="shared" ca="1" si="49"/>
        <v>9.9811746026848738E-2</v>
      </c>
    </row>
    <row r="3000" spans="7:8" x14ac:dyDescent="0.3">
      <c r="G3000" s="24">
        <v>2988</v>
      </c>
      <c r="H3000">
        <f t="shared" ca="1" si="49"/>
        <v>-0.16155214435451448</v>
      </c>
    </row>
    <row r="3001" spans="7:8" x14ac:dyDescent="0.3">
      <c r="G3001" s="24">
        <v>2989</v>
      </c>
      <c r="H3001">
        <f t="shared" ca="1" si="49"/>
        <v>-0.13417966533856157</v>
      </c>
    </row>
    <row r="3002" spans="7:8" x14ac:dyDescent="0.3">
      <c r="G3002" s="24">
        <v>2990</v>
      </c>
      <c r="H3002">
        <f t="shared" ca="1" si="49"/>
        <v>1.2990068413162872E-2</v>
      </c>
    </row>
    <row r="3003" spans="7:8" x14ac:dyDescent="0.3">
      <c r="G3003" s="24">
        <v>2991</v>
      </c>
      <c r="H3003">
        <f t="shared" ca="1" si="49"/>
        <v>8.7907689443421588E-2</v>
      </c>
    </row>
    <row r="3004" spans="7:8" x14ac:dyDescent="0.3">
      <c r="G3004" s="24">
        <v>2992</v>
      </c>
      <c r="H3004">
        <f t="shared" ca="1" si="49"/>
        <v>-5.4218275383991772E-2</v>
      </c>
    </row>
    <row r="3005" spans="7:8" x14ac:dyDescent="0.3">
      <c r="G3005" s="24">
        <v>2993</v>
      </c>
      <c r="H3005">
        <f t="shared" ca="1" si="49"/>
        <v>3.189071807041597E-2</v>
      </c>
    </row>
    <row r="3006" spans="7:8" x14ac:dyDescent="0.3">
      <c r="G3006" s="24">
        <v>2994</v>
      </c>
      <c r="H3006">
        <f t="shared" ca="1" si="49"/>
        <v>4.4650965801497411E-2</v>
      </c>
    </row>
    <row r="3007" spans="7:8" x14ac:dyDescent="0.3">
      <c r="G3007" s="24">
        <v>2995</v>
      </c>
      <c r="H3007">
        <f t="shared" ca="1" si="49"/>
        <v>-3.8371067976940093E-2</v>
      </c>
    </row>
    <row r="3008" spans="7:8" x14ac:dyDescent="0.3">
      <c r="G3008" s="24">
        <v>2996</v>
      </c>
      <c r="H3008">
        <f t="shared" ca="1" si="49"/>
        <v>7.7459335639895131E-3</v>
      </c>
    </row>
    <row r="3009" spans="7:8" x14ac:dyDescent="0.3">
      <c r="G3009" s="24">
        <v>2997</v>
      </c>
      <c r="H3009">
        <f t="shared" ca="1" si="49"/>
        <v>3.8626273862892545E-2</v>
      </c>
    </row>
    <row r="3010" spans="7:8" x14ac:dyDescent="0.3">
      <c r="G3010" s="24">
        <v>2998</v>
      </c>
      <c r="H3010">
        <f t="shared" ca="1" si="49"/>
        <v>-2.4805196163216934E-3</v>
      </c>
    </row>
    <row r="3011" spans="7:8" x14ac:dyDescent="0.3">
      <c r="G3011" s="24">
        <v>2999</v>
      </c>
      <c r="H3011">
        <f t="shared" ca="1" si="49"/>
        <v>-9.4427748915981463E-2</v>
      </c>
    </row>
    <row r="3012" spans="7:8" x14ac:dyDescent="0.3">
      <c r="G3012" s="24">
        <v>3000</v>
      </c>
      <c r="H3012">
        <f t="shared" ca="1" si="49"/>
        <v>8.8683978565113869E-2</v>
      </c>
    </row>
    <row r="3013" spans="7:8" x14ac:dyDescent="0.3">
      <c r="G3013" s="24">
        <v>3001</v>
      </c>
      <c r="H3013">
        <f t="shared" ca="1" si="49"/>
        <v>5.3935735091189131E-2</v>
      </c>
    </row>
    <row r="3014" spans="7:8" x14ac:dyDescent="0.3">
      <c r="G3014" s="24">
        <v>3002</v>
      </c>
      <c r="H3014">
        <f t="shared" ca="1" si="49"/>
        <v>-3.8485502026881953E-2</v>
      </c>
    </row>
    <row r="3015" spans="7:8" x14ac:dyDescent="0.3">
      <c r="G3015" s="24">
        <v>3003</v>
      </c>
      <c r="H3015">
        <f t="shared" ca="1" si="49"/>
        <v>7.6690709213839067E-2</v>
      </c>
    </row>
    <row r="3016" spans="7:8" x14ac:dyDescent="0.3">
      <c r="G3016" s="24">
        <v>3004</v>
      </c>
      <c r="H3016">
        <f t="shared" ca="1" si="49"/>
        <v>0.10551359097353563</v>
      </c>
    </row>
    <row r="3017" spans="7:8" x14ac:dyDescent="0.3">
      <c r="G3017" s="24">
        <v>3005</v>
      </c>
      <c r="H3017">
        <f t="shared" ca="1" si="49"/>
        <v>-3.3732487212202711E-3</v>
      </c>
    </row>
    <row r="3018" spans="7:8" x14ac:dyDescent="0.3">
      <c r="G3018" s="24">
        <v>3006</v>
      </c>
      <c r="H3018">
        <f t="shared" ca="1" si="49"/>
        <v>9.9204555537690142E-2</v>
      </c>
    </row>
    <row r="3019" spans="7:8" x14ac:dyDescent="0.3">
      <c r="G3019" s="24">
        <v>3007</v>
      </c>
      <c r="H3019">
        <f t="shared" ca="1" si="49"/>
        <v>3.3824310950196911E-2</v>
      </c>
    </row>
    <row r="3020" spans="7:8" x14ac:dyDescent="0.3">
      <c r="G3020" s="24">
        <v>3008</v>
      </c>
      <c r="H3020">
        <f t="shared" ca="1" si="49"/>
        <v>1.3168615123297894E-2</v>
      </c>
    </row>
    <row r="3021" spans="7:8" x14ac:dyDescent="0.3">
      <c r="G3021" s="24">
        <v>3009</v>
      </c>
      <c r="H3021">
        <f t="shared" ca="1" si="49"/>
        <v>-0.11806434838675339</v>
      </c>
    </row>
    <row r="3022" spans="7:8" x14ac:dyDescent="0.3">
      <c r="G3022" s="24">
        <v>3010</v>
      </c>
      <c r="H3022">
        <f t="shared" ref="H3022:H3085" ca="1" si="50">_xlfn.NORM.INV(RAND(),N$13,N$14)</f>
        <v>6.9175898609076025E-2</v>
      </c>
    </row>
    <row r="3023" spans="7:8" x14ac:dyDescent="0.3">
      <c r="G3023" s="24">
        <v>3011</v>
      </c>
      <c r="H3023">
        <f t="shared" ca="1" si="50"/>
        <v>2.7026014677656189E-2</v>
      </c>
    </row>
    <row r="3024" spans="7:8" x14ac:dyDescent="0.3">
      <c r="G3024" s="24">
        <v>3012</v>
      </c>
      <c r="H3024">
        <f t="shared" ca="1" si="50"/>
        <v>1.6874092713173843E-2</v>
      </c>
    </row>
    <row r="3025" spans="7:8" x14ac:dyDescent="0.3">
      <c r="G3025" s="24">
        <v>3013</v>
      </c>
      <c r="H3025">
        <f t="shared" ca="1" si="50"/>
        <v>-1.5004074335755204E-2</v>
      </c>
    </row>
    <row r="3026" spans="7:8" x14ac:dyDescent="0.3">
      <c r="G3026" s="24">
        <v>3014</v>
      </c>
      <c r="H3026">
        <f t="shared" ca="1" si="50"/>
        <v>1.0157942115150012E-2</v>
      </c>
    </row>
    <row r="3027" spans="7:8" x14ac:dyDescent="0.3">
      <c r="G3027" s="24">
        <v>3015</v>
      </c>
      <c r="H3027">
        <f t="shared" ca="1" si="50"/>
        <v>-1.8521284000460963E-3</v>
      </c>
    </row>
    <row r="3028" spans="7:8" x14ac:dyDescent="0.3">
      <c r="G3028" s="24">
        <v>3016</v>
      </c>
      <c r="H3028">
        <f t="shared" ca="1" si="50"/>
        <v>5.8658126386100164E-2</v>
      </c>
    </row>
    <row r="3029" spans="7:8" x14ac:dyDescent="0.3">
      <c r="G3029" s="24">
        <v>3017</v>
      </c>
      <c r="H3029">
        <f t="shared" ca="1" si="50"/>
        <v>0.1267003176198736</v>
      </c>
    </row>
    <row r="3030" spans="7:8" x14ac:dyDescent="0.3">
      <c r="G3030" s="24">
        <v>3018</v>
      </c>
      <c r="H3030">
        <f t="shared" ca="1" si="50"/>
        <v>-3.3239574152851857E-2</v>
      </c>
    </row>
    <row r="3031" spans="7:8" x14ac:dyDescent="0.3">
      <c r="G3031" s="24">
        <v>3019</v>
      </c>
      <c r="H3031">
        <f t="shared" ca="1" si="50"/>
        <v>3.4795949688752464E-2</v>
      </c>
    </row>
    <row r="3032" spans="7:8" x14ac:dyDescent="0.3">
      <c r="G3032" s="24">
        <v>3020</v>
      </c>
      <c r="H3032">
        <f t="shared" ca="1" si="50"/>
        <v>-8.2200517586850513E-2</v>
      </c>
    </row>
    <row r="3033" spans="7:8" x14ac:dyDescent="0.3">
      <c r="G3033" s="24">
        <v>3021</v>
      </c>
      <c r="H3033">
        <f t="shared" ca="1" si="50"/>
        <v>3.4199745810527225E-2</v>
      </c>
    </row>
    <row r="3034" spans="7:8" x14ac:dyDescent="0.3">
      <c r="G3034" s="24">
        <v>3022</v>
      </c>
      <c r="H3034">
        <f t="shared" ca="1" si="50"/>
        <v>2.3826768078199351E-2</v>
      </c>
    </row>
    <row r="3035" spans="7:8" x14ac:dyDescent="0.3">
      <c r="G3035" s="24">
        <v>3023</v>
      </c>
      <c r="H3035">
        <f t="shared" ca="1" si="50"/>
        <v>-9.8519437083921288E-2</v>
      </c>
    </row>
    <row r="3036" spans="7:8" x14ac:dyDescent="0.3">
      <c r="G3036" s="24">
        <v>3024</v>
      </c>
      <c r="H3036">
        <f t="shared" ca="1" si="50"/>
        <v>1.8943266972167354E-2</v>
      </c>
    </row>
    <row r="3037" spans="7:8" x14ac:dyDescent="0.3">
      <c r="G3037" s="24">
        <v>3025</v>
      </c>
      <c r="H3037">
        <f t="shared" ca="1" si="50"/>
        <v>6.3893277305823157E-2</v>
      </c>
    </row>
    <row r="3038" spans="7:8" x14ac:dyDescent="0.3">
      <c r="G3038" s="24">
        <v>3026</v>
      </c>
      <c r="H3038">
        <f t="shared" ca="1" si="50"/>
        <v>9.0960663630753377E-2</v>
      </c>
    </row>
    <row r="3039" spans="7:8" x14ac:dyDescent="0.3">
      <c r="G3039" s="24">
        <v>3027</v>
      </c>
      <c r="H3039">
        <f t="shared" ca="1" si="50"/>
        <v>2.0271114247278288E-2</v>
      </c>
    </row>
    <row r="3040" spans="7:8" x14ac:dyDescent="0.3">
      <c r="G3040" s="24">
        <v>3028</v>
      </c>
      <c r="H3040">
        <f t="shared" ca="1" si="50"/>
        <v>3.2754114675437311E-2</v>
      </c>
    </row>
    <row r="3041" spans="7:8" x14ac:dyDescent="0.3">
      <c r="G3041" s="24">
        <v>3029</v>
      </c>
      <c r="H3041">
        <f t="shared" ca="1" si="50"/>
        <v>-9.1996095024188582E-2</v>
      </c>
    </row>
    <row r="3042" spans="7:8" x14ac:dyDescent="0.3">
      <c r="G3042" s="24">
        <v>3030</v>
      </c>
      <c r="H3042">
        <f t="shared" ca="1" si="50"/>
        <v>-7.2116829321928949E-2</v>
      </c>
    </row>
    <row r="3043" spans="7:8" x14ac:dyDescent="0.3">
      <c r="G3043" s="24">
        <v>3031</v>
      </c>
      <c r="H3043">
        <f t="shared" ca="1" si="50"/>
        <v>6.4976377952813885E-2</v>
      </c>
    </row>
    <row r="3044" spans="7:8" x14ac:dyDescent="0.3">
      <c r="G3044" s="24">
        <v>3032</v>
      </c>
      <c r="H3044">
        <f t="shared" ca="1" si="50"/>
        <v>9.5859661309522323E-2</v>
      </c>
    </row>
    <row r="3045" spans="7:8" x14ac:dyDescent="0.3">
      <c r="G3045" s="24">
        <v>3033</v>
      </c>
      <c r="H3045">
        <f t="shared" ca="1" si="50"/>
        <v>0.13714448419296885</v>
      </c>
    </row>
    <row r="3046" spans="7:8" x14ac:dyDescent="0.3">
      <c r="G3046" s="24">
        <v>3034</v>
      </c>
      <c r="H3046">
        <f t="shared" ca="1" si="50"/>
        <v>-0.1959050900002989</v>
      </c>
    </row>
    <row r="3047" spans="7:8" x14ac:dyDescent="0.3">
      <c r="G3047" s="24">
        <v>3035</v>
      </c>
      <c r="H3047">
        <f t="shared" ca="1" si="50"/>
        <v>2.3763829812205968E-3</v>
      </c>
    </row>
    <row r="3048" spans="7:8" x14ac:dyDescent="0.3">
      <c r="G3048" s="24">
        <v>3036</v>
      </c>
      <c r="H3048">
        <f t="shared" ca="1" si="50"/>
        <v>-7.0977535240590889E-2</v>
      </c>
    </row>
    <row r="3049" spans="7:8" x14ac:dyDescent="0.3">
      <c r="G3049" s="24">
        <v>3037</v>
      </c>
      <c r="H3049">
        <f t="shared" ca="1" si="50"/>
        <v>-4.1712284187095834E-3</v>
      </c>
    </row>
    <row r="3050" spans="7:8" x14ac:dyDescent="0.3">
      <c r="G3050" s="24">
        <v>3038</v>
      </c>
      <c r="H3050">
        <f t="shared" ca="1" si="50"/>
        <v>-3.2332985963189717E-2</v>
      </c>
    </row>
    <row r="3051" spans="7:8" x14ac:dyDescent="0.3">
      <c r="G3051" s="24">
        <v>3039</v>
      </c>
      <c r="H3051">
        <f t="shared" ca="1" si="50"/>
        <v>4.7044729063334692E-2</v>
      </c>
    </row>
    <row r="3052" spans="7:8" x14ac:dyDescent="0.3">
      <c r="G3052" s="24">
        <v>3040</v>
      </c>
      <c r="H3052">
        <f t="shared" ca="1" si="50"/>
        <v>-1.6869608123471335E-2</v>
      </c>
    </row>
    <row r="3053" spans="7:8" x14ac:dyDescent="0.3">
      <c r="G3053" s="24">
        <v>3041</v>
      </c>
      <c r="H3053">
        <f t="shared" ca="1" si="50"/>
        <v>-1.8897111472106359E-2</v>
      </c>
    </row>
    <row r="3054" spans="7:8" x14ac:dyDescent="0.3">
      <c r="G3054" s="24">
        <v>3042</v>
      </c>
      <c r="H3054">
        <f t="shared" ca="1" si="50"/>
        <v>8.0748226376280152E-2</v>
      </c>
    </row>
    <row r="3055" spans="7:8" x14ac:dyDescent="0.3">
      <c r="G3055" s="24">
        <v>3043</v>
      </c>
      <c r="H3055">
        <f t="shared" ca="1" si="50"/>
        <v>-4.9880646353872259E-2</v>
      </c>
    </row>
    <row r="3056" spans="7:8" x14ac:dyDescent="0.3">
      <c r="G3056" s="24">
        <v>3044</v>
      </c>
      <c r="H3056">
        <f t="shared" ca="1" si="50"/>
        <v>-7.1662847733603541E-2</v>
      </c>
    </row>
    <row r="3057" spans="7:8" x14ac:dyDescent="0.3">
      <c r="G3057" s="24">
        <v>3045</v>
      </c>
      <c r="H3057">
        <f t="shared" ca="1" si="50"/>
        <v>5.340891426922529E-2</v>
      </c>
    </row>
    <row r="3058" spans="7:8" x14ac:dyDescent="0.3">
      <c r="G3058" s="24">
        <v>3046</v>
      </c>
      <c r="H3058">
        <f t="shared" ca="1" si="50"/>
        <v>-9.4399157948811832E-2</v>
      </c>
    </row>
    <row r="3059" spans="7:8" x14ac:dyDescent="0.3">
      <c r="G3059" s="24">
        <v>3047</v>
      </c>
      <c r="H3059">
        <f t="shared" ca="1" si="50"/>
        <v>1.8843612306830284E-3</v>
      </c>
    </row>
    <row r="3060" spans="7:8" x14ac:dyDescent="0.3">
      <c r="G3060" s="24">
        <v>3048</v>
      </c>
      <c r="H3060">
        <f t="shared" ca="1" si="50"/>
        <v>-1.1264403215621605E-2</v>
      </c>
    </row>
    <row r="3061" spans="7:8" x14ac:dyDescent="0.3">
      <c r="G3061" s="24">
        <v>3049</v>
      </c>
      <c r="H3061">
        <f t="shared" ca="1" si="50"/>
        <v>4.973129089852299E-2</v>
      </c>
    </row>
    <row r="3062" spans="7:8" x14ac:dyDescent="0.3">
      <c r="G3062" s="24">
        <v>3050</v>
      </c>
      <c r="H3062">
        <f t="shared" ca="1" si="50"/>
        <v>0.12493237879145501</v>
      </c>
    </row>
    <row r="3063" spans="7:8" x14ac:dyDescent="0.3">
      <c r="G3063" s="24">
        <v>3051</v>
      </c>
      <c r="H3063">
        <f t="shared" ca="1" si="50"/>
        <v>8.6297339513694508E-3</v>
      </c>
    </row>
    <row r="3064" spans="7:8" x14ac:dyDescent="0.3">
      <c r="G3064" s="24">
        <v>3052</v>
      </c>
      <c r="H3064">
        <f t="shared" ca="1" si="50"/>
        <v>2.6903919490711158E-2</v>
      </c>
    </row>
    <row r="3065" spans="7:8" x14ac:dyDescent="0.3">
      <c r="G3065" s="24">
        <v>3053</v>
      </c>
      <c r="H3065">
        <f t="shared" ca="1" si="50"/>
        <v>-1.016997836654834E-2</v>
      </c>
    </row>
    <row r="3066" spans="7:8" x14ac:dyDescent="0.3">
      <c r="G3066" s="24">
        <v>3054</v>
      </c>
      <c r="H3066">
        <f t="shared" ca="1" si="50"/>
        <v>-0.14661206142342748</v>
      </c>
    </row>
    <row r="3067" spans="7:8" x14ac:dyDescent="0.3">
      <c r="G3067" s="24">
        <v>3055</v>
      </c>
      <c r="H3067">
        <f t="shared" ca="1" si="50"/>
        <v>2.6161190034951882E-2</v>
      </c>
    </row>
    <row r="3068" spans="7:8" x14ac:dyDescent="0.3">
      <c r="G3068" s="24">
        <v>3056</v>
      </c>
      <c r="H3068">
        <f t="shared" ca="1" si="50"/>
        <v>-8.2128788964283585E-3</v>
      </c>
    </row>
    <row r="3069" spans="7:8" x14ac:dyDescent="0.3">
      <c r="G3069" s="24">
        <v>3057</v>
      </c>
      <c r="H3069">
        <f t="shared" ca="1" si="50"/>
        <v>-0.13531459367522708</v>
      </c>
    </row>
    <row r="3070" spans="7:8" x14ac:dyDescent="0.3">
      <c r="G3070" s="24">
        <v>3058</v>
      </c>
      <c r="H3070">
        <f t="shared" ca="1" si="50"/>
        <v>3.5295156162744201E-2</v>
      </c>
    </row>
    <row r="3071" spans="7:8" x14ac:dyDescent="0.3">
      <c r="G3071" s="24">
        <v>3059</v>
      </c>
      <c r="H3071">
        <f t="shared" ca="1" si="50"/>
        <v>3.1058791326307775E-2</v>
      </c>
    </row>
    <row r="3072" spans="7:8" x14ac:dyDescent="0.3">
      <c r="G3072" s="24">
        <v>3060</v>
      </c>
      <c r="H3072">
        <f t="shared" ca="1" si="50"/>
        <v>4.2311295000026616E-2</v>
      </c>
    </row>
    <row r="3073" spans="7:8" x14ac:dyDescent="0.3">
      <c r="G3073" s="24">
        <v>3061</v>
      </c>
      <c r="H3073">
        <f t="shared" ca="1" si="50"/>
        <v>1.0979814754325119E-2</v>
      </c>
    </row>
    <row r="3074" spans="7:8" x14ac:dyDescent="0.3">
      <c r="G3074" s="24">
        <v>3062</v>
      </c>
      <c r="H3074">
        <f t="shared" ca="1" si="50"/>
        <v>2.9193615551688128E-2</v>
      </c>
    </row>
    <row r="3075" spans="7:8" x14ac:dyDescent="0.3">
      <c r="G3075" s="24">
        <v>3063</v>
      </c>
      <c r="H3075">
        <f t="shared" ca="1" si="50"/>
        <v>5.6680956222333927E-2</v>
      </c>
    </row>
    <row r="3076" spans="7:8" x14ac:dyDescent="0.3">
      <c r="G3076" s="24">
        <v>3064</v>
      </c>
      <c r="H3076">
        <f t="shared" ca="1" si="50"/>
        <v>-6.6442767574002096E-2</v>
      </c>
    </row>
    <row r="3077" spans="7:8" x14ac:dyDescent="0.3">
      <c r="G3077" s="24">
        <v>3065</v>
      </c>
      <c r="H3077">
        <f t="shared" ca="1" si="50"/>
        <v>0.15810114188058577</v>
      </c>
    </row>
    <row r="3078" spans="7:8" x14ac:dyDescent="0.3">
      <c r="G3078" s="24">
        <v>3066</v>
      </c>
      <c r="H3078">
        <f t="shared" ca="1" si="50"/>
        <v>6.943148083698716E-3</v>
      </c>
    </row>
    <row r="3079" spans="7:8" x14ac:dyDescent="0.3">
      <c r="G3079" s="24">
        <v>3067</v>
      </c>
      <c r="H3079">
        <f t="shared" ca="1" si="50"/>
        <v>9.6270205069299966E-2</v>
      </c>
    </row>
    <row r="3080" spans="7:8" x14ac:dyDescent="0.3">
      <c r="G3080" s="24">
        <v>3068</v>
      </c>
      <c r="H3080">
        <f t="shared" ca="1" si="50"/>
        <v>9.5116537221938361E-3</v>
      </c>
    </row>
    <row r="3081" spans="7:8" x14ac:dyDescent="0.3">
      <c r="G3081" s="24">
        <v>3069</v>
      </c>
      <c r="H3081">
        <f t="shared" ca="1" si="50"/>
        <v>-1.2266472889965973E-2</v>
      </c>
    </row>
    <row r="3082" spans="7:8" x14ac:dyDescent="0.3">
      <c r="G3082" s="24">
        <v>3070</v>
      </c>
      <c r="H3082">
        <f t="shared" ca="1" si="50"/>
        <v>-7.8091895224419269E-2</v>
      </c>
    </row>
    <row r="3083" spans="7:8" x14ac:dyDescent="0.3">
      <c r="G3083" s="24">
        <v>3071</v>
      </c>
      <c r="H3083">
        <f t="shared" ca="1" si="50"/>
        <v>7.7158696745020086E-2</v>
      </c>
    </row>
    <row r="3084" spans="7:8" x14ac:dyDescent="0.3">
      <c r="G3084" s="24">
        <v>3072</v>
      </c>
      <c r="H3084">
        <f t="shared" ca="1" si="50"/>
        <v>-9.013414859239699E-2</v>
      </c>
    </row>
    <row r="3085" spans="7:8" x14ac:dyDescent="0.3">
      <c r="G3085" s="24">
        <v>3073</v>
      </c>
      <c r="H3085">
        <f t="shared" ca="1" si="50"/>
        <v>-2.0122409329513338E-2</v>
      </c>
    </row>
    <row r="3086" spans="7:8" x14ac:dyDescent="0.3">
      <c r="G3086" s="24">
        <v>3074</v>
      </c>
      <c r="H3086">
        <f t="shared" ref="H3086:H3149" ca="1" si="51">_xlfn.NORM.INV(RAND(),N$13,N$14)</f>
        <v>6.8469208868743678E-2</v>
      </c>
    </row>
    <row r="3087" spans="7:8" x14ac:dyDescent="0.3">
      <c r="G3087" s="24">
        <v>3075</v>
      </c>
      <c r="H3087">
        <f t="shared" ca="1" si="51"/>
        <v>-6.8764273476054627E-3</v>
      </c>
    </row>
    <row r="3088" spans="7:8" x14ac:dyDescent="0.3">
      <c r="G3088" s="24">
        <v>3076</v>
      </c>
      <c r="H3088">
        <f t="shared" ca="1" si="51"/>
        <v>3.4612475535078114E-3</v>
      </c>
    </row>
    <row r="3089" spans="7:8" x14ac:dyDescent="0.3">
      <c r="G3089" s="24">
        <v>3077</v>
      </c>
      <c r="H3089">
        <f t="shared" ca="1" si="51"/>
        <v>2.8648183617609988E-2</v>
      </c>
    </row>
    <row r="3090" spans="7:8" x14ac:dyDescent="0.3">
      <c r="G3090" s="24">
        <v>3078</v>
      </c>
      <c r="H3090">
        <f t="shared" ca="1" si="51"/>
        <v>3.0539060416161036E-2</v>
      </c>
    </row>
    <row r="3091" spans="7:8" x14ac:dyDescent="0.3">
      <c r="G3091" s="24">
        <v>3079</v>
      </c>
      <c r="H3091">
        <f t="shared" ca="1" si="51"/>
        <v>9.4470244328236114E-2</v>
      </c>
    </row>
    <row r="3092" spans="7:8" x14ac:dyDescent="0.3">
      <c r="G3092" s="24">
        <v>3080</v>
      </c>
      <c r="H3092">
        <f t="shared" ca="1" si="51"/>
        <v>-4.0036071339797627E-2</v>
      </c>
    </row>
    <row r="3093" spans="7:8" x14ac:dyDescent="0.3">
      <c r="G3093" s="24">
        <v>3081</v>
      </c>
      <c r="H3093">
        <f t="shared" ca="1" si="51"/>
        <v>-8.1056757408816696E-2</v>
      </c>
    </row>
    <row r="3094" spans="7:8" x14ac:dyDescent="0.3">
      <c r="G3094" s="24">
        <v>3082</v>
      </c>
      <c r="H3094">
        <f t="shared" ca="1" si="51"/>
        <v>3.655173919980257E-2</v>
      </c>
    </row>
    <row r="3095" spans="7:8" x14ac:dyDescent="0.3">
      <c r="G3095" s="24">
        <v>3083</v>
      </c>
      <c r="H3095">
        <f t="shared" ca="1" si="51"/>
        <v>-0.1003100937949538</v>
      </c>
    </row>
    <row r="3096" spans="7:8" x14ac:dyDescent="0.3">
      <c r="G3096" s="24">
        <v>3084</v>
      </c>
      <c r="H3096">
        <f t="shared" ca="1" si="51"/>
        <v>8.2453604432782143E-2</v>
      </c>
    </row>
    <row r="3097" spans="7:8" x14ac:dyDescent="0.3">
      <c r="G3097" s="24">
        <v>3085</v>
      </c>
      <c r="H3097">
        <f t="shared" ca="1" si="51"/>
        <v>2.3277644954131076E-2</v>
      </c>
    </row>
    <row r="3098" spans="7:8" x14ac:dyDescent="0.3">
      <c r="G3098" s="24">
        <v>3086</v>
      </c>
      <c r="H3098">
        <f t="shared" ca="1" si="51"/>
        <v>-0.14011267546191306</v>
      </c>
    </row>
    <row r="3099" spans="7:8" x14ac:dyDescent="0.3">
      <c r="G3099" s="24">
        <v>3087</v>
      </c>
      <c r="H3099">
        <f t="shared" ca="1" si="51"/>
        <v>0.15765200974484531</v>
      </c>
    </row>
    <row r="3100" spans="7:8" x14ac:dyDescent="0.3">
      <c r="G3100" s="24">
        <v>3088</v>
      </c>
      <c r="H3100">
        <f t="shared" ca="1" si="51"/>
        <v>-1.9595997857069659E-2</v>
      </c>
    </row>
    <row r="3101" spans="7:8" x14ac:dyDescent="0.3">
      <c r="G3101" s="24">
        <v>3089</v>
      </c>
      <c r="H3101">
        <f t="shared" ca="1" si="51"/>
        <v>0.1028536117894667</v>
      </c>
    </row>
    <row r="3102" spans="7:8" x14ac:dyDescent="0.3">
      <c r="G3102" s="24">
        <v>3090</v>
      </c>
      <c r="H3102">
        <f t="shared" ca="1" si="51"/>
        <v>0.11940256086439767</v>
      </c>
    </row>
    <row r="3103" spans="7:8" x14ac:dyDescent="0.3">
      <c r="G3103" s="24">
        <v>3091</v>
      </c>
      <c r="H3103">
        <f t="shared" ca="1" si="51"/>
        <v>0.11191483178653638</v>
      </c>
    </row>
    <row r="3104" spans="7:8" x14ac:dyDescent="0.3">
      <c r="G3104" s="24">
        <v>3092</v>
      </c>
      <c r="H3104">
        <f t="shared" ca="1" si="51"/>
        <v>4.0453433579268415E-2</v>
      </c>
    </row>
    <row r="3105" spans="7:8" x14ac:dyDescent="0.3">
      <c r="G3105" s="24">
        <v>3093</v>
      </c>
      <c r="H3105">
        <f t="shared" ca="1" si="51"/>
        <v>-4.6757803343762214E-2</v>
      </c>
    </row>
    <row r="3106" spans="7:8" x14ac:dyDescent="0.3">
      <c r="G3106" s="24">
        <v>3094</v>
      </c>
      <c r="H3106">
        <f t="shared" ca="1" si="51"/>
        <v>7.3823255455547993E-2</v>
      </c>
    </row>
    <row r="3107" spans="7:8" x14ac:dyDescent="0.3">
      <c r="G3107" s="24">
        <v>3095</v>
      </c>
      <c r="H3107">
        <f t="shared" ca="1" si="51"/>
        <v>8.7090613494838279E-2</v>
      </c>
    </row>
    <row r="3108" spans="7:8" x14ac:dyDescent="0.3">
      <c r="G3108" s="24">
        <v>3096</v>
      </c>
      <c r="H3108">
        <f t="shared" ca="1" si="51"/>
        <v>4.1657235962383301E-3</v>
      </c>
    </row>
    <row r="3109" spans="7:8" x14ac:dyDescent="0.3">
      <c r="G3109" s="24">
        <v>3097</v>
      </c>
      <c r="H3109">
        <f t="shared" ca="1" si="51"/>
        <v>-2.5491485254304064E-3</v>
      </c>
    </row>
    <row r="3110" spans="7:8" x14ac:dyDescent="0.3">
      <c r="G3110" s="24">
        <v>3098</v>
      </c>
      <c r="H3110">
        <f t="shared" ca="1" si="51"/>
        <v>-5.9831018664270409E-2</v>
      </c>
    </row>
    <row r="3111" spans="7:8" x14ac:dyDescent="0.3">
      <c r="G3111" s="24">
        <v>3099</v>
      </c>
      <c r="H3111">
        <f t="shared" ca="1" si="51"/>
        <v>-5.773986650097538E-2</v>
      </c>
    </row>
    <row r="3112" spans="7:8" x14ac:dyDescent="0.3">
      <c r="G3112" s="24">
        <v>3100</v>
      </c>
      <c r="H3112">
        <f t="shared" ca="1" si="51"/>
        <v>-1.075684223460532E-2</v>
      </c>
    </row>
    <row r="3113" spans="7:8" x14ac:dyDescent="0.3">
      <c r="G3113" s="24">
        <v>3101</v>
      </c>
      <c r="H3113">
        <f t="shared" ca="1" si="51"/>
        <v>-3.5603665643447913E-2</v>
      </c>
    </row>
    <row r="3114" spans="7:8" x14ac:dyDescent="0.3">
      <c r="G3114" s="24">
        <v>3102</v>
      </c>
      <c r="H3114">
        <f t="shared" ca="1" si="51"/>
        <v>1.3696410813335265E-2</v>
      </c>
    </row>
    <row r="3115" spans="7:8" x14ac:dyDescent="0.3">
      <c r="G3115" s="24">
        <v>3103</v>
      </c>
      <c r="H3115">
        <f t="shared" ca="1" si="51"/>
        <v>3.1673908056852697E-2</v>
      </c>
    </row>
    <row r="3116" spans="7:8" x14ac:dyDescent="0.3">
      <c r="G3116" s="24">
        <v>3104</v>
      </c>
      <c r="H3116">
        <f t="shared" ca="1" si="51"/>
        <v>1.0701671242679326E-2</v>
      </c>
    </row>
    <row r="3117" spans="7:8" x14ac:dyDescent="0.3">
      <c r="G3117" s="24">
        <v>3105</v>
      </c>
      <c r="H3117">
        <f t="shared" ca="1" si="51"/>
        <v>-3.0650822528573093E-2</v>
      </c>
    </row>
    <row r="3118" spans="7:8" x14ac:dyDescent="0.3">
      <c r="G3118" s="24">
        <v>3106</v>
      </c>
      <c r="H3118">
        <f t="shared" ca="1" si="51"/>
        <v>5.9657565781944741E-2</v>
      </c>
    </row>
    <row r="3119" spans="7:8" x14ac:dyDescent="0.3">
      <c r="G3119" s="24">
        <v>3107</v>
      </c>
      <c r="H3119">
        <f t="shared" ca="1" si="51"/>
        <v>8.4216163997084564E-2</v>
      </c>
    </row>
    <row r="3120" spans="7:8" x14ac:dyDescent="0.3">
      <c r="G3120" s="24">
        <v>3108</v>
      </c>
      <c r="H3120">
        <f t="shared" ca="1" si="51"/>
        <v>-2.1179072093786496E-2</v>
      </c>
    </row>
    <row r="3121" spans="7:8" x14ac:dyDescent="0.3">
      <c r="G3121" s="24">
        <v>3109</v>
      </c>
      <c r="H3121">
        <f t="shared" ca="1" si="51"/>
        <v>-5.1404717957000204E-3</v>
      </c>
    </row>
    <row r="3122" spans="7:8" x14ac:dyDescent="0.3">
      <c r="G3122" s="24">
        <v>3110</v>
      </c>
      <c r="H3122">
        <f t="shared" ca="1" si="51"/>
        <v>-1.562755015869938E-2</v>
      </c>
    </row>
    <row r="3123" spans="7:8" x14ac:dyDescent="0.3">
      <c r="G3123" s="24">
        <v>3111</v>
      </c>
      <c r="H3123">
        <f t="shared" ca="1" si="51"/>
        <v>-5.2504905175076451E-2</v>
      </c>
    </row>
    <row r="3124" spans="7:8" x14ac:dyDescent="0.3">
      <c r="G3124" s="24">
        <v>3112</v>
      </c>
      <c r="H3124">
        <f t="shared" ca="1" si="51"/>
        <v>2.3180399242375169E-2</v>
      </c>
    </row>
    <row r="3125" spans="7:8" x14ac:dyDescent="0.3">
      <c r="G3125" s="24">
        <v>3113</v>
      </c>
      <c r="H3125">
        <f t="shared" ca="1" si="51"/>
        <v>-6.1495207286535521E-2</v>
      </c>
    </row>
    <row r="3126" spans="7:8" x14ac:dyDescent="0.3">
      <c r="G3126" s="24">
        <v>3114</v>
      </c>
      <c r="H3126">
        <f t="shared" ca="1" si="51"/>
        <v>0.11270036544743096</v>
      </c>
    </row>
    <row r="3127" spans="7:8" x14ac:dyDescent="0.3">
      <c r="G3127" s="24">
        <v>3115</v>
      </c>
      <c r="H3127">
        <f t="shared" ca="1" si="51"/>
        <v>-2.9277189463785273E-2</v>
      </c>
    </row>
    <row r="3128" spans="7:8" x14ac:dyDescent="0.3">
      <c r="G3128" s="24">
        <v>3116</v>
      </c>
      <c r="H3128">
        <f t="shared" ca="1" si="51"/>
        <v>-0.10663494966066193</v>
      </c>
    </row>
    <row r="3129" spans="7:8" x14ac:dyDescent="0.3">
      <c r="G3129" s="24">
        <v>3117</v>
      </c>
      <c r="H3129">
        <f t="shared" ca="1" si="51"/>
        <v>-2.6197324318911083E-2</v>
      </c>
    </row>
    <row r="3130" spans="7:8" x14ac:dyDescent="0.3">
      <c r="G3130" s="24">
        <v>3118</v>
      </c>
      <c r="H3130">
        <f t="shared" ca="1" si="51"/>
        <v>-5.1463278656501833E-2</v>
      </c>
    </row>
    <row r="3131" spans="7:8" x14ac:dyDescent="0.3">
      <c r="G3131" s="24">
        <v>3119</v>
      </c>
      <c r="H3131">
        <f t="shared" ca="1" si="51"/>
        <v>-4.2510276523687628E-2</v>
      </c>
    </row>
    <row r="3132" spans="7:8" x14ac:dyDescent="0.3">
      <c r="G3132" s="24">
        <v>3120</v>
      </c>
      <c r="H3132">
        <f t="shared" ca="1" si="51"/>
        <v>-1.4793751498087829E-2</v>
      </c>
    </row>
    <row r="3133" spans="7:8" x14ac:dyDescent="0.3">
      <c r="G3133" s="24">
        <v>3121</v>
      </c>
      <c r="H3133">
        <f t="shared" ca="1" si="51"/>
        <v>-1.087414970118333E-2</v>
      </c>
    </row>
    <row r="3134" spans="7:8" x14ac:dyDescent="0.3">
      <c r="G3134" s="24">
        <v>3122</v>
      </c>
      <c r="H3134">
        <f t="shared" ca="1" si="51"/>
        <v>-5.9952362620387646E-2</v>
      </c>
    </row>
    <row r="3135" spans="7:8" x14ac:dyDescent="0.3">
      <c r="G3135" s="24">
        <v>3123</v>
      </c>
      <c r="H3135">
        <f t="shared" ca="1" si="51"/>
        <v>5.199615013355588E-2</v>
      </c>
    </row>
    <row r="3136" spans="7:8" x14ac:dyDescent="0.3">
      <c r="G3136" s="24">
        <v>3124</v>
      </c>
      <c r="H3136">
        <f t="shared" ca="1" si="51"/>
        <v>-1.2414186656517542E-2</v>
      </c>
    </row>
    <row r="3137" spans="7:8" x14ac:dyDescent="0.3">
      <c r="G3137" s="24">
        <v>3125</v>
      </c>
      <c r="H3137">
        <f t="shared" ca="1" si="51"/>
        <v>-3.2677619051311113E-2</v>
      </c>
    </row>
    <row r="3138" spans="7:8" x14ac:dyDescent="0.3">
      <c r="G3138" s="24">
        <v>3126</v>
      </c>
      <c r="H3138">
        <f t="shared" ca="1" si="51"/>
        <v>2.2415316320474835E-3</v>
      </c>
    </row>
    <row r="3139" spans="7:8" x14ac:dyDescent="0.3">
      <c r="G3139" s="24">
        <v>3127</v>
      </c>
      <c r="H3139">
        <f t="shared" ca="1" si="51"/>
        <v>0.19352689027029013</v>
      </c>
    </row>
    <row r="3140" spans="7:8" x14ac:dyDescent="0.3">
      <c r="G3140" s="24">
        <v>3128</v>
      </c>
      <c r="H3140">
        <f t="shared" ca="1" si="51"/>
        <v>3.6056340235666492E-2</v>
      </c>
    </row>
    <row r="3141" spans="7:8" x14ac:dyDescent="0.3">
      <c r="G3141" s="24">
        <v>3129</v>
      </c>
      <c r="H3141">
        <f t="shared" ca="1" si="51"/>
        <v>4.8091483342019861E-2</v>
      </c>
    </row>
    <row r="3142" spans="7:8" x14ac:dyDescent="0.3">
      <c r="G3142" s="24">
        <v>3130</v>
      </c>
      <c r="H3142">
        <f t="shared" ca="1" si="51"/>
        <v>6.4024658497647477E-2</v>
      </c>
    </row>
    <row r="3143" spans="7:8" x14ac:dyDescent="0.3">
      <c r="G3143" s="24">
        <v>3131</v>
      </c>
      <c r="H3143">
        <f t="shared" ca="1" si="51"/>
        <v>-2.8053592662859242E-2</v>
      </c>
    </row>
    <row r="3144" spans="7:8" x14ac:dyDescent="0.3">
      <c r="G3144" s="24">
        <v>3132</v>
      </c>
      <c r="H3144">
        <f t="shared" ca="1" si="51"/>
        <v>6.080552142708881E-2</v>
      </c>
    </row>
    <row r="3145" spans="7:8" x14ac:dyDescent="0.3">
      <c r="G3145" s="24">
        <v>3133</v>
      </c>
      <c r="H3145">
        <f t="shared" ca="1" si="51"/>
        <v>7.0234718252672329E-2</v>
      </c>
    </row>
    <row r="3146" spans="7:8" x14ac:dyDescent="0.3">
      <c r="G3146" s="24">
        <v>3134</v>
      </c>
      <c r="H3146">
        <f t="shared" ca="1" si="51"/>
        <v>-8.4303926280684827E-3</v>
      </c>
    </row>
    <row r="3147" spans="7:8" x14ac:dyDescent="0.3">
      <c r="G3147" s="24">
        <v>3135</v>
      </c>
      <c r="H3147">
        <f t="shared" ca="1" si="51"/>
        <v>-8.2320802743362318E-3</v>
      </c>
    </row>
    <row r="3148" spans="7:8" x14ac:dyDescent="0.3">
      <c r="G3148" s="24">
        <v>3136</v>
      </c>
      <c r="H3148">
        <f t="shared" ca="1" si="51"/>
        <v>9.7536880139295318E-2</v>
      </c>
    </row>
    <row r="3149" spans="7:8" x14ac:dyDescent="0.3">
      <c r="G3149" s="24">
        <v>3137</v>
      </c>
      <c r="H3149">
        <f t="shared" ca="1" si="51"/>
        <v>-4.2479924961251726E-2</v>
      </c>
    </row>
    <row r="3150" spans="7:8" x14ac:dyDescent="0.3">
      <c r="G3150" s="24">
        <v>3138</v>
      </c>
      <c r="H3150">
        <f t="shared" ref="H3150:H3213" ca="1" si="52">_xlfn.NORM.INV(RAND(),N$13,N$14)</f>
        <v>3.2801764973659324E-2</v>
      </c>
    </row>
    <row r="3151" spans="7:8" x14ac:dyDescent="0.3">
      <c r="G3151" s="24">
        <v>3139</v>
      </c>
      <c r="H3151">
        <f t="shared" ca="1" si="52"/>
        <v>-2.2793171285867376E-2</v>
      </c>
    </row>
    <row r="3152" spans="7:8" x14ac:dyDescent="0.3">
      <c r="G3152" s="24">
        <v>3140</v>
      </c>
      <c r="H3152">
        <f t="shared" ca="1" si="52"/>
        <v>0.14880474660453782</v>
      </c>
    </row>
    <row r="3153" spans="7:8" x14ac:dyDescent="0.3">
      <c r="G3153" s="24">
        <v>3141</v>
      </c>
      <c r="H3153">
        <f t="shared" ca="1" si="52"/>
        <v>-8.241595695503344E-2</v>
      </c>
    </row>
    <row r="3154" spans="7:8" x14ac:dyDescent="0.3">
      <c r="G3154" s="24">
        <v>3142</v>
      </c>
      <c r="H3154">
        <f t="shared" ca="1" si="52"/>
        <v>0.14037284435723726</v>
      </c>
    </row>
    <row r="3155" spans="7:8" x14ac:dyDescent="0.3">
      <c r="G3155" s="24">
        <v>3143</v>
      </c>
      <c r="H3155">
        <f t="shared" ca="1" si="52"/>
        <v>-9.2834244241111405E-2</v>
      </c>
    </row>
    <row r="3156" spans="7:8" x14ac:dyDescent="0.3">
      <c r="G3156" s="24">
        <v>3144</v>
      </c>
      <c r="H3156">
        <f t="shared" ca="1" si="52"/>
        <v>9.2979889124382861E-2</v>
      </c>
    </row>
    <row r="3157" spans="7:8" x14ac:dyDescent="0.3">
      <c r="G3157" s="24">
        <v>3145</v>
      </c>
      <c r="H3157">
        <f t="shared" ca="1" si="52"/>
        <v>1.1417866311665104E-2</v>
      </c>
    </row>
    <row r="3158" spans="7:8" x14ac:dyDescent="0.3">
      <c r="G3158" s="24">
        <v>3146</v>
      </c>
      <c r="H3158">
        <f t="shared" ca="1" si="52"/>
        <v>-1.6613323099895265E-2</v>
      </c>
    </row>
    <row r="3159" spans="7:8" x14ac:dyDescent="0.3">
      <c r="G3159" s="24">
        <v>3147</v>
      </c>
      <c r="H3159">
        <f t="shared" ca="1" si="52"/>
        <v>-1.0144781905782746E-2</v>
      </c>
    </row>
    <row r="3160" spans="7:8" x14ac:dyDescent="0.3">
      <c r="G3160" s="24">
        <v>3148</v>
      </c>
      <c r="H3160">
        <f t="shared" ca="1" si="52"/>
        <v>-9.8311174960066958E-2</v>
      </c>
    </row>
    <row r="3161" spans="7:8" x14ac:dyDescent="0.3">
      <c r="G3161" s="24">
        <v>3149</v>
      </c>
      <c r="H3161">
        <f t="shared" ca="1" si="52"/>
        <v>-8.1722488378849323E-2</v>
      </c>
    </row>
    <row r="3162" spans="7:8" x14ac:dyDescent="0.3">
      <c r="G3162" s="24">
        <v>3150</v>
      </c>
      <c r="H3162">
        <f t="shared" ca="1" si="52"/>
        <v>-3.994484160300538E-3</v>
      </c>
    </row>
    <row r="3163" spans="7:8" x14ac:dyDescent="0.3">
      <c r="G3163" s="24">
        <v>3151</v>
      </c>
      <c r="H3163">
        <f t="shared" ca="1" si="52"/>
        <v>-6.4515511367616019E-2</v>
      </c>
    </row>
    <row r="3164" spans="7:8" x14ac:dyDescent="0.3">
      <c r="G3164" s="24">
        <v>3152</v>
      </c>
      <c r="H3164">
        <f t="shared" ca="1" si="52"/>
        <v>3.0847874973019822E-2</v>
      </c>
    </row>
    <row r="3165" spans="7:8" x14ac:dyDescent="0.3">
      <c r="G3165" s="24">
        <v>3153</v>
      </c>
      <c r="H3165">
        <f t="shared" ca="1" si="52"/>
        <v>0.21229270522718841</v>
      </c>
    </row>
    <row r="3166" spans="7:8" x14ac:dyDescent="0.3">
      <c r="G3166" s="24">
        <v>3154</v>
      </c>
      <c r="H3166">
        <f t="shared" ca="1" si="52"/>
        <v>-6.8458371667353399E-2</v>
      </c>
    </row>
    <row r="3167" spans="7:8" x14ac:dyDescent="0.3">
      <c r="G3167" s="24">
        <v>3155</v>
      </c>
      <c r="H3167">
        <f t="shared" ca="1" si="52"/>
        <v>-3.7678482265917981E-2</v>
      </c>
    </row>
    <row r="3168" spans="7:8" x14ac:dyDescent="0.3">
      <c r="G3168" s="24">
        <v>3156</v>
      </c>
      <c r="H3168">
        <f t="shared" ca="1" si="52"/>
        <v>7.4790893152622134E-2</v>
      </c>
    </row>
    <row r="3169" spans="7:8" x14ac:dyDescent="0.3">
      <c r="G3169" s="24">
        <v>3157</v>
      </c>
      <c r="H3169">
        <f t="shared" ca="1" si="52"/>
        <v>-8.3139771809982346E-2</v>
      </c>
    </row>
    <row r="3170" spans="7:8" x14ac:dyDescent="0.3">
      <c r="G3170" s="24">
        <v>3158</v>
      </c>
      <c r="H3170">
        <f t="shared" ca="1" si="52"/>
        <v>-0.14423586715191672</v>
      </c>
    </row>
    <row r="3171" spans="7:8" x14ac:dyDescent="0.3">
      <c r="G3171" s="24">
        <v>3159</v>
      </c>
      <c r="H3171">
        <f t="shared" ca="1" si="52"/>
        <v>5.4466115044849737E-2</v>
      </c>
    </row>
    <row r="3172" spans="7:8" x14ac:dyDescent="0.3">
      <c r="G3172" s="24">
        <v>3160</v>
      </c>
      <c r="H3172">
        <f t="shared" ca="1" si="52"/>
        <v>1.2869161325593461E-2</v>
      </c>
    </row>
    <row r="3173" spans="7:8" x14ac:dyDescent="0.3">
      <c r="G3173" s="24">
        <v>3161</v>
      </c>
      <c r="H3173">
        <f t="shared" ca="1" si="52"/>
        <v>1.2625159665631094E-2</v>
      </c>
    </row>
    <row r="3174" spans="7:8" x14ac:dyDescent="0.3">
      <c r="G3174" s="24">
        <v>3162</v>
      </c>
      <c r="H3174">
        <f t="shared" ca="1" si="52"/>
        <v>9.7331004869233392E-2</v>
      </c>
    </row>
    <row r="3175" spans="7:8" x14ac:dyDescent="0.3">
      <c r="G3175" s="24">
        <v>3163</v>
      </c>
      <c r="H3175">
        <f t="shared" ca="1" si="52"/>
        <v>8.9071206509398287E-2</v>
      </c>
    </row>
    <row r="3176" spans="7:8" x14ac:dyDescent="0.3">
      <c r="G3176" s="24">
        <v>3164</v>
      </c>
      <c r="H3176">
        <f t="shared" ca="1" si="52"/>
        <v>2.4477357505285045E-2</v>
      </c>
    </row>
    <row r="3177" spans="7:8" x14ac:dyDescent="0.3">
      <c r="G3177" s="24">
        <v>3165</v>
      </c>
      <c r="H3177">
        <f t="shared" ca="1" si="52"/>
        <v>1.2034187391888834E-2</v>
      </c>
    </row>
    <row r="3178" spans="7:8" x14ac:dyDescent="0.3">
      <c r="G3178" s="24">
        <v>3166</v>
      </c>
      <c r="H3178">
        <f t="shared" ca="1" si="52"/>
        <v>-9.5963569840142579E-2</v>
      </c>
    </row>
    <row r="3179" spans="7:8" x14ac:dyDescent="0.3">
      <c r="G3179" s="24">
        <v>3167</v>
      </c>
      <c r="H3179">
        <f t="shared" ca="1" si="52"/>
        <v>6.2583715122041611E-2</v>
      </c>
    </row>
    <row r="3180" spans="7:8" x14ac:dyDescent="0.3">
      <c r="G3180" s="24">
        <v>3168</v>
      </c>
      <c r="H3180">
        <f t="shared" ca="1" si="52"/>
        <v>8.4566903866791679E-2</v>
      </c>
    </row>
    <row r="3181" spans="7:8" x14ac:dyDescent="0.3">
      <c r="G3181" s="24">
        <v>3169</v>
      </c>
      <c r="H3181">
        <f t="shared" ca="1" si="52"/>
        <v>-8.8295450355762695E-2</v>
      </c>
    </row>
    <row r="3182" spans="7:8" x14ac:dyDescent="0.3">
      <c r="G3182" s="24">
        <v>3170</v>
      </c>
      <c r="H3182">
        <f t="shared" ca="1" si="52"/>
        <v>-5.7442256404873875E-2</v>
      </c>
    </row>
    <row r="3183" spans="7:8" x14ac:dyDescent="0.3">
      <c r="G3183" s="24">
        <v>3171</v>
      </c>
      <c r="H3183">
        <f t="shared" ca="1" si="52"/>
        <v>-1.2200631239004601E-2</v>
      </c>
    </row>
    <row r="3184" spans="7:8" x14ac:dyDescent="0.3">
      <c r="G3184" s="24">
        <v>3172</v>
      </c>
      <c r="H3184">
        <f t="shared" ca="1" si="52"/>
        <v>-8.2414319653129675E-2</v>
      </c>
    </row>
    <row r="3185" spans="7:8" x14ac:dyDescent="0.3">
      <c r="G3185" s="24">
        <v>3173</v>
      </c>
      <c r="H3185">
        <f t="shared" ca="1" si="52"/>
        <v>0.10352053738649659</v>
      </c>
    </row>
    <row r="3186" spans="7:8" x14ac:dyDescent="0.3">
      <c r="G3186" s="24">
        <v>3174</v>
      </c>
      <c r="H3186">
        <f t="shared" ca="1" si="52"/>
        <v>-1.0404826026644437E-2</v>
      </c>
    </row>
    <row r="3187" spans="7:8" x14ac:dyDescent="0.3">
      <c r="G3187" s="24">
        <v>3175</v>
      </c>
      <c r="H3187">
        <f t="shared" ca="1" si="52"/>
        <v>-6.5257875470718776E-2</v>
      </c>
    </row>
    <row r="3188" spans="7:8" x14ac:dyDescent="0.3">
      <c r="G3188" s="24">
        <v>3176</v>
      </c>
      <c r="H3188">
        <f t="shared" ca="1" si="52"/>
        <v>-4.1660626692247106E-2</v>
      </c>
    </row>
    <row r="3189" spans="7:8" x14ac:dyDescent="0.3">
      <c r="G3189" s="24">
        <v>3177</v>
      </c>
      <c r="H3189">
        <f t="shared" ca="1" si="52"/>
        <v>0.10843172018621548</v>
      </c>
    </row>
    <row r="3190" spans="7:8" x14ac:dyDescent="0.3">
      <c r="G3190" s="24">
        <v>3178</v>
      </c>
      <c r="H3190">
        <f t="shared" ca="1" si="52"/>
        <v>-0.12163074315757642</v>
      </c>
    </row>
    <row r="3191" spans="7:8" x14ac:dyDescent="0.3">
      <c r="G3191" s="24">
        <v>3179</v>
      </c>
      <c r="H3191">
        <f t="shared" ca="1" si="52"/>
        <v>-3.9239968575404544E-2</v>
      </c>
    </row>
    <row r="3192" spans="7:8" x14ac:dyDescent="0.3">
      <c r="G3192" s="24">
        <v>3180</v>
      </c>
      <c r="H3192">
        <f t="shared" ca="1" si="52"/>
        <v>4.0126832027789952E-2</v>
      </c>
    </row>
    <row r="3193" spans="7:8" x14ac:dyDescent="0.3">
      <c r="G3193" s="24">
        <v>3181</v>
      </c>
      <c r="H3193">
        <f t="shared" ca="1" si="52"/>
        <v>-6.4902646113746462E-3</v>
      </c>
    </row>
    <row r="3194" spans="7:8" x14ac:dyDescent="0.3">
      <c r="G3194" s="24">
        <v>3182</v>
      </c>
      <c r="H3194">
        <f t="shared" ca="1" si="52"/>
        <v>-9.970762327466022E-2</v>
      </c>
    </row>
    <row r="3195" spans="7:8" x14ac:dyDescent="0.3">
      <c r="G3195" s="24">
        <v>3183</v>
      </c>
      <c r="H3195">
        <f t="shared" ca="1" si="52"/>
        <v>-6.3985988185975229E-2</v>
      </c>
    </row>
    <row r="3196" spans="7:8" x14ac:dyDescent="0.3">
      <c r="G3196" s="24">
        <v>3184</v>
      </c>
      <c r="H3196">
        <f t="shared" ca="1" si="52"/>
        <v>-3.590688554323282E-3</v>
      </c>
    </row>
    <row r="3197" spans="7:8" x14ac:dyDescent="0.3">
      <c r="G3197" s="24">
        <v>3185</v>
      </c>
      <c r="H3197">
        <f t="shared" ca="1" si="52"/>
        <v>-0.17558248330628362</v>
      </c>
    </row>
    <row r="3198" spans="7:8" x14ac:dyDescent="0.3">
      <c r="G3198" s="24">
        <v>3186</v>
      </c>
      <c r="H3198">
        <f t="shared" ca="1" si="52"/>
        <v>0.12143146674357537</v>
      </c>
    </row>
    <row r="3199" spans="7:8" x14ac:dyDescent="0.3">
      <c r="G3199" s="24">
        <v>3187</v>
      </c>
      <c r="H3199">
        <f t="shared" ca="1" si="52"/>
        <v>3.2369894525487941E-2</v>
      </c>
    </row>
    <row r="3200" spans="7:8" x14ac:dyDescent="0.3">
      <c r="G3200" s="24">
        <v>3188</v>
      </c>
      <c r="H3200">
        <f t="shared" ca="1" si="52"/>
        <v>1.1790370039674284E-2</v>
      </c>
    </row>
    <row r="3201" spans="7:8" x14ac:dyDescent="0.3">
      <c r="G3201" s="24">
        <v>3189</v>
      </c>
      <c r="H3201">
        <f t="shared" ca="1" si="52"/>
        <v>4.4655127860572436E-2</v>
      </c>
    </row>
    <row r="3202" spans="7:8" x14ac:dyDescent="0.3">
      <c r="G3202" s="24">
        <v>3190</v>
      </c>
      <c r="H3202">
        <f t="shared" ca="1" si="52"/>
        <v>-0.12459539786041912</v>
      </c>
    </row>
    <row r="3203" spans="7:8" x14ac:dyDescent="0.3">
      <c r="G3203" s="24">
        <v>3191</v>
      </c>
      <c r="H3203">
        <f t="shared" ca="1" si="52"/>
        <v>4.0662542694823098E-2</v>
      </c>
    </row>
    <row r="3204" spans="7:8" x14ac:dyDescent="0.3">
      <c r="G3204" s="24">
        <v>3192</v>
      </c>
      <c r="H3204">
        <f t="shared" ca="1" si="52"/>
        <v>-3.3042236573179375E-2</v>
      </c>
    </row>
    <row r="3205" spans="7:8" x14ac:dyDescent="0.3">
      <c r="G3205" s="24">
        <v>3193</v>
      </c>
      <c r="H3205">
        <f t="shared" ca="1" si="52"/>
        <v>-0.18100994125960174</v>
      </c>
    </row>
    <row r="3206" spans="7:8" x14ac:dyDescent="0.3">
      <c r="G3206" s="24">
        <v>3194</v>
      </c>
      <c r="H3206">
        <f t="shared" ca="1" si="52"/>
        <v>-8.5692399494201543E-2</v>
      </c>
    </row>
    <row r="3207" spans="7:8" x14ac:dyDescent="0.3">
      <c r="G3207" s="24">
        <v>3195</v>
      </c>
      <c r="H3207">
        <f t="shared" ca="1" si="52"/>
        <v>8.8087366283336799E-2</v>
      </c>
    </row>
    <row r="3208" spans="7:8" x14ac:dyDescent="0.3">
      <c r="G3208" s="24">
        <v>3196</v>
      </c>
      <c r="H3208">
        <f t="shared" ca="1" si="52"/>
        <v>1.0969331354789974E-2</v>
      </c>
    </row>
    <row r="3209" spans="7:8" x14ac:dyDescent="0.3">
      <c r="G3209" s="24">
        <v>3197</v>
      </c>
      <c r="H3209">
        <f t="shared" ca="1" si="52"/>
        <v>1.7274882750129308E-2</v>
      </c>
    </row>
    <row r="3210" spans="7:8" x14ac:dyDescent="0.3">
      <c r="G3210" s="24">
        <v>3198</v>
      </c>
      <c r="H3210">
        <f t="shared" ca="1" si="52"/>
        <v>0.11839984136045609</v>
      </c>
    </row>
    <row r="3211" spans="7:8" x14ac:dyDescent="0.3">
      <c r="G3211" s="24">
        <v>3199</v>
      </c>
      <c r="H3211">
        <f t="shared" ca="1" si="52"/>
        <v>-1.3242243875485171E-2</v>
      </c>
    </row>
    <row r="3212" spans="7:8" x14ac:dyDescent="0.3">
      <c r="G3212" s="24">
        <v>3200</v>
      </c>
      <c r="H3212">
        <f t="shared" ca="1" si="52"/>
        <v>-0.11768517285609831</v>
      </c>
    </row>
    <row r="3213" spans="7:8" x14ac:dyDescent="0.3">
      <c r="G3213" s="24">
        <v>3201</v>
      </c>
      <c r="H3213">
        <f t="shared" ca="1" si="52"/>
        <v>1.7410887878995364E-4</v>
      </c>
    </row>
    <row r="3214" spans="7:8" x14ac:dyDescent="0.3">
      <c r="G3214" s="24">
        <v>3202</v>
      </c>
      <c r="H3214">
        <f t="shared" ref="H3214:H3277" ca="1" si="53">_xlfn.NORM.INV(RAND(),N$13,N$14)</f>
        <v>0.13568743666875208</v>
      </c>
    </row>
    <row r="3215" spans="7:8" x14ac:dyDescent="0.3">
      <c r="G3215" s="24">
        <v>3203</v>
      </c>
      <c r="H3215">
        <f t="shared" ca="1" si="53"/>
        <v>-0.13538254190829846</v>
      </c>
    </row>
    <row r="3216" spans="7:8" x14ac:dyDescent="0.3">
      <c r="G3216" s="24">
        <v>3204</v>
      </c>
      <c r="H3216">
        <f t="shared" ca="1" si="53"/>
        <v>2.3216281814038311E-2</v>
      </c>
    </row>
    <row r="3217" spans="7:8" x14ac:dyDescent="0.3">
      <c r="G3217" s="24">
        <v>3205</v>
      </c>
      <c r="H3217">
        <f t="shared" ca="1" si="53"/>
        <v>4.23182987127277E-2</v>
      </c>
    </row>
    <row r="3218" spans="7:8" x14ac:dyDescent="0.3">
      <c r="G3218" s="24">
        <v>3206</v>
      </c>
      <c r="H3218">
        <f t="shared" ca="1" si="53"/>
        <v>6.509124987195429E-2</v>
      </c>
    </row>
    <row r="3219" spans="7:8" x14ac:dyDescent="0.3">
      <c r="G3219" s="24">
        <v>3207</v>
      </c>
      <c r="H3219">
        <f t="shared" ca="1" si="53"/>
        <v>-3.0425724089128404E-2</v>
      </c>
    </row>
    <row r="3220" spans="7:8" x14ac:dyDescent="0.3">
      <c r="G3220" s="24">
        <v>3208</v>
      </c>
      <c r="H3220">
        <f t="shared" ca="1" si="53"/>
        <v>-0.10239235578070741</v>
      </c>
    </row>
    <row r="3221" spans="7:8" x14ac:dyDescent="0.3">
      <c r="G3221" s="24">
        <v>3209</v>
      </c>
      <c r="H3221">
        <f t="shared" ca="1" si="53"/>
        <v>-0.1004483350104118</v>
      </c>
    </row>
    <row r="3222" spans="7:8" x14ac:dyDescent="0.3">
      <c r="G3222" s="24">
        <v>3210</v>
      </c>
      <c r="H3222">
        <f t="shared" ca="1" si="53"/>
        <v>-3.6385806801240962E-2</v>
      </c>
    </row>
    <row r="3223" spans="7:8" x14ac:dyDescent="0.3">
      <c r="G3223" s="24">
        <v>3211</v>
      </c>
      <c r="H3223">
        <f t="shared" ca="1" si="53"/>
        <v>7.9828934775947172E-2</v>
      </c>
    </row>
    <row r="3224" spans="7:8" x14ac:dyDescent="0.3">
      <c r="G3224" s="24">
        <v>3212</v>
      </c>
      <c r="H3224">
        <f t="shared" ca="1" si="53"/>
        <v>-2.4741631404301405E-2</v>
      </c>
    </row>
    <row r="3225" spans="7:8" x14ac:dyDescent="0.3">
      <c r="G3225" s="24">
        <v>3213</v>
      </c>
      <c r="H3225">
        <f t="shared" ca="1" si="53"/>
        <v>-5.3379257878503922E-2</v>
      </c>
    </row>
    <row r="3226" spans="7:8" x14ac:dyDescent="0.3">
      <c r="G3226" s="24">
        <v>3214</v>
      </c>
      <c r="H3226">
        <f t="shared" ca="1" si="53"/>
        <v>0.10412118224664255</v>
      </c>
    </row>
    <row r="3227" spans="7:8" x14ac:dyDescent="0.3">
      <c r="G3227" s="24">
        <v>3215</v>
      </c>
      <c r="H3227">
        <f t="shared" ca="1" si="53"/>
        <v>-8.2682779988635033E-2</v>
      </c>
    </row>
    <row r="3228" spans="7:8" x14ac:dyDescent="0.3">
      <c r="G3228" s="24">
        <v>3216</v>
      </c>
      <c r="H3228">
        <f t="shared" ca="1" si="53"/>
        <v>-3.5617575948826696E-2</v>
      </c>
    </row>
    <row r="3229" spans="7:8" x14ac:dyDescent="0.3">
      <c r="G3229" s="24">
        <v>3217</v>
      </c>
      <c r="H3229">
        <f t="shared" ca="1" si="53"/>
        <v>-6.3682939579047023E-3</v>
      </c>
    </row>
    <row r="3230" spans="7:8" x14ac:dyDescent="0.3">
      <c r="G3230" s="24">
        <v>3218</v>
      </c>
      <c r="H3230">
        <f t="shared" ca="1" si="53"/>
        <v>0.10649530319077859</v>
      </c>
    </row>
    <row r="3231" spans="7:8" x14ac:dyDescent="0.3">
      <c r="G3231" s="24">
        <v>3219</v>
      </c>
      <c r="H3231">
        <f t="shared" ca="1" si="53"/>
        <v>-0.13627158356337091</v>
      </c>
    </row>
    <row r="3232" spans="7:8" x14ac:dyDescent="0.3">
      <c r="G3232" s="24">
        <v>3220</v>
      </c>
      <c r="H3232">
        <f t="shared" ca="1" si="53"/>
        <v>5.2355870371863851E-2</v>
      </c>
    </row>
    <row r="3233" spans="7:8" x14ac:dyDescent="0.3">
      <c r="G3233" s="24">
        <v>3221</v>
      </c>
      <c r="H3233">
        <f t="shared" ca="1" si="53"/>
        <v>-6.8954843073815164E-2</v>
      </c>
    </row>
    <row r="3234" spans="7:8" x14ac:dyDescent="0.3">
      <c r="G3234" s="24">
        <v>3222</v>
      </c>
      <c r="H3234">
        <f t="shared" ca="1" si="53"/>
        <v>-2.7859288601314782E-2</v>
      </c>
    </row>
    <row r="3235" spans="7:8" x14ac:dyDescent="0.3">
      <c r="G3235" s="24">
        <v>3223</v>
      </c>
      <c r="H3235">
        <f t="shared" ca="1" si="53"/>
        <v>3.9732357762226896E-2</v>
      </c>
    </row>
    <row r="3236" spans="7:8" x14ac:dyDescent="0.3">
      <c r="G3236" s="24">
        <v>3224</v>
      </c>
      <c r="H3236">
        <f t="shared" ca="1" si="53"/>
        <v>-4.7595856460586859E-2</v>
      </c>
    </row>
    <row r="3237" spans="7:8" x14ac:dyDescent="0.3">
      <c r="G3237" s="24">
        <v>3225</v>
      </c>
      <c r="H3237">
        <f t="shared" ca="1" si="53"/>
        <v>-0.1413957908739073</v>
      </c>
    </row>
    <row r="3238" spans="7:8" x14ac:dyDescent="0.3">
      <c r="G3238" s="24">
        <v>3226</v>
      </c>
      <c r="H3238">
        <f t="shared" ca="1" si="53"/>
        <v>2.1783445189001761E-2</v>
      </c>
    </row>
    <row r="3239" spans="7:8" x14ac:dyDescent="0.3">
      <c r="G3239" s="24">
        <v>3227</v>
      </c>
      <c r="H3239">
        <f t="shared" ca="1" si="53"/>
        <v>-8.1762333455558917E-2</v>
      </c>
    </row>
    <row r="3240" spans="7:8" x14ac:dyDescent="0.3">
      <c r="G3240" s="24">
        <v>3228</v>
      </c>
      <c r="H3240">
        <f t="shared" ca="1" si="53"/>
        <v>3.455238283621203E-2</v>
      </c>
    </row>
    <row r="3241" spans="7:8" x14ac:dyDescent="0.3">
      <c r="G3241" s="24">
        <v>3229</v>
      </c>
      <c r="H3241">
        <f t="shared" ca="1" si="53"/>
        <v>-3.096535948142833E-3</v>
      </c>
    </row>
    <row r="3242" spans="7:8" x14ac:dyDescent="0.3">
      <c r="G3242" s="24">
        <v>3230</v>
      </c>
      <c r="H3242">
        <f t="shared" ca="1" si="53"/>
        <v>9.8008698675659429E-3</v>
      </c>
    </row>
    <row r="3243" spans="7:8" x14ac:dyDescent="0.3">
      <c r="G3243" s="24">
        <v>3231</v>
      </c>
      <c r="H3243">
        <f t="shared" ca="1" si="53"/>
        <v>-3.586531048393328E-2</v>
      </c>
    </row>
    <row r="3244" spans="7:8" x14ac:dyDescent="0.3">
      <c r="G3244" s="24">
        <v>3232</v>
      </c>
      <c r="H3244">
        <f t="shared" ca="1" si="53"/>
        <v>-6.2308260889402521E-2</v>
      </c>
    </row>
    <row r="3245" spans="7:8" x14ac:dyDescent="0.3">
      <c r="G3245" s="24">
        <v>3233</v>
      </c>
      <c r="H3245">
        <f t="shared" ca="1" si="53"/>
        <v>8.8838055142770281E-2</v>
      </c>
    </row>
    <row r="3246" spans="7:8" x14ac:dyDescent="0.3">
      <c r="G3246" s="24">
        <v>3234</v>
      </c>
      <c r="H3246">
        <f t="shared" ca="1" si="53"/>
        <v>3.2342324026196904E-2</v>
      </c>
    </row>
    <row r="3247" spans="7:8" x14ac:dyDescent="0.3">
      <c r="G3247" s="24">
        <v>3235</v>
      </c>
      <c r="H3247">
        <f t="shared" ca="1" si="53"/>
        <v>-6.7468053934930342E-2</v>
      </c>
    </row>
    <row r="3248" spans="7:8" x14ac:dyDescent="0.3">
      <c r="G3248" s="24">
        <v>3236</v>
      </c>
      <c r="H3248">
        <f t="shared" ca="1" si="53"/>
        <v>3.5446035328419119E-2</v>
      </c>
    </row>
    <row r="3249" spans="7:8" x14ac:dyDescent="0.3">
      <c r="G3249" s="24">
        <v>3237</v>
      </c>
      <c r="H3249">
        <f t="shared" ca="1" si="53"/>
        <v>7.0164385514978736E-2</v>
      </c>
    </row>
    <row r="3250" spans="7:8" x14ac:dyDescent="0.3">
      <c r="G3250" s="24">
        <v>3238</v>
      </c>
      <c r="H3250">
        <f t="shared" ca="1" si="53"/>
        <v>-3.0860334096698087E-2</v>
      </c>
    </row>
    <row r="3251" spans="7:8" x14ac:dyDescent="0.3">
      <c r="G3251" s="24">
        <v>3239</v>
      </c>
      <c r="H3251">
        <f t="shared" ca="1" si="53"/>
        <v>-3.4249003041173132E-3</v>
      </c>
    </row>
    <row r="3252" spans="7:8" x14ac:dyDescent="0.3">
      <c r="G3252" s="24">
        <v>3240</v>
      </c>
      <c r="H3252">
        <f t="shared" ca="1" si="53"/>
        <v>-0.13593448133632918</v>
      </c>
    </row>
    <row r="3253" spans="7:8" x14ac:dyDescent="0.3">
      <c r="G3253" s="24">
        <v>3241</v>
      </c>
      <c r="H3253">
        <f t="shared" ca="1" si="53"/>
        <v>-1.2700453279003399E-2</v>
      </c>
    </row>
    <row r="3254" spans="7:8" x14ac:dyDescent="0.3">
      <c r="G3254" s="24">
        <v>3242</v>
      </c>
      <c r="H3254">
        <f t="shared" ca="1" si="53"/>
        <v>3.2913343357889487E-3</v>
      </c>
    </row>
    <row r="3255" spans="7:8" x14ac:dyDescent="0.3">
      <c r="G3255" s="24">
        <v>3243</v>
      </c>
      <c r="H3255">
        <f t="shared" ca="1" si="53"/>
        <v>0.1432576660441075</v>
      </c>
    </row>
    <row r="3256" spans="7:8" x14ac:dyDescent="0.3">
      <c r="G3256" s="24">
        <v>3244</v>
      </c>
      <c r="H3256">
        <f t="shared" ca="1" si="53"/>
        <v>-3.0263656380965866E-2</v>
      </c>
    </row>
    <row r="3257" spans="7:8" x14ac:dyDescent="0.3">
      <c r="G3257" s="24">
        <v>3245</v>
      </c>
      <c r="H3257">
        <f t="shared" ca="1" si="53"/>
        <v>-1.9361985129138365E-2</v>
      </c>
    </row>
    <row r="3258" spans="7:8" x14ac:dyDescent="0.3">
      <c r="G3258" s="24">
        <v>3246</v>
      </c>
      <c r="H3258">
        <f t="shared" ca="1" si="53"/>
        <v>0.13497814893538507</v>
      </c>
    </row>
    <row r="3259" spans="7:8" x14ac:dyDescent="0.3">
      <c r="G3259" s="24">
        <v>3247</v>
      </c>
      <c r="H3259">
        <f t="shared" ca="1" si="53"/>
        <v>-0.11834255506122246</v>
      </c>
    </row>
    <row r="3260" spans="7:8" x14ac:dyDescent="0.3">
      <c r="G3260" s="24">
        <v>3248</v>
      </c>
      <c r="H3260">
        <f t="shared" ca="1" si="53"/>
        <v>-4.3343994823812806E-2</v>
      </c>
    </row>
    <row r="3261" spans="7:8" x14ac:dyDescent="0.3">
      <c r="G3261" s="24">
        <v>3249</v>
      </c>
      <c r="H3261">
        <f t="shared" ca="1" si="53"/>
        <v>-5.5981858803859405E-2</v>
      </c>
    </row>
    <row r="3262" spans="7:8" x14ac:dyDescent="0.3">
      <c r="G3262" s="24">
        <v>3250</v>
      </c>
      <c r="H3262">
        <f t="shared" ca="1" si="53"/>
        <v>0.14106821150952123</v>
      </c>
    </row>
    <row r="3263" spans="7:8" x14ac:dyDescent="0.3">
      <c r="G3263" s="24">
        <v>3251</v>
      </c>
      <c r="H3263">
        <f t="shared" ca="1" si="53"/>
        <v>4.1608544682362393E-2</v>
      </c>
    </row>
    <row r="3264" spans="7:8" x14ac:dyDescent="0.3">
      <c r="G3264" s="24">
        <v>3252</v>
      </c>
      <c r="H3264">
        <f t="shared" ca="1" si="53"/>
        <v>-2.5457619534275132E-2</v>
      </c>
    </row>
    <row r="3265" spans="7:8" x14ac:dyDescent="0.3">
      <c r="G3265" s="24">
        <v>3253</v>
      </c>
      <c r="H3265">
        <f t="shared" ca="1" si="53"/>
        <v>0.12352662481384845</v>
      </c>
    </row>
    <row r="3266" spans="7:8" x14ac:dyDescent="0.3">
      <c r="G3266" s="24">
        <v>3254</v>
      </c>
      <c r="H3266">
        <f t="shared" ca="1" si="53"/>
        <v>4.8345191062552091E-2</v>
      </c>
    </row>
    <row r="3267" spans="7:8" x14ac:dyDescent="0.3">
      <c r="G3267" s="24">
        <v>3255</v>
      </c>
      <c r="H3267">
        <f t="shared" ca="1" si="53"/>
        <v>-2.6946290825933743E-2</v>
      </c>
    </row>
    <row r="3268" spans="7:8" x14ac:dyDescent="0.3">
      <c r="G3268" s="24">
        <v>3256</v>
      </c>
      <c r="H3268">
        <f t="shared" ca="1" si="53"/>
        <v>1.7021024534806105E-2</v>
      </c>
    </row>
    <row r="3269" spans="7:8" x14ac:dyDescent="0.3">
      <c r="G3269" s="24">
        <v>3257</v>
      </c>
      <c r="H3269">
        <f t="shared" ca="1" si="53"/>
        <v>-1.6800426370422002E-2</v>
      </c>
    </row>
    <row r="3270" spans="7:8" x14ac:dyDescent="0.3">
      <c r="G3270" s="24">
        <v>3258</v>
      </c>
      <c r="H3270">
        <f t="shared" ca="1" si="53"/>
        <v>-2.4429386014962202E-2</v>
      </c>
    </row>
    <row r="3271" spans="7:8" x14ac:dyDescent="0.3">
      <c r="G3271" s="24">
        <v>3259</v>
      </c>
      <c r="H3271">
        <f t="shared" ca="1" si="53"/>
        <v>-3.1885505275729614E-2</v>
      </c>
    </row>
    <row r="3272" spans="7:8" x14ac:dyDescent="0.3">
      <c r="G3272" s="24">
        <v>3260</v>
      </c>
      <c r="H3272">
        <f t="shared" ca="1" si="53"/>
        <v>0.20481045355367031</v>
      </c>
    </row>
    <row r="3273" spans="7:8" x14ac:dyDescent="0.3">
      <c r="G3273" s="24">
        <v>3261</v>
      </c>
      <c r="H3273">
        <f t="shared" ca="1" si="53"/>
        <v>3.1396388238379763E-3</v>
      </c>
    </row>
    <row r="3274" spans="7:8" x14ac:dyDescent="0.3">
      <c r="G3274" s="24">
        <v>3262</v>
      </c>
      <c r="H3274">
        <f t="shared" ca="1" si="53"/>
        <v>8.6057688468501509E-2</v>
      </c>
    </row>
    <row r="3275" spans="7:8" x14ac:dyDescent="0.3">
      <c r="G3275" s="24">
        <v>3263</v>
      </c>
      <c r="H3275">
        <f t="shared" ca="1" si="53"/>
        <v>-0.13846513316680073</v>
      </c>
    </row>
    <row r="3276" spans="7:8" x14ac:dyDescent="0.3">
      <c r="G3276" s="24">
        <v>3264</v>
      </c>
      <c r="H3276">
        <f t="shared" ca="1" si="53"/>
        <v>2.7685940216486803E-2</v>
      </c>
    </row>
    <row r="3277" spans="7:8" x14ac:dyDescent="0.3">
      <c r="G3277" s="24">
        <v>3265</v>
      </c>
      <c r="H3277">
        <f t="shared" ca="1" si="53"/>
        <v>2.4000611325131017E-2</v>
      </c>
    </row>
    <row r="3278" spans="7:8" x14ac:dyDescent="0.3">
      <c r="G3278" s="24">
        <v>3266</v>
      </c>
      <c r="H3278">
        <f t="shared" ref="H3278:H3341" ca="1" si="54">_xlfn.NORM.INV(RAND(),N$13,N$14)</f>
        <v>-5.5632505560632116E-2</v>
      </c>
    </row>
    <row r="3279" spans="7:8" x14ac:dyDescent="0.3">
      <c r="G3279" s="24">
        <v>3267</v>
      </c>
      <c r="H3279">
        <f t="shared" ca="1" si="54"/>
        <v>1.7364613591676976E-2</v>
      </c>
    </row>
    <row r="3280" spans="7:8" x14ac:dyDescent="0.3">
      <c r="G3280" s="24">
        <v>3268</v>
      </c>
      <c r="H3280">
        <f t="shared" ca="1" si="54"/>
        <v>-0.11984110696582172</v>
      </c>
    </row>
    <row r="3281" spans="7:8" x14ac:dyDescent="0.3">
      <c r="G3281" s="24">
        <v>3269</v>
      </c>
      <c r="H3281">
        <f t="shared" ca="1" si="54"/>
        <v>-8.8826835250215869E-2</v>
      </c>
    </row>
    <row r="3282" spans="7:8" x14ac:dyDescent="0.3">
      <c r="G3282" s="24">
        <v>3270</v>
      </c>
      <c r="H3282">
        <f t="shared" ca="1" si="54"/>
        <v>8.1076277480064796E-2</v>
      </c>
    </row>
    <row r="3283" spans="7:8" x14ac:dyDescent="0.3">
      <c r="G3283" s="24">
        <v>3271</v>
      </c>
      <c r="H3283">
        <f t="shared" ca="1" si="54"/>
        <v>1.978672152771959E-2</v>
      </c>
    </row>
    <row r="3284" spans="7:8" x14ac:dyDescent="0.3">
      <c r="G3284" s="24">
        <v>3272</v>
      </c>
      <c r="H3284">
        <f t="shared" ca="1" si="54"/>
        <v>-8.4840554387094813E-2</v>
      </c>
    </row>
    <row r="3285" spans="7:8" x14ac:dyDescent="0.3">
      <c r="G3285" s="24">
        <v>3273</v>
      </c>
      <c r="H3285">
        <f t="shared" ca="1" si="54"/>
        <v>-5.8729336323492365E-2</v>
      </c>
    </row>
    <row r="3286" spans="7:8" x14ac:dyDescent="0.3">
      <c r="G3286" s="24">
        <v>3274</v>
      </c>
      <c r="H3286">
        <f t="shared" ca="1" si="54"/>
        <v>0.13275749458656758</v>
      </c>
    </row>
    <row r="3287" spans="7:8" x14ac:dyDescent="0.3">
      <c r="G3287" s="24">
        <v>3275</v>
      </c>
      <c r="H3287">
        <f t="shared" ca="1" si="54"/>
        <v>2.6690115899418481E-2</v>
      </c>
    </row>
    <row r="3288" spans="7:8" x14ac:dyDescent="0.3">
      <c r="G3288" s="24">
        <v>3276</v>
      </c>
      <c r="H3288">
        <f t="shared" ca="1" si="54"/>
        <v>-5.4495862677242511E-2</v>
      </c>
    </row>
    <row r="3289" spans="7:8" x14ac:dyDescent="0.3">
      <c r="G3289" s="24">
        <v>3277</v>
      </c>
      <c r="H3289">
        <f t="shared" ca="1" si="54"/>
        <v>-3.8445808977836858E-2</v>
      </c>
    </row>
    <row r="3290" spans="7:8" x14ac:dyDescent="0.3">
      <c r="G3290" s="24">
        <v>3278</v>
      </c>
      <c r="H3290">
        <f t="shared" ca="1" si="54"/>
        <v>-2.4028818045309881E-2</v>
      </c>
    </row>
    <row r="3291" spans="7:8" x14ac:dyDescent="0.3">
      <c r="G3291" s="24">
        <v>3279</v>
      </c>
      <c r="H3291">
        <f t="shared" ca="1" si="54"/>
        <v>5.6676378041613323E-2</v>
      </c>
    </row>
    <row r="3292" spans="7:8" x14ac:dyDescent="0.3">
      <c r="G3292" s="24">
        <v>3280</v>
      </c>
      <c r="H3292">
        <f t="shared" ca="1" si="54"/>
        <v>-8.7414740975868863E-2</v>
      </c>
    </row>
    <row r="3293" spans="7:8" x14ac:dyDescent="0.3">
      <c r="G3293" s="24">
        <v>3281</v>
      </c>
      <c r="H3293">
        <f t="shared" ca="1" si="54"/>
        <v>2.5625440353463438E-2</v>
      </c>
    </row>
    <row r="3294" spans="7:8" x14ac:dyDescent="0.3">
      <c r="G3294" s="24">
        <v>3282</v>
      </c>
      <c r="H3294">
        <f t="shared" ca="1" si="54"/>
        <v>1.707876743932428E-2</v>
      </c>
    </row>
    <row r="3295" spans="7:8" x14ac:dyDescent="0.3">
      <c r="G3295" s="24">
        <v>3283</v>
      </c>
      <c r="H3295">
        <f t="shared" ca="1" si="54"/>
        <v>-7.5558859469858006E-3</v>
      </c>
    </row>
    <row r="3296" spans="7:8" x14ac:dyDescent="0.3">
      <c r="G3296" s="24">
        <v>3284</v>
      </c>
      <c r="H3296">
        <f t="shared" ca="1" si="54"/>
        <v>-5.7534336424141942E-2</v>
      </c>
    </row>
    <row r="3297" spans="7:8" x14ac:dyDescent="0.3">
      <c r="G3297" s="24">
        <v>3285</v>
      </c>
      <c r="H3297">
        <f t="shared" ca="1" si="54"/>
        <v>3.8949088151045343E-2</v>
      </c>
    </row>
    <row r="3298" spans="7:8" x14ac:dyDescent="0.3">
      <c r="G3298" s="24">
        <v>3286</v>
      </c>
      <c r="H3298">
        <f t="shared" ca="1" si="54"/>
        <v>1.4559866395712736E-2</v>
      </c>
    </row>
    <row r="3299" spans="7:8" x14ac:dyDescent="0.3">
      <c r="G3299" s="24">
        <v>3287</v>
      </c>
      <c r="H3299">
        <f t="shared" ca="1" si="54"/>
        <v>-1.3519371279920627E-2</v>
      </c>
    </row>
    <row r="3300" spans="7:8" x14ac:dyDescent="0.3">
      <c r="G3300" s="24">
        <v>3288</v>
      </c>
      <c r="H3300">
        <f t="shared" ca="1" si="54"/>
        <v>-2.1270137268517394E-2</v>
      </c>
    </row>
    <row r="3301" spans="7:8" x14ac:dyDescent="0.3">
      <c r="G3301" s="24">
        <v>3289</v>
      </c>
      <c r="H3301">
        <f t="shared" ca="1" si="54"/>
        <v>0.15363691829999718</v>
      </c>
    </row>
    <row r="3302" spans="7:8" x14ac:dyDescent="0.3">
      <c r="G3302" s="24">
        <v>3290</v>
      </c>
      <c r="H3302">
        <f t="shared" ca="1" si="54"/>
        <v>0.12578157911124538</v>
      </c>
    </row>
    <row r="3303" spans="7:8" x14ac:dyDescent="0.3">
      <c r="G3303" s="24">
        <v>3291</v>
      </c>
      <c r="H3303">
        <f t="shared" ca="1" si="54"/>
        <v>6.5458734260950294E-2</v>
      </c>
    </row>
    <row r="3304" spans="7:8" x14ac:dyDescent="0.3">
      <c r="G3304" s="24">
        <v>3292</v>
      </c>
      <c r="H3304">
        <f t="shared" ca="1" si="54"/>
        <v>-7.8280917698611951E-2</v>
      </c>
    </row>
    <row r="3305" spans="7:8" x14ac:dyDescent="0.3">
      <c r="G3305" s="24">
        <v>3293</v>
      </c>
      <c r="H3305">
        <f t="shared" ca="1" si="54"/>
        <v>3.048808171881966E-2</v>
      </c>
    </row>
    <row r="3306" spans="7:8" x14ac:dyDescent="0.3">
      <c r="G3306" s="24">
        <v>3294</v>
      </c>
      <c r="H3306">
        <f t="shared" ca="1" si="54"/>
        <v>6.4673469390808008E-2</v>
      </c>
    </row>
    <row r="3307" spans="7:8" x14ac:dyDescent="0.3">
      <c r="G3307" s="24">
        <v>3295</v>
      </c>
      <c r="H3307">
        <f t="shared" ca="1" si="54"/>
        <v>-3.561714013911281E-2</v>
      </c>
    </row>
    <row r="3308" spans="7:8" x14ac:dyDescent="0.3">
      <c r="G3308" s="24">
        <v>3296</v>
      </c>
      <c r="H3308">
        <f t="shared" ca="1" si="54"/>
        <v>8.1814984988385311E-2</v>
      </c>
    </row>
    <row r="3309" spans="7:8" x14ac:dyDescent="0.3">
      <c r="G3309" s="24">
        <v>3297</v>
      </c>
      <c r="H3309">
        <f t="shared" ca="1" si="54"/>
        <v>5.3335118089839102E-2</v>
      </c>
    </row>
    <row r="3310" spans="7:8" x14ac:dyDescent="0.3">
      <c r="G3310" s="24">
        <v>3298</v>
      </c>
      <c r="H3310">
        <f t="shared" ca="1" si="54"/>
        <v>0.10707730787092828</v>
      </c>
    </row>
    <row r="3311" spans="7:8" x14ac:dyDescent="0.3">
      <c r="G3311" s="24">
        <v>3299</v>
      </c>
      <c r="H3311">
        <f t="shared" ca="1" si="54"/>
        <v>0.11205362269777688</v>
      </c>
    </row>
    <row r="3312" spans="7:8" x14ac:dyDescent="0.3">
      <c r="G3312" s="24">
        <v>3300</v>
      </c>
      <c r="H3312">
        <f t="shared" ca="1" si="54"/>
        <v>5.2942945590815776E-2</v>
      </c>
    </row>
    <row r="3313" spans="7:8" x14ac:dyDescent="0.3">
      <c r="G3313" s="24">
        <v>3301</v>
      </c>
      <c r="H3313">
        <f t="shared" ca="1" si="54"/>
        <v>1.0722688554824684E-2</v>
      </c>
    </row>
    <row r="3314" spans="7:8" x14ac:dyDescent="0.3">
      <c r="G3314" s="24">
        <v>3302</v>
      </c>
      <c r="H3314">
        <f t="shared" ca="1" si="54"/>
        <v>3.0683960425460788E-2</v>
      </c>
    </row>
    <row r="3315" spans="7:8" x14ac:dyDescent="0.3">
      <c r="G3315" s="24">
        <v>3303</v>
      </c>
      <c r="H3315">
        <f t="shared" ca="1" si="54"/>
        <v>-1.6597436408123195E-2</v>
      </c>
    </row>
    <row r="3316" spans="7:8" x14ac:dyDescent="0.3">
      <c r="G3316" s="24">
        <v>3304</v>
      </c>
      <c r="H3316">
        <f t="shared" ca="1" si="54"/>
        <v>-0.10999307594892484</v>
      </c>
    </row>
    <row r="3317" spans="7:8" x14ac:dyDescent="0.3">
      <c r="G3317" s="24">
        <v>3305</v>
      </c>
      <c r="H3317">
        <f t="shared" ca="1" si="54"/>
        <v>6.6556475468668982E-2</v>
      </c>
    </row>
    <row r="3318" spans="7:8" x14ac:dyDescent="0.3">
      <c r="G3318" s="24">
        <v>3306</v>
      </c>
      <c r="H3318">
        <f t="shared" ca="1" si="54"/>
        <v>6.8887118339714351E-2</v>
      </c>
    </row>
    <row r="3319" spans="7:8" x14ac:dyDescent="0.3">
      <c r="G3319" s="24">
        <v>3307</v>
      </c>
      <c r="H3319">
        <f t="shared" ca="1" si="54"/>
        <v>-3.4814971589667641E-2</v>
      </c>
    </row>
    <row r="3320" spans="7:8" x14ac:dyDescent="0.3">
      <c r="G3320" s="24">
        <v>3308</v>
      </c>
      <c r="H3320">
        <f t="shared" ca="1" si="54"/>
        <v>3.6266781329477443E-2</v>
      </c>
    </row>
    <row r="3321" spans="7:8" x14ac:dyDescent="0.3">
      <c r="G3321" s="24">
        <v>3309</v>
      </c>
      <c r="H3321">
        <f t="shared" ca="1" si="54"/>
        <v>3.8055583568757961E-2</v>
      </c>
    </row>
    <row r="3322" spans="7:8" x14ac:dyDescent="0.3">
      <c r="G3322" s="24">
        <v>3310</v>
      </c>
      <c r="H3322">
        <f t="shared" ca="1" si="54"/>
        <v>-1.6973677142090235E-2</v>
      </c>
    </row>
    <row r="3323" spans="7:8" x14ac:dyDescent="0.3">
      <c r="G3323" s="24">
        <v>3311</v>
      </c>
      <c r="H3323">
        <f t="shared" ca="1" si="54"/>
        <v>5.8179447837528188E-2</v>
      </c>
    </row>
    <row r="3324" spans="7:8" x14ac:dyDescent="0.3">
      <c r="G3324" s="24">
        <v>3312</v>
      </c>
      <c r="H3324">
        <f t="shared" ca="1" si="54"/>
        <v>-7.9105014684142771E-2</v>
      </c>
    </row>
    <row r="3325" spans="7:8" x14ac:dyDescent="0.3">
      <c r="G3325" s="24">
        <v>3313</v>
      </c>
      <c r="H3325">
        <f t="shared" ca="1" si="54"/>
        <v>0.12931370085714763</v>
      </c>
    </row>
    <row r="3326" spans="7:8" x14ac:dyDescent="0.3">
      <c r="G3326" s="24">
        <v>3314</v>
      </c>
      <c r="H3326">
        <f t="shared" ca="1" si="54"/>
        <v>6.6823738664153323E-2</v>
      </c>
    </row>
    <row r="3327" spans="7:8" x14ac:dyDescent="0.3">
      <c r="G3327" s="24">
        <v>3315</v>
      </c>
      <c r="H3327">
        <f t="shared" ca="1" si="54"/>
        <v>1.2903266059162684E-3</v>
      </c>
    </row>
    <row r="3328" spans="7:8" x14ac:dyDescent="0.3">
      <c r="G3328" s="24">
        <v>3316</v>
      </c>
      <c r="H3328">
        <f t="shared" ca="1" si="54"/>
        <v>-0.13633428570079623</v>
      </c>
    </row>
    <row r="3329" spans="7:8" x14ac:dyDescent="0.3">
      <c r="G3329" s="24">
        <v>3317</v>
      </c>
      <c r="H3329">
        <f t="shared" ca="1" si="54"/>
        <v>0.1122178328310747</v>
      </c>
    </row>
    <row r="3330" spans="7:8" x14ac:dyDescent="0.3">
      <c r="G3330" s="24">
        <v>3318</v>
      </c>
      <c r="H3330">
        <f t="shared" ca="1" si="54"/>
        <v>-6.0569337696332971E-2</v>
      </c>
    </row>
    <row r="3331" spans="7:8" x14ac:dyDescent="0.3">
      <c r="G3331" s="24">
        <v>3319</v>
      </c>
      <c r="H3331">
        <f t="shared" ca="1" si="54"/>
        <v>6.2101188326055032E-2</v>
      </c>
    </row>
    <row r="3332" spans="7:8" x14ac:dyDescent="0.3">
      <c r="G3332" s="24">
        <v>3320</v>
      </c>
      <c r="H3332">
        <f t="shared" ca="1" si="54"/>
        <v>-1.8753294253807441E-2</v>
      </c>
    </row>
    <row r="3333" spans="7:8" x14ac:dyDescent="0.3">
      <c r="G3333" s="24">
        <v>3321</v>
      </c>
      <c r="H3333">
        <f t="shared" ca="1" si="54"/>
        <v>-3.6704799819800009E-2</v>
      </c>
    </row>
    <row r="3334" spans="7:8" x14ac:dyDescent="0.3">
      <c r="G3334" s="24">
        <v>3322</v>
      </c>
      <c r="H3334">
        <f t="shared" ca="1" si="54"/>
        <v>5.9773544228486117E-2</v>
      </c>
    </row>
    <row r="3335" spans="7:8" x14ac:dyDescent="0.3">
      <c r="G3335" s="24">
        <v>3323</v>
      </c>
      <c r="H3335">
        <f t="shared" ca="1" si="54"/>
        <v>-6.1288564269167449E-2</v>
      </c>
    </row>
    <row r="3336" spans="7:8" x14ac:dyDescent="0.3">
      <c r="G3336" s="24">
        <v>3324</v>
      </c>
      <c r="H3336">
        <f t="shared" ca="1" si="54"/>
        <v>0.1042405805548151</v>
      </c>
    </row>
    <row r="3337" spans="7:8" x14ac:dyDescent="0.3">
      <c r="G3337" s="24">
        <v>3325</v>
      </c>
      <c r="H3337">
        <f t="shared" ca="1" si="54"/>
        <v>-7.7891765522842243E-2</v>
      </c>
    </row>
    <row r="3338" spans="7:8" x14ac:dyDescent="0.3">
      <c r="G3338" s="24">
        <v>3326</v>
      </c>
      <c r="H3338">
        <f t="shared" ca="1" si="54"/>
        <v>-3.5709967420496972E-3</v>
      </c>
    </row>
    <row r="3339" spans="7:8" x14ac:dyDescent="0.3">
      <c r="G3339" s="24">
        <v>3327</v>
      </c>
      <c r="H3339">
        <f t="shared" ca="1" si="54"/>
        <v>-1.977328976417423E-2</v>
      </c>
    </row>
    <row r="3340" spans="7:8" x14ac:dyDescent="0.3">
      <c r="G3340" s="24">
        <v>3328</v>
      </c>
      <c r="H3340">
        <f t="shared" ca="1" si="54"/>
        <v>-0.11707034817554517</v>
      </c>
    </row>
    <row r="3341" spans="7:8" x14ac:dyDescent="0.3">
      <c r="G3341" s="24">
        <v>3329</v>
      </c>
      <c r="H3341">
        <f t="shared" ca="1" si="54"/>
        <v>5.1827498799923592E-2</v>
      </c>
    </row>
    <row r="3342" spans="7:8" x14ac:dyDescent="0.3">
      <c r="G3342" s="24">
        <v>3330</v>
      </c>
      <c r="H3342">
        <f t="shared" ref="H3342:H3405" ca="1" si="55">_xlfn.NORM.INV(RAND(),N$13,N$14)</f>
        <v>-2.6301926826544399E-2</v>
      </c>
    </row>
    <row r="3343" spans="7:8" x14ac:dyDescent="0.3">
      <c r="G3343" s="24">
        <v>3331</v>
      </c>
      <c r="H3343">
        <f t="shared" ca="1" si="55"/>
        <v>-8.908776458730687E-2</v>
      </c>
    </row>
    <row r="3344" spans="7:8" x14ac:dyDescent="0.3">
      <c r="G3344" s="24">
        <v>3332</v>
      </c>
      <c r="H3344">
        <f t="shared" ca="1" si="55"/>
        <v>7.9863257667333931E-2</v>
      </c>
    </row>
    <row r="3345" spans="7:8" x14ac:dyDescent="0.3">
      <c r="G3345" s="24">
        <v>3333</v>
      </c>
      <c r="H3345">
        <f t="shared" ca="1" si="55"/>
        <v>1.3757661741516684E-2</v>
      </c>
    </row>
    <row r="3346" spans="7:8" x14ac:dyDescent="0.3">
      <c r="G3346" s="24">
        <v>3334</v>
      </c>
      <c r="H3346">
        <f t="shared" ca="1" si="55"/>
        <v>-2.3895043060869307E-2</v>
      </c>
    </row>
    <row r="3347" spans="7:8" x14ac:dyDescent="0.3">
      <c r="G3347" s="24">
        <v>3335</v>
      </c>
      <c r="H3347">
        <f t="shared" ca="1" si="55"/>
        <v>-4.3945696650609649E-2</v>
      </c>
    </row>
    <row r="3348" spans="7:8" x14ac:dyDescent="0.3">
      <c r="G3348" s="24">
        <v>3336</v>
      </c>
      <c r="H3348">
        <f t="shared" ca="1" si="55"/>
        <v>-9.6126173187401423E-3</v>
      </c>
    </row>
    <row r="3349" spans="7:8" x14ac:dyDescent="0.3">
      <c r="G3349" s="24">
        <v>3337</v>
      </c>
      <c r="H3349">
        <f t="shared" ca="1" si="55"/>
        <v>7.7823331236931567E-2</v>
      </c>
    </row>
    <row r="3350" spans="7:8" x14ac:dyDescent="0.3">
      <c r="G3350" s="24">
        <v>3338</v>
      </c>
      <c r="H3350">
        <f t="shared" ca="1" si="55"/>
        <v>3.8844319773530485E-2</v>
      </c>
    </row>
    <row r="3351" spans="7:8" x14ac:dyDescent="0.3">
      <c r="G3351" s="24">
        <v>3339</v>
      </c>
      <c r="H3351">
        <f t="shared" ca="1" si="55"/>
        <v>2.5980395570048102E-3</v>
      </c>
    </row>
    <row r="3352" spans="7:8" x14ac:dyDescent="0.3">
      <c r="G3352" s="24">
        <v>3340</v>
      </c>
      <c r="H3352">
        <f t="shared" ca="1" si="55"/>
        <v>-7.3208221297868983E-2</v>
      </c>
    </row>
    <row r="3353" spans="7:8" x14ac:dyDescent="0.3">
      <c r="G3353" s="24">
        <v>3341</v>
      </c>
      <c r="H3353">
        <f t="shared" ca="1" si="55"/>
        <v>8.157850560850952E-3</v>
      </c>
    </row>
    <row r="3354" spans="7:8" x14ac:dyDescent="0.3">
      <c r="G3354" s="24">
        <v>3342</v>
      </c>
      <c r="H3354">
        <f t="shared" ca="1" si="55"/>
        <v>1.0952000500320816E-2</v>
      </c>
    </row>
    <row r="3355" spans="7:8" x14ac:dyDescent="0.3">
      <c r="G3355" s="24">
        <v>3343</v>
      </c>
      <c r="H3355">
        <f t="shared" ca="1" si="55"/>
        <v>-2.7016422793649637E-2</v>
      </c>
    </row>
    <row r="3356" spans="7:8" x14ac:dyDescent="0.3">
      <c r="G3356" s="24">
        <v>3344</v>
      </c>
      <c r="H3356">
        <f t="shared" ca="1" si="55"/>
        <v>-4.5863079739259731E-2</v>
      </c>
    </row>
    <row r="3357" spans="7:8" x14ac:dyDescent="0.3">
      <c r="G3357" s="24">
        <v>3345</v>
      </c>
      <c r="H3357">
        <f t="shared" ca="1" si="55"/>
        <v>2.6865750518462978E-2</v>
      </c>
    </row>
    <row r="3358" spans="7:8" x14ac:dyDescent="0.3">
      <c r="G3358" s="24">
        <v>3346</v>
      </c>
      <c r="H3358">
        <f t="shared" ca="1" si="55"/>
        <v>5.0769397220497468E-2</v>
      </c>
    </row>
    <row r="3359" spans="7:8" x14ac:dyDescent="0.3">
      <c r="G3359" s="24">
        <v>3347</v>
      </c>
      <c r="H3359">
        <f t="shared" ca="1" si="55"/>
        <v>-2.6308048930728131E-2</v>
      </c>
    </row>
    <row r="3360" spans="7:8" x14ac:dyDescent="0.3">
      <c r="G3360" s="24">
        <v>3348</v>
      </c>
      <c r="H3360">
        <f t="shared" ca="1" si="55"/>
        <v>-0.10305485412922921</v>
      </c>
    </row>
    <row r="3361" spans="7:8" x14ac:dyDescent="0.3">
      <c r="G3361" s="24">
        <v>3349</v>
      </c>
      <c r="H3361">
        <f t="shared" ca="1" si="55"/>
        <v>7.4317078289808398E-3</v>
      </c>
    </row>
    <row r="3362" spans="7:8" x14ac:dyDescent="0.3">
      <c r="G3362" s="24">
        <v>3350</v>
      </c>
      <c r="H3362">
        <f t="shared" ca="1" si="55"/>
        <v>-9.5500316640565915E-3</v>
      </c>
    </row>
    <row r="3363" spans="7:8" x14ac:dyDescent="0.3">
      <c r="G3363" s="24">
        <v>3351</v>
      </c>
      <c r="H3363">
        <f t="shared" ca="1" si="55"/>
        <v>8.7820654960650404E-2</v>
      </c>
    </row>
    <row r="3364" spans="7:8" x14ac:dyDescent="0.3">
      <c r="G3364" s="24">
        <v>3352</v>
      </c>
      <c r="H3364">
        <f t="shared" ca="1" si="55"/>
        <v>2.1257894820081023E-2</v>
      </c>
    </row>
    <row r="3365" spans="7:8" x14ac:dyDescent="0.3">
      <c r="G3365" s="24">
        <v>3353</v>
      </c>
      <c r="H3365">
        <f t="shared" ca="1" si="55"/>
        <v>-2.5372680875759331E-2</v>
      </c>
    </row>
    <row r="3366" spans="7:8" x14ac:dyDescent="0.3">
      <c r="G3366" s="24">
        <v>3354</v>
      </c>
      <c r="H3366">
        <f t="shared" ca="1" si="55"/>
        <v>5.2688891346620546E-2</v>
      </c>
    </row>
    <row r="3367" spans="7:8" x14ac:dyDescent="0.3">
      <c r="G3367" s="24">
        <v>3355</v>
      </c>
      <c r="H3367">
        <f t="shared" ca="1" si="55"/>
        <v>-0.15195582982473471</v>
      </c>
    </row>
    <row r="3368" spans="7:8" x14ac:dyDescent="0.3">
      <c r="G3368" s="24">
        <v>3356</v>
      </c>
      <c r="H3368">
        <f t="shared" ca="1" si="55"/>
        <v>1.6565320869914867E-2</v>
      </c>
    </row>
    <row r="3369" spans="7:8" x14ac:dyDescent="0.3">
      <c r="G3369" s="24">
        <v>3357</v>
      </c>
      <c r="H3369">
        <f t="shared" ca="1" si="55"/>
        <v>-1.6391523252139873E-2</v>
      </c>
    </row>
    <row r="3370" spans="7:8" x14ac:dyDescent="0.3">
      <c r="G3370" s="24">
        <v>3358</v>
      </c>
      <c r="H3370">
        <f t="shared" ca="1" si="55"/>
        <v>-0.10024493043840166</v>
      </c>
    </row>
    <row r="3371" spans="7:8" x14ac:dyDescent="0.3">
      <c r="G3371" s="24">
        <v>3359</v>
      </c>
      <c r="H3371">
        <f t="shared" ca="1" si="55"/>
        <v>-3.8872496430834035E-2</v>
      </c>
    </row>
    <row r="3372" spans="7:8" x14ac:dyDescent="0.3">
      <c r="G3372" s="24">
        <v>3360</v>
      </c>
      <c r="H3372">
        <f t="shared" ca="1" si="55"/>
        <v>1.6123815246357524E-2</v>
      </c>
    </row>
    <row r="3373" spans="7:8" x14ac:dyDescent="0.3">
      <c r="G3373" s="24">
        <v>3361</v>
      </c>
      <c r="H3373">
        <f t="shared" ca="1" si="55"/>
        <v>-2.5543756646924244E-2</v>
      </c>
    </row>
    <row r="3374" spans="7:8" x14ac:dyDescent="0.3">
      <c r="G3374" s="24">
        <v>3362</v>
      </c>
      <c r="H3374">
        <f t="shared" ca="1" si="55"/>
        <v>5.8016086780749987E-2</v>
      </c>
    </row>
    <row r="3375" spans="7:8" x14ac:dyDescent="0.3">
      <c r="G3375" s="24">
        <v>3363</v>
      </c>
      <c r="H3375">
        <f t="shared" ca="1" si="55"/>
        <v>6.3792220098922894E-2</v>
      </c>
    </row>
    <row r="3376" spans="7:8" x14ac:dyDescent="0.3">
      <c r="G3376" s="24">
        <v>3364</v>
      </c>
      <c r="H3376">
        <f t="shared" ca="1" si="55"/>
        <v>2.354667050787616E-2</v>
      </c>
    </row>
    <row r="3377" spans="7:8" x14ac:dyDescent="0.3">
      <c r="G3377" s="24">
        <v>3365</v>
      </c>
      <c r="H3377">
        <f t="shared" ca="1" si="55"/>
        <v>6.0071892599687128E-2</v>
      </c>
    </row>
    <row r="3378" spans="7:8" x14ac:dyDescent="0.3">
      <c r="G3378" s="24">
        <v>3366</v>
      </c>
      <c r="H3378">
        <f t="shared" ca="1" si="55"/>
        <v>2.2999070826578615E-2</v>
      </c>
    </row>
    <row r="3379" spans="7:8" x14ac:dyDescent="0.3">
      <c r="G3379" s="24">
        <v>3367</v>
      </c>
      <c r="H3379">
        <f t="shared" ca="1" si="55"/>
        <v>3.7112033323281071E-2</v>
      </c>
    </row>
    <row r="3380" spans="7:8" x14ac:dyDescent="0.3">
      <c r="G3380" s="24">
        <v>3368</v>
      </c>
      <c r="H3380">
        <f t="shared" ca="1" si="55"/>
        <v>-0.1596564686132432</v>
      </c>
    </row>
    <row r="3381" spans="7:8" x14ac:dyDescent="0.3">
      <c r="G3381" s="24">
        <v>3369</v>
      </c>
      <c r="H3381">
        <f t="shared" ca="1" si="55"/>
        <v>0.12928013933033441</v>
      </c>
    </row>
    <row r="3382" spans="7:8" x14ac:dyDescent="0.3">
      <c r="G3382" s="24">
        <v>3370</v>
      </c>
      <c r="H3382">
        <f t="shared" ca="1" si="55"/>
        <v>-4.081999466327256E-2</v>
      </c>
    </row>
    <row r="3383" spans="7:8" x14ac:dyDescent="0.3">
      <c r="G3383" s="24">
        <v>3371</v>
      </c>
      <c r="H3383">
        <f t="shared" ca="1" si="55"/>
        <v>6.5515888090641683E-2</v>
      </c>
    </row>
    <row r="3384" spans="7:8" x14ac:dyDescent="0.3">
      <c r="G3384" s="24">
        <v>3372</v>
      </c>
      <c r="H3384">
        <f t="shared" ca="1" si="55"/>
        <v>-3.855098650374314E-2</v>
      </c>
    </row>
    <row r="3385" spans="7:8" x14ac:dyDescent="0.3">
      <c r="G3385" s="24">
        <v>3373</v>
      </c>
      <c r="H3385">
        <f t="shared" ca="1" si="55"/>
        <v>0.1067963730711442</v>
      </c>
    </row>
    <row r="3386" spans="7:8" x14ac:dyDescent="0.3">
      <c r="G3386" s="24">
        <v>3374</v>
      </c>
      <c r="H3386">
        <f t="shared" ca="1" si="55"/>
        <v>-0.13338451662673217</v>
      </c>
    </row>
    <row r="3387" spans="7:8" x14ac:dyDescent="0.3">
      <c r="G3387" s="24">
        <v>3375</v>
      </c>
      <c r="H3387">
        <f t="shared" ca="1" si="55"/>
        <v>8.5272937777579258E-2</v>
      </c>
    </row>
    <row r="3388" spans="7:8" x14ac:dyDescent="0.3">
      <c r="G3388" s="24">
        <v>3376</v>
      </c>
      <c r="H3388">
        <f t="shared" ca="1" si="55"/>
        <v>-4.5693182892514408E-2</v>
      </c>
    </row>
    <row r="3389" spans="7:8" x14ac:dyDescent="0.3">
      <c r="G3389" s="24">
        <v>3377</v>
      </c>
      <c r="H3389">
        <f t="shared" ca="1" si="55"/>
        <v>1.7550000137761665E-3</v>
      </c>
    </row>
    <row r="3390" spans="7:8" x14ac:dyDescent="0.3">
      <c r="G3390" s="24">
        <v>3378</v>
      </c>
      <c r="H3390">
        <f t="shared" ca="1" si="55"/>
        <v>0.11433872736945133</v>
      </c>
    </row>
    <row r="3391" spans="7:8" x14ac:dyDescent="0.3">
      <c r="G3391" s="24">
        <v>3379</v>
      </c>
      <c r="H3391">
        <f t="shared" ca="1" si="55"/>
        <v>-0.11157592211574638</v>
      </c>
    </row>
    <row r="3392" spans="7:8" x14ac:dyDescent="0.3">
      <c r="G3392" s="24">
        <v>3380</v>
      </c>
      <c r="H3392">
        <f t="shared" ca="1" si="55"/>
        <v>-1.6480814582590288E-2</v>
      </c>
    </row>
    <row r="3393" spans="7:8" x14ac:dyDescent="0.3">
      <c r="G3393" s="24">
        <v>3381</v>
      </c>
      <c r="H3393">
        <f t="shared" ca="1" si="55"/>
        <v>6.5176737652963224E-2</v>
      </c>
    </row>
    <row r="3394" spans="7:8" x14ac:dyDescent="0.3">
      <c r="G3394" s="24">
        <v>3382</v>
      </c>
      <c r="H3394">
        <f t="shared" ca="1" si="55"/>
        <v>-6.9929585465044238E-3</v>
      </c>
    </row>
    <row r="3395" spans="7:8" x14ac:dyDescent="0.3">
      <c r="G3395" s="24">
        <v>3383</v>
      </c>
      <c r="H3395">
        <f t="shared" ca="1" si="55"/>
        <v>7.8945247635543711E-2</v>
      </c>
    </row>
    <row r="3396" spans="7:8" x14ac:dyDescent="0.3">
      <c r="G3396" s="24">
        <v>3384</v>
      </c>
      <c r="H3396">
        <f t="shared" ca="1" si="55"/>
        <v>-0.12950562169511926</v>
      </c>
    </row>
    <row r="3397" spans="7:8" x14ac:dyDescent="0.3">
      <c r="G3397" s="24">
        <v>3385</v>
      </c>
      <c r="H3397">
        <f t="shared" ca="1" si="55"/>
        <v>-7.6842941559378417E-2</v>
      </c>
    </row>
    <row r="3398" spans="7:8" x14ac:dyDescent="0.3">
      <c r="G3398" s="24">
        <v>3386</v>
      </c>
      <c r="H3398">
        <f t="shared" ca="1" si="55"/>
        <v>2.0233820794514908E-2</v>
      </c>
    </row>
    <row r="3399" spans="7:8" x14ac:dyDescent="0.3">
      <c r="G3399" s="24">
        <v>3387</v>
      </c>
      <c r="H3399">
        <f t="shared" ca="1" si="55"/>
        <v>2.3278341217373422E-2</v>
      </c>
    </row>
    <row r="3400" spans="7:8" x14ac:dyDescent="0.3">
      <c r="G3400" s="24">
        <v>3388</v>
      </c>
      <c r="H3400">
        <f t="shared" ca="1" si="55"/>
        <v>0.11933401454296497</v>
      </c>
    </row>
    <row r="3401" spans="7:8" x14ac:dyDescent="0.3">
      <c r="G3401" s="24">
        <v>3389</v>
      </c>
      <c r="H3401">
        <f t="shared" ca="1" si="55"/>
        <v>3.0171183730621599E-2</v>
      </c>
    </row>
    <row r="3402" spans="7:8" x14ac:dyDescent="0.3">
      <c r="G3402" s="24">
        <v>3390</v>
      </c>
      <c r="H3402">
        <f t="shared" ca="1" si="55"/>
        <v>7.5743131259460736E-2</v>
      </c>
    </row>
    <row r="3403" spans="7:8" x14ac:dyDescent="0.3">
      <c r="G3403" s="24">
        <v>3391</v>
      </c>
      <c r="H3403">
        <f t="shared" ca="1" si="55"/>
        <v>4.1191830112214299E-2</v>
      </c>
    </row>
    <row r="3404" spans="7:8" x14ac:dyDescent="0.3">
      <c r="G3404" s="24">
        <v>3392</v>
      </c>
      <c r="H3404">
        <f t="shared" ca="1" si="55"/>
        <v>3.7780127308719463E-2</v>
      </c>
    </row>
    <row r="3405" spans="7:8" x14ac:dyDescent="0.3">
      <c r="G3405" s="24">
        <v>3393</v>
      </c>
      <c r="H3405">
        <f t="shared" ca="1" si="55"/>
        <v>6.189474396670893E-2</v>
      </c>
    </row>
    <row r="3406" spans="7:8" x14ac:dyDescent="0.3">
      <c r="G3406" s="24">
        <v>3394</v>
      </c>
      <c r="H3406">
        <f t="shared" ref="H3406:H3469" ca="1" si="56">_xlfn.NORM.INV(RAND(),N$13,N$14)</f>
        <v>3.6292851080097631E-2</v>
      </c>
    </row>
    <row r="3407" spans="7:8" x14ac:dyDescent="0.3">
      <c r="G3407" s="24">
        <v>3395</v>
      </c>
      <c r="H3407">
        <f t="shared" ca="1" si="56"/>
        <v>-4.706535323383184E-2</v>
      </c>
    </row>
    <row r="3408" spans="7:8" x14ac:dyDescent="0.3">
      <c r="G3408" s="24">
        <v>3396</v>
      </c>
      <c r="H3408">
        <f t="shared" ca="1" si="56"/>
        <v>9.4525268830604851E-3</v>
      </c>
    </row>
    <row r="3409" spans="7:8" x14ac:dyDescent="0.3">
      <c r="G3409" s="24">
        <v>3397</v>
      </c>
      <c r="H3409">
        <f t="shared" ca="1" si="56"/>
        <v>6.41794130533518E-2</v>
      </c>
    </row>
    <row r="3410" spans="7:8" x14ac:dyDescent="0.3">
      <c r="G3410" s="24">
        <v>3398</v>
      </c>
      <c r="H3410">
        <f t="shared" ca="1" si="56"/>
        <v>6.1618926234696721E-3</v>
      </c>
    </row>
    <row r="3411" spans="7:8" x14ac:dyDescent="0.3">
      <c r="G3411" s="24">
        <v>3399</v>
      </c>
      <c r="H3411">
        <f t="shared" ca="1" si="56"/>
        <v>-1.9904265152672917E-2</v>
      </c>
    </row>
    <row r="3412" spans="7:8" x14ac:dyDescent="0.3">
      <c r="G3412" s="24">
        <v>3400</v>
      </c>
      <c r="H3412">
        <f t="shared" ca="1" si="56"/>
        <v>6.0728646631417284E-2</v>
      </c>
    </row>
    <row r="3413" spans="7:8" x14ac:dyDescent="0.3">
      <c r="G3413" s="24">
        <v>3401</v>
      </c>
      <c r="H3413">
        <f t="shared" ca="1" si="56"/>
        <v>-2.3550000084833756E-2</v>
      </c>
    </row>
    <row r="3414" spans="7:8" x14ac:dyDescent="0.3">
      <c r="G3414" s="24">
        <v>3402</v>
      </c>
      <c r="H3414">
        <f t="shared" ca="1" si="56"/>
        <v>-3.964768404678666E-2</v>
      </c>
    </row>
    <row r="3415" spans="7:8" x14ac:dyDescent="0.3">
      <c r="G3415" s="24">
        <v>3403</v>
      </c>
      <c r="H3415">
        <f t="shared" ca="1" si="56"/>
        <v>1.3092674033641756E-4</v>
      </c>
    </row>
    <row r="3416" spans="7:8" x14ac:dyDescent="0.3">
      <c r="G3416" s="24">
        <v>3404</v>
      </c>
      <c r="H3416">
        <f t="shared" ca="1" si="56"/>
        <v>-4.5504110822324167E-2</v>
      </c>
    </row>
    <row r="3417" spans="7:8" x14ac:dyDescent="0.3">
      <c r="G3417" s="24">
        <v>3405</v>
      </c>
      <c r="H3417">
        <f t="shared" ca="1" si="56"/>
        <v>6.2606038289421698E-2</v>
      </c>
    </row>
    <row r="3418" spans="7:8" x14ac:dyDescent="0.3">
      <c r="G3418" s="24">
        <v>3406</v>
      </c>
      <c r="H3418">
        <f t="shared" ca="1" si="56"/>
        <v>1.7542252427272094E-2</v>
      </c>
    </row>
    <row r="3419" spans="7:8" x14ac:dyDescent="0.3">
      <c r="G3419" s="24">
        <v>3407</v>
      </c>
      <c r="H3419">
        <f t="shared" ca="1" si="56"/>
        <v>-1.1494697250454286E-2</v>
      </c>
    </row>
    <row r="3420" spans="7:8" x14ac:dyDescent="0.3">
      <c r="G3420" s="24">
        <v>3408</v>
      </c>
      <c r="H3420">
        <f t="shared" ca="1" si="56"/>
        <v>-5.5434827419794289E-2</v>
      </c>
    </row>
    <row r="3421" spans="7:8" x14ac:dyDescent="0.3">
      <c r="G3421" s="24">
        <v>3409</v>
      </c>
      <c r="H3421">
        <f t="shared" ca="1" si="56"/>
        <v>-7.7225407295678488E-3</v>
      </c>
    </row>
    <row r="3422" spans="7:8" x14ac:dyDescent="0.3">
      <c r="G3422" s="24">
        <v>3410</v>
      </c>
      <c r="H3422">
        <f t="shared" ca="1" si="56"/>
        <v>-2.0847045532276096E-2</v>
      </c>
    </row>
    <row r="3423" spans="7:8" x14ac:dyDescent="0.3">
      <c r="G3423" s="24">
        <v>3411</v>
      </c>
      <c r="H3423">
        <f t="shared" ca="1" si="56"/>
        <v>9.0194121818242788E-3</v>
      </c>
    </row>
    <row r="3424" spans="7:8" x14ac:dyDescent="0.3">
      <c r="G3424" s="24">
        <v>3412</v>
      </c>
      <c r="H3424">
        <f t="shared" ca="1" si="56"/>
        <v>-1.3710981701953232E-2</v>
      </c>
    </row>
    <row r="3425" spans="7:8" x14ac:dyDescent="0.3">
      <c r="G3425" s="24">
        <v>3413</v>
      </c>
      <c r="H3425">
        <f t="shared" ca="1" si="56"/>
        <v>1.4075717054362613E-2</v>
      </c>
    </row>
    <row r="3426" spans="7:8" x14ac:dyDescent="0.3">
      <c r="G3426" s="24">
        <v>3414</v>
      </c>
      <c r="H3426">
        <f t="shared" ca="1" si="56"/>
        <v>5.746553004235145E-3</v>
      </c>
    </row>
    <row r="3427" spans="7:8" x14ac:dyDescent="0.3">
      <c r="G3427" s="24">
        <v>3415</v>
      </c>
      <c r="H3427">
        <f t="shared" ca="1" si="56"/>
        <v>-1.7241397288501797E-2</v>
      </c>
    </row>
    <row r="3428" spans="7:8" x14ac:dyDescent="0.3">
      <c r="G3428" s="24">
        <v>3416</v>
      </c>
      <c r="H3428">
        <f t="shared" ca="1" si="56"/>
        <v>-3.4596089962627918E-2</v>
      </c>
    </row>
    <row r="3429" spans="7:8" x14ac:dyDescent="0.3">
      <c r="G3429" s="24">
        <v>3417</v>
      </c>
      <c r="H3429">
        <f t="shared" ca="1" si="56"/>
        <v>-6.7682555445172779E-2</v>
      </c>
    </row>
    <row r="3430" spans="7:8" x14ac:dyDescent="0.3">
      <c r="G3430" s="24">
        <v>3418</v>
      </c>
      <c r="H3430">
        <f t="shared" ca="1" si="56"/>
        <v>1.1742941220361885E-2</v>
      </c>
    </row>
    <row r="3431" spans="7:8" x14ac:dyDescent="0.3">
      <c r="G3431" s="24">
        <v>3419</v>
      </c>
      <c r="H3431">
        <f t="shared" ca="1" si="56"/>
        <v>-2.6546528806147621E-2</v>
      </c>
    </row>
    <row r="3432" spans="7:8" x14ac:dyDescent="0.3">
      <c r="G3432" s="24">
        <v>3420</v>
      </c>
      <c r="H3432">
        <f t="shared" ca="1" si="56"/>
        <v>-1.1072460207548393E-2</v>
      </c>
    </row>
    <row r="3433" spans="7:8" x14ac:dyDescent="0.3">
      <c r="G3433" s="24">
        <v>3421</v>
      </c>
      <c r="H3433">
        <f t="shared" ca="1" si="56"/>
        <v>3.8991743193507789E-2</v>
      </c>
    </row>
    <row r="3434" spans="7:8" x14ac:dyDescent="0.3">
      <c r="G3434" s="24">
        <v>3422</v>
      </c>
      <c r="H3434">
        <f t="shared" ca="1" si="56"/>
        <v>8.7113514136000936E-2</v>
      </c>
    </row>
    <row r="3435" spans="7:8" x14ac:dyDescent="0.3">
      <c r="G3435" s="24">
        <v>3423</v>
      </c>
      <c r="H3435">
        <f t="shared" ca="1" si="56"/>
        <v>-1.6889421042993031E-2</v>
      </c>
    </row>
    <row r="3436" spans="7:8" x14ac:dyDescent="0.3">
      <c r="G3436" s="24">
        <v>3424</v>
      </c>
      <c r="H3436">
        <f t="shared" ca="1" si="56"/>
        <v>-7.6808508822044635E-3</v>
      </c>
    </row>
    <row r="3437" spans="7:8" x14ac:dyDescent="0.3">
      <c r="G3437" s="24">
        <v>3425</v>
      </c>
      <c r="H3437">
        <f t="shared" ca="1" si="56"/>
        <v>4.093423706205487E-3</v>
      </c>
    </row>
    <row r="3438" spans="7:8" x14ac:dyDescent="0.3">
      <c r="G3438" s="24">
        <v>3426</v>
      </c>
      <c r="H3438">
        <f t="shared" ca="1" si="56"/>
        <v>-2.6192062764795669E-3</v>
      </c>
    </row>
    <row r="3439" spans="7:8" x14ac:dyDescent="0.3">
      <c r="G3439" s="24">
        <v>3427</v>
      </c>
      <c r="H3439">
        <f t="shared" ca="1" si="56"/>
        <v>1.3930770541617525E-2</v>
      </c>
    </row>
    <row r="3440" spans="7:8" x14ac:dyDescent="0.3">
      <c r="G3440" s="24">
        <v>3428</v>
      </c>
      <c r="H3440">
        <f t="shared" ca="1" si="56"/>
        <v>-6.1206924855288287E-2</v>
      </c>
    </row>
    <row r="3441" spans="7:8" x14ac:dyDescent="0.3">
      <c r="G3441" s="24">
        <v>3429</v>
      </c>
      <c r="H3441">
        <f t="shared" ca="1" si="56"/>
        <v>4.3369548007491904E-2</v>
      </c>
    </row>
    <row r="3442" spans="7:8" x14ac:dyDescent="0.3">
      <c r="G3442" s="24">
        <v>3430</v>
      </c>
      <c r="H3442">
        <f t="shared" ca="1" si="56"/>
        <v>4.2799532082196848E-2</v>
      </c>
    </row>
    <row r="3443" spans="7:8" x14ac:dyDescent="0.3">
      <c r="G3443" s="24">
        <v>3431</v>
      </c>
      <c r="H3443">
        <f t="shared" ca="1" si="56"/>
        <v>9.8921281506604092E-2</v>
      </c>
    </row>
    <row r="3444" spans="7:8" x14ac:dyDescent="0.3">
      <c r="G3444" s="24">
        <v>3432</v>
      </c>
      <c r="H3444">
        <f t="shared" ca="1" si="56"/>
        <v>7.3436063848054928E-2</v>
      </c>
    </row>
    <row r="3445" spans="7:8" x14ac:dyDescent="0.3">
      <c r="G3445" s="24">
        <v>3433</v>
      </c>
      <c r="H3445">
        <f t="shared" ca="1" si="56"/>
        <v>5.7951781679443136E-3</v>
      </c>
    </row>
    <row r="3446" spans="7:8" x14ac:dyDescent="0.3">
      <c r="G3446" s="24">
        <v>3434</v>
      </c>
      <c r="H3446">
        <f t="shared" ca="1" si="56"/>
        <v>-1.3879630730523552E-2</v>
      </c>
    </row>
    <row r="3447" spans="7:8" x14ac:dyDescent="0.3">
      <c r="G3447" s="24">
        <v>3435</v>
      </c>
      <c r="H3447">
        <f t="shared" ca="1" si="56"/>
        <v>3.858947913411381E-3</v>
      </c>
    </row>
    <row r="3448" spans="7:8" x14ac:dyDescent="0.3">
      <c r="G3448" s="24">
        <v>3436</v>
      </c>
      <c r="H3448">
        <f t="shared" ca="1" si="56"/>
        <v>-1.4087167973621105E-2</v>
      </c>
    </row>
    <row r="3449" spans="7:8" x14ac:dyDescent="0.3">
      <c r="G3449" s="24">
        <v>3437</v>
      </c>
      <c r="H3449">
        <f t="shared" ca="1" si="56"/>
        <v>-7.3008138877568296E-2</v>
      </c>
    </row>
    <row r="3450" spans="7:8" x14ac:dyDescent="0.3">
      <c r="G3450" s="24">
        <v>3438</v>
      </c>
      <c r="H3450">
        <f t="shared" ca="1" si="56"/>
        <v>-7.1177168065535826E-2</v>
      </c>
    </row>
    <row r="3451" spans="7:8" x14ac:dyDescent="0.3">
      <c r="G3451" s="24">
        <v>3439</v>
      </c>
      <c r="H3451">
        <f t="shared" ca="1" si="56"/>
        <v>3.918738475692092E-2</v>
      </c>
    </row>
    <row r="3452" spans="7:8" x14ac:dyDescent="0.3">
      <c r="G3452" s="24">
        <v>3440</v>
      </c>
      <c r="H3452">
        <f t="shared" ca="1" si="56"/>
        <v>-8.2992839530813076E-3</v>
      </c>
    </row>
    <row r="3453" spans="7:8" x14ac:dyDescent="0.3">
      <c r="G3453" s="24">
        <v>3441</v>
      </c>
      <c r="H3453">
        <f t="shared" ca="1" si="56"/>
        <v>-3.2512572375873947E-2</v>
      </c>
    </row>
    <row r="3454" spans="7:8" x14ac:dyDescent="0.3">
      <c r="G3454" s="24">
        <v>3442</v>
      </c>
      <c r="H3454">
        <f t="shared" ca="1" si="56"/>
        <v>2.5033339099673011E-2</v>
      </c>
    </row>
    <row r="3455" spans="7:8" x14ac:dyDescent="0.3">
      <c r="G3455" s="24">
        <v>3443</v>
      </c>
      <c r="H3455">
        <f t="shared" ca="1" si="56"/>
        <v>5.3336757570796735E-2</v>
      </c>
    </row>
    <row r="3456" spans="7:8" x14ac:dyDescent="0.3">
      <c r="G3456" s="24">
        <v>3444</v>
      </c>
      <c r="H3456">
        <f t="shared" ca="1" si="56"/>
        <v>1.6437432134790774E-2</v>
      </c>
    </row>
    <row r="3457" spans="7:8" x14ac:dyDescent="0.3">
      <c r="G3457" s="24">
        <v>3445</v>
      </c>
      <c r="H3457">
        <f t="shared" ca="1" si="56"/>
        <v>0.14612895932812159</v>
      </c>
    </row>
    <row r="3458" spans="7:8" x14ac:dyDescent="0.3">
      <c r="G3458" s="24">
        <v>3446</v>
      </c>
      <c r="H3458">
        <f t="shared" ca="1" si="56"/>
        <v>-1.2616153404887344E-2</v>
      </c>
    </row>
    <row r="3459" spans="7:8" x14ac:dyDescent="0.3">
      <c r="G3459" s="24">
        <v>3447</v>
      </c>
      <c r="H3459">
        <f t="shared" ca="1" si="56"/>
        <v>-8.3096787422218904E-2</v>
      </c>
    </row>
    <row r="3460" spans="7:8" x14ac:dyDescent="0.3">
      <c r="G3460" s="24">
        <v>3448</v>
      </c>
      <c r="H3460">
        <f t="shared" ca="1" si="56"/>
        <v>7.1576442959350034E-2</v>
      </c>
    </row>
    <row r="3461" spans="7:8" x14ac:dyDescent="0.3">
      <c r="G3461" s="24">
        <v>3449</v>
      </c>
      <c r="H3461">
        <f t="shared" ca="1" si="56"/>
        <v>1.3823998286826747E-2</v>
      </c>
    </row>
    <row r="3462" spans="7:8" x14ac:dyDescent="0.3">
      <c r="G3462" s="24">
        <v>3450</v>
      </c>
      <c r="H3462">
        <f t="shared" ca="1" si="56"/>
        <v>-2.1080794045572463E-3</v>
      </c>
    </row>
    <row r="3463" spans="7:8" x14ac:dyDescent="0.3">
      <c r="G3463" s="24">
        <v>3451</v>
      </c>
      <c r="H3463">
        <f t="shared" ca="1" si="56"/>
        <v>-7.7986081574702992E-2</v>
      </c>
    </row>
    <row r="3464" spans="7:8" x14ac:dyDescent="0.3">
      <c r="G3464" s="24">
        <v>3452</v>
      </c>
      <c r="H3464">
        <f t="shared" ca="1" si="56"/>
        <v>-1.4554937090230622E-2</v>
      </c>
    </row>
    <row r="3465" spans="7:8" x14ac:dyDescent="0.3">
      <c r="G3465" s="24">
        <v>3453</v>
      </c>
      <c r="H3465">
        <f t="shared" ca="1" si="56"/>
        <v>6.4979425300861648E-2</v>
      </c>
    </row>
    <row r="3466" spans="7:8" x14ac:dyDescent="0.3">
      <c r="G3466" s="24">
        <v>3454</v>
      </c>
      <c r="H3466">
        <f t="shared" ca="1" si="56"/>
        <v>-1.460348167564432E-2</v>
      </c>
    </row>
    <row r="3467" spans="7:8" x14ac:dyDescent="0.3">
      <c r="G3467" s="24">
        <v>3455</v>
      </c>
      <c r="H3467">
        <f t="shared" ca="1" si="56"/>
        <v>-2.6334767786048062E-2</v>
      </c>
    </row>
    <row r="3468" spans="7:8" x14ac:dyDescent="0.3">
      <c r="G3468" s="24">
        <v>3456</v>
      </c>
      <c r="H3468">
        <f t="shared" ca="1" si="56"/>
        <v>-6.4504975670668339E-3</v>
      </c>
    </row>
    <row r="3469" spans="7:8" x14ac:dyDescent="0.3">
      <c r="G3469" s="24">
        <v>3457</v>
      </c>
      <c r="H3469">
        <f t="shared" ca="1" si="56"/>
        <v>0.11193824289868758</v>
      </c>
    </row>
    <row r="3470" spans="7:8" x14ac:dyDescent="0.3">
      <c r="G3470" s="24">
        <v>3458</v>
      </c>
      <c r="H3470">
        <f t="shared" ref="H3470:H3533" ca="1" si="57">_xlfn.NORM.INV(RAND(),N$13,N$14)</f>
        <v>-1.4604980659051362E-2</v>
      </c>
    </row>
    <row r="3471" spans="7:8" x14ac:dyDescent="0.3">
      <c r="G3471" s="24">
        <v>3459</v>
      </c>
      <c r="H3471">
        <f t="shared" ca="1" si="57"/>
        <v>2.9730707437734868E-2</v>
      </c>
    </row>
    <row r="3472" spans="7:8" x14ac:dyDescent="0.3">
      <c r="G3472" s="24">
        <v>3460</v>
      </c>
      <c r="H3472">
        <f t="shared" ca="1" si="57"/>
        <v>1.93525928694212E-2</v>
      </c>
    </row>
    <row r="3473" spans="7:8" x14ac:dyDescent="0.3">
      <c r="G3473" s="24">
        <v>3461</v>
      </c>
      <c r="H3473">
        <f t="shared" ca="1" si="57"/>
        <v>5.1122421654444958E-2</v>
      </c>
    </row>
    <row r="3474" spans="7:8" x14ac:dyDescent="0.3">
      <c r="G3474" s="24">
        <v>3462</v>
      </c>
      <c r="H3474">
        <f t="shared" ca="1" si="57"/>
        <v>3.3865772719260806E-2</v>
      </c>
    </row>
    <row r="3475" spans="7:8" x14ac:dyDescent="0.3">
      <c r="G3475" s="24">
        <v>3463</v>
      </c>
      <c r="H3475">
        <f t="shared" ca="1" si="57"/>
        <v>-8.6595182030332465E-2</v>
      </c>
    </row>
    <row r="3476" spans="7:8" x14ac:dyDescent="0.3">
      <c r="G3476" s="24">
        <v>3464</v>
      </c>
      <c r="H3476">
        <f t="shared" ca="1" si="57"/>
        <v>1.7172864179195071E-2</v>
      </c>
    </row>
    <row r="3477" spans="7:8" x14ac:dyDescent="0.3">
      <c r="G3477" s="24">
        <v>3465</v>
      </c>
      <c r="H3477">
        <f t="shared" ca="1" si="57"/>
        <v>-8.5034535643224232E-2</v>
      </c>
    </row>
    <row r="3478" spans="7:8" x14ac:dyDescent="0.3">
      <c r="G3478" s="24">
        <v>3466</v>
      </c>
      <c r="H3478">
        <f t="shared" ca="1" si="57"/>
        <v>-0.14836835302445242</v>
      </c>
    </row>
    <row r="3479" spans="7:8" x14ac:dyDescent="0.3">
      <c r="G3479" s="24">
        <v>3467</v>
      </c>
      <c r="H3479">
        <f t="shared" ca="1" si="57"/>
        <v>3.9746067346398281E-2</v>
      </c>
    </row>
    <row r="3480" spans="7:8" x14ac:dyDescent="0.3">
      <c r="G3480" s="24">
        <v>3468</v>
      </c>
      <c r="H3480">
        <f t="shared" ca="1" si="57"/>
        <v>9.9043277376636929E-2</v>
      </c>
    </row>
    <row r="3481" spans="7:8" x14ac:dyDescent="0.3">
      <c r="G3481" s="24">
        <v>3469</v>
      </c>
      <c r="H3481">
        <f t="shared" ca="1" si="57"/>
        <v>-3.9625349253409423E-2</v>
      </c>
    </row>
    <row r="3482" spans="7:8" x14ac:dyDescent="0.3">
      <c r="G3482" s="24">
        <v>3470</v>
      </c>
      <c r="H3482">
        <f t="shared" ca="1" si="57"/>
        <v>-9.2503393146690843E-2</v>
      </c>
    </row>
    <row r="3483" spans="7:8" x14ac:dyDescent="0.3">
      <c r="G3483" s="24">
        <v>3471</v>
      </c>
      <c r="H3483">
        <f t="shared" ca="1" si="57"/>
        <v>4.8039351541328629E-2</v>
      </c>
    </row>
    <row r="3484" spans="7:8" x14ac:dyDescent="0.3">
      <c r="G3484" s="24">
        <v>3472</v>
      </c>
      <c r="H3484">
        <f t="shared" ca="1" si="57"/>
        <v>7.5005562984539267E-3</v>
      </c>
    </row>
    <row r="3485" spans="7:8" x14ac:dyDescent="0.3">
      <c r="G3485" s="24">
        <v>3473</v>
      </c>
      <c r="H3485">
        <f t="shared" ca="1" si="57"/>
        <v>-7.6554953519733196E-2</v>
      </c>
    </row>
    <row r="3486" spans="7:8" x14ac:dyDescent="0.3">
      <c r="G3486" s="24">
        <v>3474</v>
      </c>
      <c r="H3486">
        <f t="shared" ca="1" si="57"/>
        <v>-1.7811008714523673E-2</v>
      </c>
    </row>
    <row r="3487" spans="7:8" x14ac:dyDescent="0.3">
      <c r="G3487" s="24">
        <v>3475</v>
      </c>
      <c r="H3487">
        <f t="shared" ca="1" si="57"/>
        <v>-6.0926678163713353E-2</v>
      </c>
    </row>
    <row r="3488" spans="7:8" x14ac:dyDescent="0.3">
      <c r="G3488" s="24">
        <v>3476</v>
      </c>
      <c r="H3488">
        <f t="shared" ca="1" si="57"/>
        <v>-3.4130736662533363E-2</v>
      </c>
    </row>
    <row r="3489" spans="7:8" x14ac:dyDescent="0.3">
      <c r="G3489" s="24">
        <v>3477</v>
      </c>
      <c r="H3489">
        <f t="shared" ca="1" si="57"/>
        <v>8.2662648428026911E-2</v>
      </c>
    </row>
    <row r="3490" spans="7:8" x14ac:dyDescent="0.3">
      <c r="G3490" s="24">
        <v>3478</v>
      </c>
      <c r="H3490">
        <f t="shared" ca="1" si="57"/>
        <v>-0.16259771461650296</v>
      </c>
    </row>
    <row r="3491" spans="7:8" x14ac:dyDescent="0.3">
      <c r="G3491" s="24">
        <v>3479</v>
      </c>
      <c r="H3491">
        <f t="shared" ca="1" si="57"/>
        <v>-4.1547296606358863E-2</v>
      </c>
    </row>
    <row r="3492" spans="7:8" x14ac:dyDescent="0.3">
      <c r="G3492" s="24">
        <v>3480</v>
      </c>
      <c r="H3492">
        <f t="shared" ca="1" si="57"/>
        <v>-4.4851270024298479E-2</v>
      </c>
    </row>
    <row r="3493" spans="7:8" x14ac:dyDescent="0.3">
      <c r="G3493" s="24">
        <v>3481</v>
      </c>
      <c r="H3493">
        <f t="shared" ca="1" si="57"/>
        <v>-2.7726396569944356E-2</v>
      </c>
    </row>
    <row r="3494" spans="7:8" x14ac:dyDescent="0.3">
      <c r="G3494" s="24">
        <v>3482</v>
      </c>
      <c r="H3494">
        <f t="shared" ca="1" si="57"/>
        <v>-1.4092018280838888E-2</v>
      </c>
    </row>
    <row r="3495" spans="7:8" x14ac:dyDescent="0.3">
      <c r="G3495" s="24">
        <v>3483</v>
      </c>
      <c r="H3495">
        <f t="shared" ca="1" si="57"/>
        <v>2.6235522458207868E-2</v>
      </c>
    </row>
    <row r="3496" spans="7:8" x14ac:dyDescent="0.3">
      <c r="G3496" s="24">
        <v>3484</v>
      </c>
      <c r="H3496">
        <f t="shared" ca="1" si="57"/>
        <v>7.8750326777265161E-3</v>
      </c>
    </row>
    <row r="3497" spans="7:8" x14ac:dyDescent="0.3">
      <c r="G3497" s="24">
        <v>3485</v>
      </c>
      <c r="H3497">
        <f t="shared" ca="1" si="57"/>
        <v>7.1182419991721747E-3</v>
      </c>
    </row>
    <row r="3498" spans="7:8" x14ac:dyDescent="0.3">
      <c r="G3498" s="24">
        <v>3486</v>
      </c>
      <c r="H3498">
        <f t="shared" ca="1" si="57"/>
        <v>-6.540256147465455E-2</v>
      </c>
    </row>
    <row r="3499" spans="7:8" x14ac:dyDescent="0.3">
      <c r="G3499" s="24">
        <v>3487</v>
      </c>
      <c r="H3499">
        <f t="shared" ca="1" si="57"/>
        <v>-5.3769427892725701E-3</v>
      </c>
    </row>
    <row r="3500" spans="7:8" x14ac:dyDescent="0.3">
      <c r="G3500" s="24">
        <v>3488</v>
      </c>
      <c r="H3500">
        <f t="shared" ca="1" si="57"/>
        <v>-3.4982555196957706E-2</v>
      </c>
    </row>
    <row r="3501" spans="7:8" x14ac:dyDescent="0.3">
      <c r="G3501" s="24">
        <v>3489</v>
      </c>
      <c r="H3501">
        <f t="shared" ca="1" si="57"/>
        <v>-8.6099567870368723E-2</v>
      </c>
    </row>
    <row r="3502" spans="7:8" x14ac:dyDescent="0.3">
      <c r="G3502" s="24">
        <v>3490</v>
      </c>
      <c r="H3502">
        <f t="shared" ca="1" si="57"/>
        <v>3.9818955688558581E-2</v>
      </c>
    </row>
    <row r="3503" spans="7:8" x14ac:dyDescent="0.3">
      <c r="G3503" s="24">
        <v>3491</v>
      </c>
      <c r="H3503">
        <f t="shared" ca="1" si="57"/>
        <v>-1.4626560552274619E-2</v>
      </c>
    </row>
    <row r="3504" spans="7:8" x14ac:dyDescent="0.3">
      <c r="G3504" s="24">
        <v>3492</v>
      </c>
      <c r="H3504">
        <f t="shared" ca="1" si="57"/>
        <v>-8.2015300238363884E-2</v>
      </c>
    </row>
    <row r="3505" spans="7:8" x14ac:dyDescent="0.3">
      <c r="G3505" s="24">
        <v>3493</v>
      </c>
      <c r="H3505">
        <f t="shared" ca="1" si="57"/>
        <v>-3.7321120187476367E-2</v>
      </c>
    </row>
    <row r="3506" spans="7:8" x14ac:dyDescent="0.3">
      <c r="G3506" s="24">
        <v>3494</v>
      </c>
      <c r="H3506">
        <f t="shared" ca="1" si="57"/>
        <v>-4.8109424006538178E-2</v>
      </c>
    </row>
    <row r="3507" spans="7:8" x14ac:dyDescent="0.3">
      <c r="G3507" s="24">
        <v>3495</v>
      </c>
      <c r="H3507">
        <f t="shared" ca="1" si="57"/>
        <v>0.15167295689506924</v>
      </c>
    </row>
    <row r="3508" spans="7:8" x14ac:dyDescent="0.3">
      <c r="G3508" s="24">
        <v>3496</v>
      </c>
      <c r="H3508">
        <f t="shared" ca="1" si="57"/>
        <v>-0.10220145595193723</v>
      </c>
    </row>
    <row r="3509" spans="7:8" x14ac:dyDescent="0.3">
      <c r="G3509" s="24">
        <v>3497</v>
      </c>
      <c r="H3509">
        <f t="shared" ca="1" si="57"/>
        <v>-7.8149669084598486E-2</v>
      </c>
    </row>
    <row r="3510" spans="7:8" x14ac:dyDescent="0.3">
      <c r="G3510" s="24">
        <v>3498</v>
      </c>
      <c r="H3510">
        <f t="shared" ca="1" si="57"/>
        <v>1.9259571647120357E-2</v>
      </c>
    </row>
    <row r="3511" spans="7:8" x14ac:dyDescent="0.3">
      <c r="G3511" s="24">
        <v>3499</v>
      </c>
      <c r="H3511">
        <f t="shared" ca="1" si="57"/>
        <v>1.3074396527527048E-2</v>
      </c>
    </row>
    <row r="3512" spans="7:8" x14ac:dyDescent="0.3">
      <c r="G3512" s="24">
        <v>3500</v>
      </c>
      <c r="H3512">
        <f t="shared" ca="1" si="57"/>
        <v>-1.0897964216344097E-2</v>
      </c>
    </row>
    <row r="3513" spans="7:8" x14ac:dyDescent="0.3">
      <c r="G3513" s="24">
        <v>3501</v>
      </c>
      <c r="H3513">
        <f t="shared" ca="1" si="57"/>
        <v>6.0654972945277989E-2</v>
      </c>
    </row>
    <row r="3514" spans="7:8" x14ac:dyDescent="0.3">
      <c r="G3514" s="24">
        <v>3502</v>
      </c>
      <c r="H3514">
        <f t="shared" ca="1" si="57"/>
        <v>5.3441041925053466E-2</v>
      </c>
    </row>
    <row r="3515" spans="7:8" x14ac:dyDescent="0.3">
      <c r="G3515" s="24">
        <v>3503</v>
      </c>
      <c r="H3515">
        <f t="shared" ca="1" si="57"/>
        <v>0.19656418331834638</v>
      </c>
    </row>
    <row r="3516" spans="7:8" x14ac:dyDescent="0.3">
      <c r="G3516" s="24">
        <v>3504</v>
      </c>
      <c r="H3516">
        <f t="shared" ca="1" si="57"/>
        <v>-7.5204386594473316E-2</v>
      </c>
    </row>
    <row r="3517" spans="7:8" x14ac:dyDescent="0.3">
      <c r="G3517" s="24">
        <v>3505</v>
      </c>
      <c r="H3517">
        <f t="shared" ca="1" si="57"/>
        <v>-2.063354638438027E-2</v>
      </c>
    </row>
    <row r="3518" spans="7:8" x14ac:dyDescent="0.3">
      <c r="G3518" s="24">
        <v>3506</v>
      </c>
      <c r="H3518">
        <f t="shared" ca="1" si="57"/>
        <v>-2.1810762465103752E-2</v>
      </c>
    </row>
    <row r="3519" spans="7:8" x14ac:dyDescent="0.3">
      <c r="G3519" s="24">
        <v>3507</v>
      </c>
      <c r="H3519">
        <f t="shared" ca="1" si="57"/>
        <v>2.0032235435872035E-2</v>
      </c>
    </row>
    <row r="3520" spans="7:8" x14ac:dyDescent="0.3">
      <c r="G3520" s="24">
        <v>3508</v>
      </c>
      <c r="H3520">
        <f t="shared" ca="1" si="57"/>
        <v>4.3115789831169343E-2</v>
      </c>
    </row>
    <row r="3521" spans="7:8" x14ac:dyDescent="0.3">
      <c r="G3521" s="24">
        <v>3509</v>
      </c>
      <c r="H3521">
        <f t="shared" ca="1" si="57"/>
        <v>-3.0014831096963835E-2</v>
      </c>
    </row>
    <row r="3522" spans="7:8" x14ac:dyDescent="0.3">
      <c r="G3522" s="24">
        <v>3510</v>
      </c>
      <c r="H3522">
        <f t="shared" ca="1" si="57"/>
        <v>-3.2950006257469737E-2</v>
      </c>
    </row>
    <row r="3523" spans="7:8" x14ac:dyDescent="0.3">
      <c r="G3523" s="24">
        <v>3511</v>
      </c>
      <c r="H3523">
        <f t="shared" ca="1" si="57"/>
        <v>-1.4766655061863695E-2</v>
      </c>
    </row>
    <row r="3524" spans="7:8" x14ac:dyDescent="0.3">
      <c r="G3524" s="24">
        <v>3512</v>
      </c>
      <c r="H3524">
        <f t="shared" ca="1" si="57"/>
        <v>5.2426306511086457E-2</v>
      </c>
    </row>
    <row r="3525" spans="7:8" x14ac:dyDescent="0.3">
      <c r="G3525" s="24">
        <v>3513</v>
      </c>
      <c r="H3525">
        <f t="shared" ca="1" si="57"/>
        <v>3.6249909664526771E-2</v>
      </c>
    </row>
    <row r="3526" spans="7:8" x14ac:dyDescent="0.3">
      <c r="G3526" s="24">
        <v>3514</v>
      </c>
      <c r="H3526">
        <f t="shared" ca="1" si="57"/>
        <v>0.11105538772376902</v>
      </c>
    </row>
    <row r="3527" spans="7:8" x14ac:dyDescent="0.3">
      <c r="G3527" s="24">
        <v>3515</v>
      </c>
      <c r="H3527">
        <f t="shared" ca="1" si="57"/>
        <v>0.12112846826348191</v>
      </c>
    </row>
    <row r="3528" spans="7:8" x14ac:dyDescent="0.3">
      <c r="G3528" s="24">
        <v>3516</v>
      </c>
      <c r="H3528">
        <f t="shared" ca="1" si="57"/>
        <v>-7.3506824071317839E-2</v>
      </c>
    </row>
    <row r="3529" spans="7:8" x14ac:dyDescent="0.3">
      <c r="G3529" s="24">
        <v>3517</v>
      </c>
      <c r="H3529">
        <f t="shared" ca="1" si="57"/>
        <v>-2.8629602569773725E-2</v>
      </c>
    </row>
    <row r="3530" spans="7:8" x14ac:dyDescent="0.3">
      <c r="G3530" s="24">
        <v>3518</v>
      </c>
      <c r="H3530">
        <f t="shared" ca="1" si="57"/>
        <v>4.4007708920975414E-2</v>
      </c>
    </row>
    <row r="3531" spans="7:8" x14ac:dyDescent="0.3">
      <c r="G3531" s="24">
        <v>3519</v>
      </c>
      <c r="H3531">
        <f t="shared" ca="1" si="57"/>
        <v>9.7006633267097173E-2</v>
      </c>
    </row>
    <row r="3532" spans="7:8" x14ac:dyDescent="0.3">
      <c r="G3532" s="24">
        <v>3520</v>
      </c>
      <c r="H3532">
        <f t="shared" ca="1" si="57"/>
        <v>-6.5186236422475535E-2</v>
      </c>
    </row>
    <row r="3533" spans="7:8" x14ac:dyDescent="0.3">
      <c r="G3533" s="24">
        <v>3521</v>
      </c>
      <c r="H3533">
        <f t="shared" ca="1" si="57"/>
        <v>4.3151957571248456E-2</v>
      </c>
    </row>
    <row r="3534" spans="7:8" x14ac:dyDescent="0.3">
      <c r="G3534" s="24">
        <v>3522</v>
      </c>
      <c r="H3534">
        <f t="shared" ref="H3534:H3597" ca="1" si="58">_xlfn.NORM.INV(RAND(),N$13,N$14)</f>
        <v>5.3410876986414578E-2</v>
      </c>
    </row>
    <row r="3535" spans="7:8" x14ac:dyDescent="0.3">
      <c r="G3535" s="24">
        <v>3523</v>
      </c>
      <c r="H3535">
        <f t="shared" ca="1" si="58"/>
        <v>6.1620694434059757E-2</v>
      </c>
    </row>
    <row r="3536" spans="7:8" x14ac:dyDescent="0.3">
      <c r="G3536" s="24">
        <v>3524</v>
      </c>
      <c r="H3536">
        <f t="shared" ca="1" si="58"/>
        <v>3.5991848876280761E-3</v>
      </c>
    </row>
    <row r="3537" spans="7:8" x14ac:dyDescent="0.3">
      <c r="G3537" s="24">
        <v>3525</v>
      </c>
      <c r="H3537">
        <f t="shared" ca="1" si="58"/>
        <v>-2.3586392483129891E-2</v>
      </c>
    </row>
    <row r="3538" spans="7:8" x14ac:dyDescent="0.3">
      <c r="G3538" s="24">
        <v>3526</v>
      </c>
      <c r="H3538">
        <f t="shared" ca="1" si="58"/>
        <v>-3.2773359298343366E-2</v>
      </c>
    </row>
    <row r="3539" spans="7:8" x14ac:dyDescent="0.3">
      <c r="G3539" s="24">
        <v>3527</v>
      </c>
      <c r="H3539">
        <f t="shared" ca="1" si="58"/>
        <v>-5.7536965768677513E-2</v>
      </c>
    </row>
    <row r="3540" spans="7:8" x14ac:dyDescent="0.3">
      <c r="G3540" s="24">
        <v>3528</v>
      </c>
      <c r="H3540">
        <f t="shared" ca="1" si="58"/>
        <v>4.2197866106520494E-2</v>
      </c>
    </row>
    <row r="3541" spans="7:8" x14ac:dyDescent="0.3">
      <c r="G3541" s="24">
        <v>3529</v>
      </c>
      <c r="H3541">
        <f t="shared" ca="1" si="58"/>
        <v>9.2707281617903439E-2</v>
      </c>
    </row>
    <row r="3542" spans="7:8" x14ac:dyDescent="0.3">
      <c r="G3542" s="24">
        <v>3530</v>
      </c>
      <c r="H3542">
        <f t="shared" ca="1" si="58"/>
        <v>-2.8830510757932777E-3</v>
      </c>
    </row>
    <row r="3543" spans="7:8" x14ac:dyDescent="0.3">
      <c r="G3543" s="24">
        <v>3531</v>
      </c>
      <c r="H3543">
        <f t="shared" ca="1" si="58"/>
        <v>7.8393817389715861E-2</v>
      </c>
    </row>
    <row r="3544" spans="7:8" x14ac:dyDescent="0.3">
      <c r="G3544" s="24">
        <v>3532</v>
      </c>
      <c r="H3544">
        <f t="shared" ca="1" si="58"/>
        <v>3.2796999949069511E-2</v>
      </c>
    </row>
    <row r="3545" spans="7:8" x14ac:dyDescent="0.3">
      <c r="G3545" s="24">
        <v>3533</v>
      </c>
      <c r="H3545">
        <f t="shared" ca="1" si="58"/>
        <v>-6.8571214249356333E-2</v>
      </c>
    </row>
    <row r="3546" spans="7:8" x14ac:dyDescent="0.3">
      <c r="G3546" s="24">
        <v>3534</v>
      </c>
      <c r="H3546">
        <f t="shared" ca="1" si="58"/>
        <v>0.12270172195740055</v>
      </c>
    </row>
    <row r="3547" spans="7:8" x14ac:dyDescent="0.3">
      <c r="G3547" s="24">
        <v>3535</v>
      </c>
      <c r="H3547">
        <f t="shared" ca="1" si="58"/>
        <v>7.1037260595814958E-2</v>
      </c>
    </row>
    <row r="3548" spans="7:8" x14ac:dyDescent="0.3">
      <c r="G3548" s="24">
        <v>3536</v>
      </c>
      <c r="H3548">
        <f t="shared" ca="1" si="58"/>
        <v>7.609886938541767E-2</v>
      </c>
    </row>
    <row r="3549" spans="7:8" x14ac:dyDescent="0.3">
      <c r="G3549" s="24">
        <v>3537</v>
      </c>
      <c r="H3549">
        <f t="shared" ca="1" si="58"/>
        <v>-6.4565534059059501E-2</v>
      </c>
    </row>
    <row r="3550" spans="7:8" x14ac:dyDescent="0.3">
      <c r="G3550" s="24">
        <v>3538</v>
      </c>
      <c r="H3550">
        <f t="shared" ca="1" si="58"/>
        <v>-7.3672257041983144E-2</v>
      </c>
    </row>
    <row r="3551" spans="7:8" x14ac:dyDescent="0.3">
      <c r="G3551" s="24">
        <v>3539</v>
      </c>
      <c r="H3551">
        <f t="shared" ca="1" si="58"/>
        <v>-5.3940648373813939E-2</v>
      </c>
    </row>
    <row r="3552" spans="7:8" x14ac:dyDescent="0.3">
      <c r="G3552" s="24">
        <v>3540</v>
      </c>
      <c r="H3552">
        <f t="shared" ca="1" si="58"/>
        <v>7.3360870860119262E-2</v>
      </c>
    </row>
    <row r="3553" spans="7:8" x14ac:dyDescent="0.3">
      <c r="G3553" s="24">
        <v>3541</v>
      </c>
      <c r="H3553">
        <f t="shared" ca="1" si="58"/>
        <v>-0.11139235647349685</v>
      </c>
    </row>
    <row r="3554" spans="7:8" x14ac:dyDescent="0.3">
      <c r="G3554" s="24">
        <v>3542</v>
      </c>
      <c r="H3554">
        <f t="shared" ca="1" si="58"/>
        <v>-0.16191034935575999</v>
      </c>
    </row>
    <row r="3555" spans="7:8" x14ac:dyDescent="0.3">
      <c r="G3555" s="24">
        <v>3543</v>
      </c>
      <c r="H3555">
        <f t="shared" ca="1" si="58"/>
        <v>3.4298721622338768E-2</v>
      </c>
    </row>
    <row r="3556" spans="7:8" x14ac:dyDescent="0.3">
      <c r="G3556" s="24">
        <v>3544</v>
      </c>
      <c r="H3556">
        <f t="shared" ca="1" si="58"/>
        <v>4.796110903066618E-2</v>
      </c>
    </row>
    <row r="3557" spans="7:8" x14ac:dyDescent="0.3">
      <c r="G3557" s="24">
        <v>3545</v>
      </c>
      <c r="H3557">
        <f t="shared" ca="1" si="58"/>
        <v>2.3925195404055754E-2</v>
      </c>
    </row>
    <row r="3558" spans="7:8" x14ac:dyDescent="0.3">
      <c r="G3558" s="24">
        <v>3546</v>
      </c>
      <c r="H3558">
        <f t="shared" ca="1" si="58"/>
        <v>-3.7447658769116959E-2</v>
      </c>
    </row>
    <row r="3559" spans="7:8" x14ac:dyDescent="0.3">
      <c r="G3559" s="24">
        <v>3547</v>
      </c>
      <c r="H3559">
        <f t="shared" ca="1" si="58"/>
        <v>7.401251917915487E-2</v>
      </c>
    </row>
    <row r="3560" spans="7:8" x14ac:dyDescent="0.3">
      <c r="G3560" s="24">
        <v>3548</v>
      </c>
      <c r="H3560">
        <f t="shared" ca="1" si="58"/>
        <v>-7.3825532551602555E-2</v>
      </c>
    </row>
    <row r="3561" spans="7:8" x14ac:dyDescent="0.3">
      <c r="G3561" s="24">
        <v>3549</v>
      </c>
      <c r="H3561">
        <f t="shared" ca="1" si="58"/>
        <v>1.8841511088368221E-2</v>
      </c>
    </row>
    <row r="3562" spans="7:8" x14ac:dyDescent="0.3">
      <c r="G3562" s="24">
        <v>3550</v>
      </c>
      <c r="H3562">
        <f t="shared" ca="1" si="58"/>
        <v>-9.0874407409508612E-2</v>
      </c>
    </row>
    <row r="3563" spans="7:8" x14ac:dyDescent="0.3">
      <c r="G3563" s="24">
        <v>3551</v>
      </c>
      <c r="H3563">
        <f t="shared" ca="1" si="58"/>
        <v>-2.9619390285827534E-2</v>
      </c>
    </row>
    <row r="3564" spans="7:8" x14ac:dyDescent="0.3">
      <c r="G3564" s="24">
        <v>3552</v>
      </c>
      <c r="H3564">
        <f t="shared" ca="1" si="58"/>
        <v>-5.4415087078986943E-2</v>
      </c>
    </row>
    <row r="3565" spans="7:8" x14ac:dyDescent="0.3">
      <c r="G3565" s="24">
        <v>3553</v>
      </c>
      <c r="H3565">
        <f t="shared" ca="1" si="58"/>
        <v>-6.9870466801484885E-2</v>
      </c>
    </row>
    <row r="3566" spans="7:8" x14ac:dyDescent="0.3">
      <c r="G3566" s="24">
        <v>3554</v>
      </c>
      <c r="H3566">
        <f t="shared" ca="1" si="58"/>
        <v>8.1859092721100035E-2</v>
      </c>
    </row>
    <row r="3567" spans="7:8" x14ac:dyDescent="0.3">
      <c r="G3567" s="24">
        <v>3555</v>
      </c>
      <c r="H3567">
        <f t="shared" ca="1" si="58"/>
        <v>-0.11389140587544662</v>
      </c>
    </row>
    <row r="3568" spans="7:8" x14ac:dyDescent="0.3">
      <c r="G3568" s="24">
        <v>3556</v>
      </c>
      <c r="H3568">
        <f t="shared" ca="1" si="58"/>
        <v>9.2840178290501174E-2</v>
      </c>
    </row>
    <row r="3569" spans="7:8" x14ac:dyDescent="0.3">
      <c r="G3569" s="24">
        <v>3557</v>
      </c>
      <c r="H3569">
        <f t="shared" ca="1" si="58"/>
        <v>-4.6349107236562277E-2</v>
      </c>
    </row>
    <row r="3570" spans="7:8" x14ac:dyDescent="0.3">
      <c r="G3570" s="24">
        <v>3558</v>
      </c>
      <c r="H3570">
        <f t="shared" ca="1" si="58"/>
        <v>1.8488136782464266E-2</v>
      </c>
    </row>
    <row r="3571" spans="7:8" x14ac:dyDescent="0.3">
      <c r="G3571" s="24">
        <v>3559</v>
      </c>
      <c r="H3571">
        <f t="shared" ca="1" si="58"/>
        <v>-4.5977888169882679E-2</v>
      </c>
    </row>
    <row r="3572" spans="7:8" x14ac:dyDescent="0.3">
      <c r="G3572" s="24">
        <v>3560</v>
      </c>
      <c r="H3572">
        <f t="shared" ca="1" si="58"/>
        <v>-1.1617495404051853E-2</v>
      </c>
    </row>
    <row r="3573" spans="7:8" x14ac:dyDescent="0.3">
      <c r="G3573" s="24">
        <v>3561</v>
      </c>
      <c r="H3573">
        <f t="shared" ca="1" si="58"/>
        <v>1.8536641894083036E-2</v>
      </c>
    </row>
    <row r="3574" spans="7:8" x14ac:dyDescent="0.3">
      <c r="G3574" s="24">
        <v>3562</v>
      </c>
      <c r="H3574">
        <f t="shared" ca="1" si="58"/>
        <v>-1.2128333140163875E-2</v>
      </c>
    </row>
    <row r="3575" spans="7:8" x14ac:dyDescent="0.3">
      <c r="G3575" s="24">
        <v>3563</v>
      </c>
      <c r="H3575">
        <f t="shared" ca="1" si="58"/>
        <v>8.3526631990847658E-2</v>
      </c>
    </row>
    <row r="3576" spans="7:8" x14ac:dyDescent="0.3">
      <c r="G3576" s="24">
        <v>3564</v>
      </c>
      <c r="H3576">
        <f t="shared" ca="1" si="58"/>
        <v>5.2709287125384037E-2</v>
      </c>
    </row>
    <row r="3577" spans="7:8" x14ac:dyDescent="0.3">
      <c r="G3577" s="24">
        <v>3565</v>
      </c>
      <c r="H3577">
        <f t="shared" ca="1" si="58"/>
        <v>-9.325461178406648E-2</v>
      </c>
    </row>
    <row r="3578" spans="7:8" x14ac:dyDescent="0.3">
      <c r="G3578" s="24">
        <v>3566</v>
      </c>
      <c r="H3578">
        <f t="shared" ca="1" si="58"/>
        <v>2.900596350736704E-2</v>
      </c>
    </row>
    <row r="3579" spans="7:8" x14ac:dyDescent="0.3">
      <c r="G3579" s="24">
        <v>3567</v>
      </c>
      <c r="H3579">
        <f t="shared" ca="1" si="58"/>
        <v>-5.3959276259815815E-2</v>
      </c>
    </row>
    <row r="3580" spans="7:8" x14ac:dyDescent="0.3">
      <c r="G3580" s="24">
        <v>3568</v>
      </c>
      <c r="H3580">
        <f t="shared" ca="1" si="58"/>
        <v>0.17474323224675875</v>
      </c>
    </row>
    <row r="3581" spans="7:8" x14ac:dyDescent="0.3">
      <c r="G3581" s="24">
        <v>3569</v>
      </c>
      <c r="H3581">
        <f t="shared" ca="1" si="58"/>
        <v>-0.14406632474935974</v>
      </c>
    </row>
    <row r="3582" spans="7:8" x14ac:dyDescent="0.3">
      <c r="G3582" s="24">
        <v>3570</v>
      </c>
      <c r="H3582">
        <f t="shared" ca="1" si="58"/>
        <v>3.6153112252357442E-2</v>
      </c>
    </row>
    <row r="3583" spans="7:8" x14ac:dyDescent="0.3">
      <c r="G3583" s="24">
        <v>3571</v>
      </c>
      <c r="H3583">
        <f t="shared" ca="1" si="58"/>
        <v>-4.0222811967622479E-2</v>
      </c>
    </row>
    <row r="3584" spans="7:8" x14ac:dyDescent="0.3">
      <c r="G3584" s="24">
        <v>3572</v>
      </c>
      <c r="H3584">
        <f t="shared" ca="1" si="58"/>
        <v>9.979870437204727E-2</v>
      </c>
    </row>
    <row r="3585" spans="7:8" x14ac:dyDescent="0.3">
      <c r="G3585" s="24">
        <v>3573</v>
      </c>
      <c r="H3585">
        <f t="shared" ca="1" si="58"/>
        <v>-4.9580874950540345E-2</v>
      </c>
    </row>
    <row r="3586" spans="7:8" x14ac:dyDescent="0.3">
      <c r="G3586" s="24">
        <v>3574</v>
      </c>
      <c r="H3586">
        <f t="shared" ca="1" si="58"/>
        <v>-6.4006602606090021E-2</v>
      </c>
    </row>
    <row r="3587" spans="7:8" x14ac:dyDescent="0.3">
      <c r="G3587" s="24">
        <v>3575</v>
      </c>
      <c r="H3587">
        <f t="shared" ca="1" si="58"/>
        <v>0.12020837319689531</v>
      </c>
    </row>
    <row r="3588" spans="7:8" x14ac:dyDescent="0.3">
      <c r="G3588" s="24">
        <v>3576</v>
      </c>
      <c r="H3588">
        <f t="shared" ca="1" si="58"/>
        <v>-4.881560807349513E-2</v>
      </c>
    </row>
    <row r="3589" spans="7:8" x14ac:dyDescent="0.3">
      <c r="G3589" s="24">
        <v>3577</v>
      </c>
      <c r="H3589">
        <f t="shared" ca="1" si="58"/>
        <v>6.5882369193562773E-2</v>
      </c>
    </row>
    <row r="3590" spans="7:8" x14ac:dyDescent="0.3">
      <c r="G3590" s="24">
        <v>3578</v>
      </c>
      <c r="H3590">
        <f t="shared" ca="1" si="58"/>
        <v>-3.1007654169859459E-2</v>
      </c>
    </row>
    <row r="3591" spans="7:8" x14ac:dyDescent="0.3">
      <c r="G3591" s="24">
        <v>3579</v>
      </c>
      <c r="H3591">
        <f t="shared" ca="1" si="58"/>
        <v>-0.15610571973514989</v>
      </c>
    </row>
    <row r="3592" spans="7:8" x14ac:dyDescent="0.3">
      <c r="G3592" s="24">
        <v>3580</v>
      </c>
      <c r="H3592">
        <f t="shared" ca="1" si="58"/>
        <v>0.10003413616231294</v>
      </c>
    </row>
    <row r="3593" spans="7:8" x14ac:dyDescent="0.3">
      <c r="G3593" s="24">
        <v>3581</v>
      </c>
      <c r="H3593">
        <f t="shared" ca="1" si="58"/>
        <v>-7.3014097166786751E-2</v>
      </c>
    </row>
    <row r="3594" spans="7:8" x14ac:dyDescent="0.3">
      <c r="G3594" s="24">
        <v>3582</v>
      </c>
      <c r="H3594">
        <f t="shared" ca="1" si="58"/>
        <v>6.4726170737134936E-2</v>
      </c>
    </row>
    <row r="3595" spans="7:8" x14ac:dyDescent="0.3">
      <c r="G3595" s="24">
        <v>3583</v>
      </c>
      <c r="H3595">
        <f t="shared" ca="1" si="58"/>
        <v>-0.10838713261777701</v>
      </c>
    </row>
    <row r="3596" spans="7:8" x14ac:dyDescent="0.3">
      <c r="G3596" s="24">
        <v>3584</v>
      </c>
      <c r="H3596">
        <f t="shared" ca="1" si="58"/>
        <v>9.0621391315528002E-2</v>
      </c>
    </row>
    <row r="3597" spans="7:8" x14ac:dyDescent="0.3">
      <c r="G3597" s="24">
        <v>3585</v>
      </c>
      <c r="H3597">
        <f t="shared" ca="1" si="58"/>
        <v>6.3783034203566055E-2</v>
      </c>
    </row>
    <row r="3598" spans="7:8" x14ac:dyDescent="0.3">
      <c r="G3598" s="24">
        <v>3586</v>
      </c>
      <c r="H3598">
        <f t="shared" ref="H3598:H3661" ca="1" si="59">_xlfn.NORM.INV(RAND(),N$13,N$14)</f>
        <v>5.6431029634443117E-2</v>
      </c>
    </row>
    <row r="3599" spans="7:8" x14ac:dyDescent="0.3">
      <c r="G3599" s="24">
        <v>3587</v>
      </c>
      <c r="H3599">
        <f t="shared" ca="1" si="59"/>
        <v>7.8116159520700848E-2</v>
      </c>
    </row>
    <row r="3600" spans="7:8" x14ac:dyDescent="0.3">
      <c r="G3600" s="24">
        <v>3588</v>
      </c>
      <c r="H3600">
        <f t="shared" ca="1" si="59"/>
        <v>1.0743273651519045E-2</v>
      </c>
    </row>
    <row r="3601" spans="7:8" x14ac:dyDescent="0.3">
      <c r="G3601" s="24">
        <v>3589</v>
      </c>
      <c r="H3601">
        <f t="shared" ca="1" si="59"/>
        <v>0.13427134366333135</v>
      </c>
    </row>
    <row r="3602" spans="7:8" x14ac:dyDescent="0.3">
      <c r="G3602" s="24">
        <v>3590</v>
      </c>
      <c r="H3602">
        <f t="shared" ca="1" si="59"/>
        <v>-1.3784024240072346E-2</v>
      </c>
    </row>
    <row r="3603" spans="7:8" x14ac:dyDescent="0.3">
      <c r="G3603" s="24">
        <v>3591</v>
      </c>
      <c r="H3603">
        <f t="shared" ca="1" si="59"/>
        <v>0.19993867473209725</v>
      </c>
    </row>
    <row r="3604" spans="7:8" x14ac:dyDescent="0.3">
      <c r="G3604" s="24">
        <v>3592</v>
      </c>
      <c r="H3604">
        <f t="shared" ca="1" si="59"/>
        <v>4.4222633088183728E-2</v>
      </c>
    </row>
    <row r="3605" spans="7:8" x14ac:dyDescent="0.3">
      <c r="G3605" s="24">
        <v>3593</v>
      </c>
      <c r="H3605">
        <f t="shared" ca="1" si="59"/>
        <v>0.10165854664850028</v>
      </c>
    </row>
    <row r="3606" spans="7:8" x14ac:dyDescent="0.3">
      <c r="G3606" s="24">
        <v>3594</v>
      </c>
      <c r="H3606">
        <f t="shared" ca="1" si="59"/>
        <v>3.3203602372989291E-2</v>
      </c>
    </row>
    <row r="3607" spans="7:8" x14ac:dyDescent="0.3">
      <c r="G3607" s="24">
        <v>3595</v>
      </c>
      <c r="H3607">
        <f t="shared" ca="1" si="59"/>
        <v>3.0602190917037662E-2</v>
      </c>
    </row>
    <row r="3608" spans="7:8" x14ac:dyDescent="0.3">
      <c r="G3608" s="24">
        <v>3596</v>
      </c>
      <c r="H3608">
        <f t="shared" ca="1" si="59"/>
        <v>4.8641165097820106E-2</v>
      </c>
    </row>
    <row r="3609" spans="7:8" x14ac:dyDescent="0.3">
      <c r="G3609" s="24">
        <v>3597</v>
      </c>
      <c r="H3609">
        <f t="shared" ca="1" si="59"/>
        <v>-0.11122443705570849</v>
      </c>
    </row>
    <row r="3610" spans="7:8" x14ac:dyDescent="0.3">
      <c r="G3610" s="24">
        <v>3598</v>
      </c>
      <c r="H3610">
        <f t="shared" ca="1" si="59"/>
        <v>4.3468560648389859E-2</v>
      </c>
    </row>
    <row r="3611" spans="7:8" x14ac:dyDescent="0.3">
      <c r="G3611" s="24">
        <v>3599</v>
      </c>
      <c r="H3611">
        <f t="shared" ca="1" si="59"/>
        <v>7.1919144151031553E-2</v>
      </c>
    </row>
    <row r="3612" spans="7:8" x14ac:dyDescent="0.3">
      <c r="G3612" s="24">
        <v>3600</v>
      </c>
      <c r="H3612">
        <f t="shared" ca="1" si="59"/>
        <v>-6.9601505008784911E-2</v>
      </c>
    </row>
    <row r="3613" spans="7:8" x14ac:dyDescent="0.3">
      <c r="G3613" s="24">
        <v>3601</v>
      </c>
      <c r="H3613">
        <f t="shared" ca="1" si="59"/>
        <v>3.7056929851240735E-4</v>
      </c>
    </row>
    <row r="3614" spans="7:8" x14ac:dyDescent="0.3">
      <c r="G3614" s="24">
        <v>3602</v>
      </c>
      <c r="H3614">
        <f t="shared" ca="1" si="59"/>
        <v>8.2336797709530757E-2</v>
      </c>
    </row>
    <row r="3615" spans="7:8" x14ac:dyDescent="0.3">
      <c r="G3615" s="24">
        <v>3603</v>
      </c>
      <c r="H3615">
        <f t="shared" ca="1" si="59"/>
        <v>9.9692243444185355E-2</v>
      </c>
    </row>
    <row r="3616" spans="7:8" x14ac:dyDescent="0.3">
      <c r="G3616" s="24">
        <v>3604</v>
      </c>
      <c r="H3616">
        <f t="shared" ca="1" si="59"/>
        <v>-0.10595222699134378</v>
      </c>
    </row>
    <row r="3617" spans="7:8" x14ac:dyDescent="0.3">
      <c r="G3617" s="24">
        <v>3605</v>
      </c>
      <c r="H3617">
        <f t="shared" ca="1" si="59"/>
        <v>-3.9759330540931712E-2</v>
      </c>
    </row>
    <row r="3618" spans="7:8" x14ac:dyDescent="0.3">
      <c r="G3618" s="24">
        <v>3606</v>
      </c>
      <c r="H3618">
        <f t="shared" ca="1" si="59"/>
        <v>4.449753311783107E-2</v>
      </c>
    </row>
    <row r="3619" spans="7:8" x14ac:dyDescent="0.3">
      <c r="G3619" s="24">
        <v>3607</v>
      </c>
      <c r="H3619">
        <f t="shared" ca="1" si="59"/>
        <v>-4.2583398985348499E-2</v>
      </c>
    </row>
    <row r="3620" spans="7:8" x14ac:dyDescent="0.3">
      <c r="G3620" s="24">
        <v>3608</v>
      </c>
      <c r="H3620">
        <f t="shared" ca="1" si="59"/>
        <v>-0.16313735504832991</v>
      </c>
    </row>
    <row r="3621" spans="7:8" x14ac:dyDescent="0.3">
      <c r="G3621" s="24">
        <v>3609</v>
      </c>
      <c r="H3621">
        <f t="shared" ca="1" si="59"/>
        <v>-0.10588560446093843</v>
      </c>
    </row>
    <row r="3622" spans="7:8" x14ac:dyDescent="0.3">
      <c r="G3622" s="24">
        <v>3610</v>
      </c>
      <c r="H3622">
        <f t="shared" ca="1" si="59"/>
        <v>2.1939580527950343E-2</v>
      </c>
    </row>
    <row r="3623" spans="7:8" x14ac:dyDescent="0.3">
      <c r="G3623" s="24">
        <v>3611</v>
      </c>
      <c r="H3623">
        <f t="shared" ca="1" si="59"/>
        <v>-3.4666110923470182E-2</v>
      </c>
    </row>
    <row r="3624" spans="7:8" x14ac:dyDescent="0.3">
      <c r="G3624" s="24">
        <v>3612</v>
      </c>
      <c r="H3624">
        <f t="shared" ca="1" si="59"/>
        <v>-3.8117199865079485E-2</v>
      </c>
    </row>
    <row r="3625" spans="7:8" x14ac:dyDescent="0.3">
      <c r="G3625" s="24">
        <v>3613</v>
      </c>
      <c r="H3625">
        <f t="shared" ca="1" si="59"/>
        <v>6.4812193691875884E-3</v>
      </c>
    </row>
    <row r="3626" spans="7:8" x14ac:dyDescent="0.3">
      <c r="G3626" s="24">
        <v>3614</v>
      </c>
      <c r="H3626">
        <f t="shared" ca="1" si="59"/>
        <v>1.0291888143747664E-2</v>
      </c>
    </row>
    <row r="3627" spans="7:8" x14ac:dyDescent="0.3">
      <c r="G3627" s="24">
        <v>3615</v>
      </c>
      <c r="H3627">
        <f t="shared" ca="1" si="59"/>
        <v>-6.5927332779383785E-2</v>
      </c>
    </row>
    <row r="3628" spans="7:8" x14ac:dyDescent="0.3">
      <c r="G3628" s="24">
        <v>3616</v>
      </c>
      <c r="H3628">
        <f t="shared" ca="1" si="59"/>
        <v>-1.3289869309191481E-2</v>
      </c>
    </row>
    <row r="3629" spans="7:8" x14ac:dyDescent="0.3">
      <c r="G3629" s="24">
        <v>3617</v>
      </c>
      <c r="H3629">
        <f t="shared" ca="1" si="59"/>
        <v>3.3220326070185213E-2</v>
      </c>
    </row>
    <row r="3630" spans="7:8" x14ac:dyDescent="0.3">
      <c r="G3630" s="24">
        <v>3618</v>
      </c>
      <c r="H3630">
        <f t="shared" ca="1" si="59"/>
        <v>-6.3771858234958137E-2</v>
      </c>
    </row>
    <row r="3631" spans="7:8" x14ac:dyDescent="0.3">
      <c r="G3631" s="24">
        <v>3619</v>
      </c>
      <c r="H3631">
        <f t="shared" ca="1" si="59"/>
        <v>2.1127473702349433E-4</v>
      </c>
    </row>
    <row r="3632" spans="7:8" x14ac:dyDescent="0.3">
      <c r="G3632" s="24">
        <v>3620</v>
      </c>
      <c r="H3632">
        <f t="shared" ca="1" si="59"/>
        <v>-2.8524052538541261E-2</v>
      </c>
    </row>
    <row r="3633" spans="7:8" x14ac:dyDescent="0.3">
      <c r="G3633" s="24">
        <v>3621</v>
      </c>
      <c r="H3633">
        <f t="shared" ca="1" si="59"/>
        <v>-0.20328517584119388</v>
      </c>
    </row>
    <row r="3634" spans="7:8" x14ac:dyDescent="0.3">
      <c r="G3634" s="24">
        <v>3622</v>
      </c>
      <c r="H3634">
        <f t="shared" ca="1" si="59"/>
        <v>5.9938059583835773E-2</v>
      </c>
    </row>
    <row r="3635" spans="7:8" x14ac:dyDescent="0.3">
      <c r="G3635" s="24">
        <v>3623</v>
      </c>
      <c r="H3635">
        <f t="shared" ca="1" si="59"/>
        <v>6.1902136160106331E-3</v>
      </c>
    </row>
    <row r="3636" spans="7:8" x14ac:dyDescent="0.3">
      <c r="G3636" s="24">
        <v>3624</v>
      </c>
      <c r="H3636">
        <f t="shared" ca="1" si="59"/>
        <v>0.10997524134748105</v>
      </c>
    </row>
    <row r="3637" spans="7:8" x14ac:dyDescent="0.3">
      <c r="G3637" s="24">
        <v>3625</v>
      </c>
      <c r="H3637">
        <f t="shared" ca="1" si="59"/>
        <v>-4.2845001217867808E-2</v>
      </c>
    </row>
    <row r="3638" spans="7:8" x14ac:dyDescent="0.3">
      <c r="G3638" s="24">
        <v>3626</v>
      </c>
      <c r="H3638">
        <f t="shared" ca="1" si="59"/>
        <v>1.7453370195981192E-2</v>
      </c>
    </row>
    <row r="3639" spans="7:8" x14ac:dyDescent="0.3">
      <c r="G3639" s="24">
        <v>3627</v>
      </c>
      <c r="H3639">
        <f t="shared" ca="1" si="59"/>
        <v>3.7099292327637701E-2</v>
      </c>
    </row>
    <row r="3640" spans="7:8" x14ac:dyDescent="0.3">
      <c r="G3640" s="24">
        <v>3628</v>
      </c>
      <c r="H3640">
        <f t="shared" ca="1" si="59"/>
        <v>-6.6242572422134147E-2</v>
      </c>
    </row>
    <row r="3641" spans="7:8" x14ac:dyDescent="0.3">
      <c r="G3641" s="24">
        <v>3629</v>
      </c>
      <c r="H3641">
        <f t="shared" ca="1" si="59"/>
        <v>7.6585248068825051E-2</v>
      </c>
    </row>
    <row r="3642" spans="7:8" x14ac:dyDescent="0.3">
      <c r="G3642" s="24">
        <v>3630</v>
      </c>
      <c r="H3642">
        <f t="shared" ca="1" si="59"/>
        <v>8.5711292156180272E-2</v>
      </c>
    </row>
    <row r="3643" spans="7:8" x14ac:dyDescent="0.3">
      <c r="G3643" s="24">
        <v>3631</v>
      </c>
      <c r="H3643">
        <f t="shared" ca="1" si="59"/>
        <v>5.3948557970962686E-2</v>
      </c>
    </row>
    <row r="3644" spans="7:8" x14ac:dyDescent="0.3">
      <c r="G3644" s="24">
        <v>3632</v>
      </c>
      <c r="H3644">
        <f t="shared" ca="1" si="59"/>
        <v>3.5745715460486646E-2</v>
      </c>
    </row>
    <row r="3645" spans="7:8" x14ac:dyDescent="0.3">
      <c r="G3645" s="24">
        <v>3633</v>
      </c>
      <c r="H3645">
        <f t="shared" ca="1" si="59"/>
        <v>3.6869798426970593E-2</v>
      </c>
    </row>
    <row r="3646" spans="7:8" x14ac:dyDescent="0.3">
      <c r="G3646" s="24">
        <v>3634</v>
      </c>
      <c r="H3646">
        <f t="shared" ca="1" si="59"/>
        <v>-2.4105146689085633E-2</v>
      </c>
    </row>
    <row r="3647" spans="7:8" x14ac:dyDescent="0.3">
      <c r="G3647" s="24">
        <v>3635</v>
      </c>
      <c r="H3647">
        <f t="shared" ca="1" si="59"/>
        <v>-4.0780216726712733E-2</v>
      </c>
    </row>
    <row r="3648" spans="7:8" x14ac:dyDescent="0.3">
      <c r="G3648" s="24">
        <v>3636</v>
      </c>
      <c r="H3648">
        <f t="shared" ca="1" si="59"/>
        <v>3.8800562678951697E-2</v>
      </c>
    </row>
    <row r="3649" spans="7:8" x14ac:dyDescent="0.3">
      <c r="G3649" s="24">
        <v>3637</v>
      </c>
      <c r="H3649">
        <f t="shared" ca="1" si="59"/>
        <v>1.5531379932595742E-2</v>
      </c>
    </row>
    <row r="3650" spans="7:8" x14ac:dyDescent="0.3">
      <c r="G3650" s="24">
        <v>3638</v>
      </c>
      <c r="H3650">
        <f t="shared" ca="1" si="59"/>
        <v>4.1841466366912314E-2</v>
      </c>
    </row>
    <row r="3651" spans="7:8" x14ac:dyDescent="0.3">
      <c r="G3651" s="24">
        <v>3639</v>
      </c>
      <c r="H3651">
        <f t="shared" ca="1" si="59"/>
        <v>-6.2607396621451414E-2</v>
      </c>
    </row>
    <row r="3652" spans="7:8" x14ac:dyDescent="0.3">
      <c r="G3652" s="24">
        <v>3640</v>
      </c>
      <c r="H3652">
        <f t="shared" ca="1" si="59"/>
        <v>-0.10310326452351994</v>
      </c>
    </row>
    <row r="3653" spans="7:8" x14ac:dyDescent="0.3">
      <c r="G3653" s="24">
        <v>3641</v>
      </c>
      <c r="H3653">
        <f t="shared" ca="1" si="59"/>
        <v>3.0536333263858708E-2</v>
      </c>
    </row>
    <row r="3654" spans="7:8" x14ac:dyDescent="0.3">
      <c r="G3654" s="24">
        <v>3642</v>
      </c>
      <c r="H3654">
        <f t="shared" ca="1" si="59"/>
        <v>-1.6327547045910534E-2</v>
      </c>
    </row>
    <row r="3655" spans="7:8" x14ac:dyDescent="0.3">
      <c r="G3655" s="24">
        <v>3643</v>
      </c>
      <c r="H3655">
        <f t="shared" ca="1" si="59"/>
        <v>-4.0832222867935954E-2</v>
      </c>
    </row>
    <row r="3656" spans="7:8" x14ac:dyDescent="0.3">
      <c r="G3656" s="24">
        <v>3644</v>
      </c>
      <c r="H3656">
        <f t="shared" ca="1" si="59"/>
        <v>-3.2166865790934349E-2</v>
      </c>
    </row>
    <row r="3657" spans="7:8" x14ac:dyDescent="0.3">
      <c r="G3657" s="24">
        <v>3645</v>
      </c>
      <c r="H3657">
        <f t="shared" ca="1" si="59"/>
        <v>4.8604561040316879E-2</v>
      </c>
    </row>
    <row r="3658" spans="7:8" x14ac:dyDescent="0.3">
      <c r="G3658" s="24">
        <v>3646</v>
      </c>
      <c r="H3658">
        <f t="shared" ca="1" si="59"/>
        <v>5.6047927132332392E-2</v>
      </c>
    </row>
    <row r="3659" spans="7:8" x14ac:dyDescent="0.3">
      <c r="G3659" s="24">
        <v>3647</v>
      </c>
      <c r="H3659">
        <f t="shared" ca="1" si="59"/>
        <v>-7.4295792917978803E-2</v>
      </c>
    </row>
    <row r="3660" spans="7:8" x14ac:dyDescent="0.3">
      <c r="G3660" s="24">
        <v>3648</v>
      </c>
      <c r="H3660">
        <f t="shared" ca="1" si="59"/>
        <v>-0.1003770841153678</v>
      </c>
    </row>
    <row r="3661" spans="7:8" x14ac:dyDescent="0.3">
      <c r="G3661" s="24">
        <v>3649</v>
      </c>
      <c r="H3661">
        <f t="shared" ca="1" si="59"/>
        <v>-8.476327967548063E-3</v>
      </c>
    </row>
    <row r="3662" spans="7:8" x14ac:dyDescent="0.3">
      <c r="G3662" s="24">
        <v>3650</v>
      </c>
      <c r="H3662">
        <f t="shared" ref="H3662:H3725" ca="1" si="60">_xlfn.NORM.INV(RAND(),N$13,N$14)</f>
        <v>-7.3198255173950316E-2</v>
      </c>
    </row>
    <row r="3663" spans="7:8" x14ac:dyDescent="0.3">
      <c r="G3663" s="24">
        <v>3651</v>
      </c>
      <c r="H3663">
        <f t="shared" ca="1" si="60"/>
        <v>-6.0305905955614476E-2</v>
      </c>
    </row>
    <row r="3664" spans="7:8" x14ac:dyDescent="0.3">
      <c r="G3664" s="24">
        <v>3652</v>
      </c>
      <c r="H3664">
        <f t="shared" ca="1" si="60"/>
        <v>-5.2242954642363615E-3</v>
      </c>
    </row>
    <row r="3665" spans="7:8" x14ac:dyDescent="0.3">
      <c r="G3665" s="24">
        <v>3653</v>
      </c>
      <c r="H3665">
        <f t="shared" ca="1" si="60"/>
        <v>3.050010714724152E-2</v>
      </c>
    </row>
    <row r="3666" spans="7:8" x14ac:dyDescent="0.3">
      <c r="G3666" s="24">
        <v>3654</v>
      </c>
      <c r="H3666">
        <f t="shared" ca="1" si="60"/>
        <v>-3.1170895944720767E-2</v>
      </c>
    </row>
    <row r="3667" spans="7:8" x14ac:dyDescent="0.3">
      <c r="G3667" s="24">
        <v>3655</v>
      </c>
      <c r="H3667">
        <f t="shared" ca="1" si="60"/>
        <v>-3.6096071348769083E-2</v>
      </c>
    </row>
    <row r="3668" spans="7:8" x14ac:dyDescent="0.3">
      <c r="G3668" s="24">
        <v>3656</v>
      </c>
      <c r="H3668">
        <f t="shared" ca="1" si="60"/>
        <v>-3.3150790318251147E-2</v>
      </c>
    </row>
    <row r="3669" spans="7:8" x14ac:dyDescent="0.3">
      <c r="G3669" s="24">
        <v>3657</v>
      </c>
      <c r="H3669">
        <f t="shared" ca="1" si="60"/>
        <v>-7.143323238320741E-2</v>
      </c>
    </row>
    <row r="3670" spans="7:8" x14ac:dyDescent="0.3">
      <c r="G3670" s="24">
        <v>3658</v>
      </c>
      <c r="H3670">
        <f t="shared" ca="1" si="60"/>
        <v>0.13735086850068939</v>
      </c>
    </row>
    <row r="3671" spans="7:8" x14ac:dyDescent="0.3">
      <c r="G3671" s="24">
        <v>3659</v>
      </c>
      <c r="H3671">
        <f t="shared" ca="1" si="60"/>
        <v>1.3297418047918712E-2</v>
      </c>
    </row>
    <row r="3672" spans="7:8" x14ac:dyDescent="0.3">
      <c r="G3672" s="24">
        <v>3660</v>
      </c>
      <c r="H3672">
        <f t="shared" ca="1" si="60"/>
        <v>3.3862067252316877E-3</v>
      </c>
    </row>
    <row r="3673" spans="7:8" x14ac:dyDescent="0.3">
      <c r="G3673" s="24">
        <v>3661</v>
      </c>
      <c r="H3673">
        <f t="shared" ca="1" si="60"/>
        <v>-9.9049416097461374E-2</v>
      </c>
    </row>
    <row r="3674" spans="7:8" x14ac:dyDescent="0.3">
      <c r="G3674" s="24">
        <v>3662</v>
      </c>
      <c r="H3674">
        <f t="shared" ca="1" si="60"/>
        <v>-6.9928088372121153E-2</v>
      </c>
    </row>
    <row r="3675" spans="7:8" x14ac:dyDescent="0.3">
      <c r="G3675" s="24">
        <v>3663</v>
      </c>
      <c r="H3675">
        <f t="shared" ca="1" si="60"/>
        <v>-7.2918514071452209E-2</v>
      </c>
    </row>
    <row r="3676" spans="7:8" x14ac:dyDescent="0.3">
      <c r="G3676" s="24">
        <v>3664</v>
      </c>
      <c r="H3676">
        <f t="shared" ca="1" si="60"/>
        <v>-4.3431274468230981E-2</v>
      </c>
    </row>
    <row r="3677" spans="7:8" x14ac:dyDescent="0.3">
      <c r="G3677" s="24">
        <v>3665</v>
      </c>
      <c r="H3677">
        <f t="shared" ca="1" si="60"/>
        <v>6.0686937224232296E-2</v>
      </c>
    </row>
    <row r="3678" spans="7:8" x14ac:dyDescent="0.3">
      <c r="G3678" s="24">
        <v>3666</v>
      </c>
      <c r="H3678">
        <f t="shared" ca="1" si="60"/>
        <v>-4.4733065496444853E-2</v>
      </c>
    </row>
    <row r="3679" spans="7:8" x14ac:dyDescent="0.3">
      <c r="G3679" s="24">
        <v>3667</v>
      </c>
      <c r="H3679">
        <f t="shared" ca="1" si="60"/>
        <v>6.1990409022309338E-2</v>
      </c>
    </row>
    <row r="3680" spans="7:8" x14ac:dyDescent="0.3">
      <c r="G3680" s="24">
        <v>3668</v>
      </c>
      <c r="H3680">
        <f t="shared" ca="1" si="60"/>
        <v>1.1887413257645888E-2</v>
      </c>
    </row>
    <row r="3681" spans="7:8" x14ac:dyDescent="0.3">
      <c r="G3681" s="24">
        <v>3669</v>
      </c>
      <c r="H3681">
        <f t="shared" ca="1" si="60"/>
        <v>-0.1715177150394914</v>
      </c>
    </row>
    <row r="3682" spans="7:8" x14ac:dyDescent="0.3">
      <c r="G3682" s="24">
        <v>3670</v>
      </c>
      <c r="H3682">
        <f t="shared" ca="1" si="60"/>
        <v>2.4912869191186376E-2</v>
      </c>
    </row>
    <row r="3683" spans="7:8" x14ac:dyDescent="0.3">
      <c r="G3683" s="24">
        <v>3671</v>
      </c>
      <c r="H3683">
        <f t="shared" ca="1" si="60"/>
        <v>-1.4076907698452101E-2</v>
      </c>
    </row>
    <row r="3684" spans="7:8" x14ac:dyDescent="0.3">
      <c r="G3684" s="24">
        <v>3672</v>
      </c>
      <c r="H3684">
        <f t="shared" ca="1" si="60"/>
        <v>3.051644843442328E-2</v>
      </c>
    </row>
    <row r="3685" spans="7:8" x14ac:dyDescent="0.3">
      <c r="G3685" s="24">
        <v>3673</v>
      </c>
      <c r="H3685">
        <f t="shared" ca="1" si="60"/>
        <v>-8.874555891557076E-2</v>
      </c>
    </row>
    <row r="3686" spans="7:8" x14ac:dyDescent="0.3">
      <c r="G3686" s="24">
        <v>3674</v>
      </c>
      <c r="H3686">
        <f t="shared" ca="1" si="60"/>
        <v>6.038971717063811E-2</v>
      </c>
    </row>
    <row r="3687" spans="7:8" x14ac:dyDescent="0.3">
      <c r="G3687" s="24">
        <v>3675</v>
      </c>
      <c r="H3687">
        <f t="shared" ca="1" si="60"/>
        <v>5.0431221775953265E-2</v>
      </c>
    </row>
    <row r="3688" spans="7:8" x14ac:dyDescent="0.3">
      <c r="G3688" s="24">
        <v>3676</v>
      </c>
      <c r="H3688">
        <f t="shared" ca="1" si="60"/>
        <v>-3.5123375930513151E-2</v>
      </c>
    </row>
    <row r="3689" spans="7:8" x14ac:dyDescent="0.3">
      <c r="G3689" s="24">
        <v>3677</v>
      </c>
      <c r="H3689">
        <f t="shared" ca="1" si="60"/>
        <v>-0.15132026661701153</v>
      </c>
    </row>
    <row r="3690" spans="7:8" x14ac:dyDescent="0.3">
      <c r="G3690" s="24">
        <v>3678</v>
      </c>
      <c r="H3690">
        <f t="shared" ca="1" si="60"/>
        <v>4.8898570976335785E-2</v>
      </c>
    </row>
    <row r="3691" spans="7:8" x14ac:dyDescent="0.3">
      <c r="G3691" s="24">
        <v>3679</v>
      </c>
      <c r="H3691">
        <f t="shared" ca="1" si="60"/>
        <v>5.4912257493091692E-3</v>
      </c>
    </row>
    <row r="3692" spans="7:8" x14ac:dyDescent="0.3">
      <c r="G3692" s="24">
        <v>3680</v>
      </c>
      <c r="H3692">
        <f t="shared" ca="1" si="60"/>
        <v>-4.1450188195672408E-2</v>
      </c>
    </row>
    <row r="3693" spans="7:8" x14ac:dyDescent="0.3">
      <c r="G3693" s="24">
        <v>3681</v>
      </c>
      <c r="H3693">
        <f t="shared" ca="1" si="60"/>
        <v>-9.8743865828076136E-2</v>
      </c>
    </row>
    <row r="3694" spans="7:8" x14ac:dyDescent="0.3">
      <c r="G3694" s="24">
        <v>3682</v>
      </c>
      <c r="H3694">
        <f t="shared" ca="1" si="60"/>
        <v>-2.9618310978433367E-2</v>
      </c>
    </row>
    <row r="3695" spans="7:8" x14ac:dyDescent="0.3">
      <c r="G3695" s="24">
        <v>3683</v>
      </c>
      <c r="H3695">
        <f t="shared" ca="1" si="60"/>
        <v>8.3632666205824435E-2</v>
      </c>
    </row>
    <row r="3696" spans="7:8" x14ac:dyDescent="0.3">
      <c r="G3696" s="24">
        <v>3684</v>
      </c>
      <c r="H3696">
        <f t="shared" ca="1" si="60"/>
        <v>-0.16687181486572092</v>
      </c>
    </row>
    <row r="3697" spans="7:8" x14ac:dyDescent="0.3">
      <c r="G3697" s="24">
        <v>3685</v>
      </c>
      <c r="H3697">
        <f t="shared" ca="1" si="60"/>
        <v>-0.10286355489020349</v>
      </c>
    </row>
    <row r="3698" spans="7:8" x14ac:dyDescent="0.3">
      <c r="G3698" s="24">
        <v>3686</v>
      </c>
      <c r="H3698">
        <f t="shared" ca="1" si="60"/>
        <v>0.18007414888718062</v>
      </c>
    </row>
    <row r="3699" spans="7:8" x14ac:dyDescent="0.3">
      <c r="G3699" s="24">
        <v>3687</v>
      </c>
      <c r="H3699">
        <f t="shared" ca="1" si="60"/>
        <v>-6.9627023468057884E-3</v>
      </c>
    </row>
    <row r="3700" spans="7:8" x14ac:dyDescent="0.3">
      <c r="G3700" s="24">
        <v>3688</v>
      </c>
      <c r="H3700">
        <f t="shared" ca="1" si="60"/>
        <v>6.0952701108800064E-2</v>
      </c>
    </row>
    <row r="3701" spans="7:8" x14ac:dyDescent="0.3">
      <c r="G3701" s="24">
        <v>3689</v>
      </c>
      <c r="H3701">
        <f t="shared" ca="1" si="60"/>
        <v>8.481562621365249E-2</v>
      </c>
    </row>
    <row r="3702" spans="7:8" x14ac:dyDescent="0.3">
      <c r="G3702" s="24">
        <v>3690</v>
      </c>
      <c r="H3702">
        <f t="shared" ca="1" si="60"/>
        <v>1.5816595306736389E-2</v>
      </c>
    </row>
    <row r="3703" spans="7:8" x14ac:dyDescent="0.3">
      <c r="G3703" s="24">
        <v>3691</v>
      </c>
      <c r="H3703">
        <f t="shared" ca="1" si="60"/>
        <v>-1.1016860212626054E-2</v>
      </c>
    </row>
    <row r="3704" spans="7:8" x14ac:dyDescent="0.3">
      <c r="G3704" s="24">
        <v>3692</v>
      </c>
      <c r="H3704">
        <f t="shared" ca="1" si="60"/>
        <v>-3.3917079948835714E-2</v>
      </c>
    </row>
    <row r="3705" spans="7:8" x14ac:dyDescent="0.3">
      <c r="G3705" s="24">
        <v>3693</v>
      </c>
      <c r="H3705">
        <f t="shared" ca="1" si="60"/>
        <v>1.8325046167313704E-4</v>
      </c>
    </row>
    <row r="3706" spans="7:8" x14ac:dyDescent="0.3">
      <c r="G3706" s="24">
        <v>3694</v>
      </c>
      <c r="H3706">
        <f t="shared" ca="1" si="60"/>
        <v>3.0862181698860453E-3</v>
      </c>
    </row>
    <row r="3707" spans="7:8" x14ac:dyDescent="0.3">
      <c r="G3707" s="24">
        <v>3695</v>
      </c>
      <c r="H3707">
        <f t="shared" ca="1" si="60"/>
        <v>1.0697726359981398E-2</v>
      </c>
    </row>
    <row r="3708" spans="7:8" x14ac:dyDescent="0.3">
      <c r="G3708" s="24">
        <v>3696</v>
      </c>
      <c r="H3708">
        <f t="shared" ca="1" si="60"/>
        <v>7.1690823466807982E-2</v>
      </c>
    </row>
    <row r="3709" spans="7:8" x14ac:dyDescent="0.3">
      <c r="G3709" s="24">
        <v>3697</v>
      </c>
      <c r="H3709">
        <f t="shared" ca="1" si="60"/>
        <v>-9.6896614184664623E-2</v>
      </c>
    </row>
    <row r="3710" spans="7:8" x14ac:dyDescent="0.3">
      <c r="G3710" s="24">
        <v>3698</v>
      </c>
      <c r="H3710">
        <f t="shared" ca="1" si="60"/>
        <v>-4.6823504231874501E-2</v>
      </c>
    </row>
    <row r="3711" spans="7:8" x14ac:dyDescent="0.3">
      <c r="G3711" s="24">
        <v>3699</v>
      </c>
      <c r="H3711">
        <f t="shared" ca="1" si="60"/>
        <v>7.9700233862344899E-2</v>
      </c>
    </row>
    <row r="3712" spans="7:8" x14ac:dyDescent="0.3">
      <c r="G3712" s="24">
        <v>3700</v>
      </c>
      <c r="H3712">
        <f t="shared" ca="1" si="60"/>
        <v>-4.0661314445533503E-2</v>
      </c>
    </row>
    <row r="3713" spans="7:8" x14ac:dyDescent="0.3">
      <c r="G3713" s="24">
        <v>3701</v>
      </c>
      <c r="H3713">
        <f t="shared" ca="1" si="60"/>
        <v>3.7392230255213828E-2</v>
      </c>
    </row>
    <row r="3714" spans="7:8" x14ac:dyDescent="0.3">
      <c r="G3714" s="24">
        <v>3702</v>
      </c>
      <c r="H3714">
        <f t="shared" ca="1" si="60"/>
        <v>-3.8282438883681734E-2</v>
      </c>
    </row>
    <row r="3715" spans="7:8" x14ac:dyDescent="0.3">
      <c r="G3715" s="24">
        <v>3703</v>
      </c>
      <c r="H3715">
        <f t="shared" ca="1" si="60"/>
        <v>-2.6755616384450117E-2</v>
      </c>
    </row>
    <row r="3716" spans="7:8" x14ac:dyDescent="0.3">
      <c r="G3716" s="24">
        <v>3704</v>
      </c>
      <c r="H3716">
        <f t="shared" ca="1" si="60"/>
        <v>-4.0919903996832964E-2</v>
      </c>
    </row>
    <row r="3717" spans="7:8" x14ac:dyDescent="0.3">
      <c r="G3717" s="24">
        <v>3705</v>
      </c>
      <c r="H3717">
        <f t="shared" ca="1" si="60"/>
        <v>2.9760853987347943E-2</v>
      </c>
    </row>
    <row r="3718" spans="7:8" x14ac:dyDescent="0.3">
      <c r="G3718" s="24">
        <v>3706</v>
      </c>
      <c r="H3718">
        <f t="shared" ca="1" si="60"/>
        <v>6.292557758359274E-2</v>
      </c>
    </row>
    <row r="3719" spans="7:8" x14ac:dyDescent="0.3">
      <c r="G3719" s="24">
        <v>3707</v>
      </c>
      <c r="H3719">
        <f t="shared" ca="1" si="60"/>
        <v>5.2576355721431489E-2</v>
      </c>
    </row>
    <row r="3720" spans="7:8" x14ac:dyDescent="0.3">
      <c r="G3720" s="24">
        <v>3708</v>
      </c>
      <c r="H3720">
        <f t="shared" ca="1" si="60"/>
        <v>0.11268896127454024</v>
      </c>
    </row>
    <row r="3721" spans="7:8" x14ac:dyDescent="0.3">
      <c r="G3721" s="24">
        <v>3709</v>
      </c>
      <c r="H3721">
        <f t="shared" ca="1" si="60"/>
        <v>6.0552856802222728E-2</v>
      </c>
    </row>
    <row r="3722" spans="7:8" x14ac:dyDescent="0.3">
      <c r="G3722" s="24">
        <v>3710</v>
      </c>
      <c r="H3722">
        <f t="shared" ca="1" si="60"/>
        <v>4.6879153306162845E-2</v>
      </c>
    </row>
    <row r="3723" spans="7:8" x14ac:dyDescent="0.3">
      <c r="G3723" s="24">
        <v>3711</v>
      </c>
      <c r="H3723">
        <f t="shared" ca="1" si="60"/>
        <v>3.165162707615489E-2</v>
      </c>
    </row>
    <row r="3724" spans="7:8" x14ac:dyDescent="0.3">
      <c r="G3724" s="24">
        <v>3712</v>
      </c>
      <c r="H3724">
        <f t="shared" ca="1" si="60"/>
        <v>-1.4804711391476072E-2</v>
      </c>
    </row>
    <row r="3725" spans="7:8" x14ac:dyDescent="0.3">
      <c r="G3725" s="24">
        <v>3713</v>
      </c>
      <c r="H3725">
        <f t="shared" ca="1" si="60"/>
        <v>0.10255501498109318</v>
      </c>
    </row>
    <row r="3726" spans="7:8" x14ac:dyDescent="0.3">
      <c r="G3726" s="24">
        <v>3714</v>
      </c>
      <c r="H3726">
        <f t="shared" ref="H3726:H3789" ca="1" si="61">_xlfn.NORM.INV(RAND(),N$13,N$14)</f>
        <v>0.11098566908529131</v>
      </c>
    </row>
    <row r="3727" spans="7:8" x14ac:dyDescent="0.3">
      <c r="G3727" s="24">
        <v>3715</v>
      </c>
      <c r="H3727">
        <f t="shared" ca="1" si="61"/>
        <v>3.5172488794646878E-2</v>
      </c>
    </row>
    <row r="3728" spans="7:8" x14ac:dyDescent="0.3">
      <c r="G3728" s="24">
        <v>3716</v>
      </c>
      <c r="H3728">
        <f t="shared" ca="1" si="61"/>
        <v>1.0112764354000426E-2</v>
      </c>
    </row>
    <row r="3729" spans="7:8" x14ac:dyDescent="0.3">
      <c r="G3729" s="24">
        <v>3717</v>
      </c>
      <c r="H3729">
        <f t="shared" ca="1" si="61"/>
        <v>-6.2507178608599584E-2</v>
      </c>
    </row>
    <row r="3730" spans="7:8" x14ac:dyDescent="0.3">
      <c r="G3730" s="24">
        <v>3718</v>
      </c>
      <c r="H3730">
        <f t="shared" ca="1" si="61"/>
        <v>5.9015574118043722E-2</v>
      </c>
    </row>
    <row r="3731" spans="7:8" x14ac:dyDescent="0.3">
      <c r="G3731" s="24">
        <v>3719</v>
      </c>
      <c r="H3731">
        <f t="shared" ca="1" si="61"/>
        <v>-1.6101878202265572E-2</v>
      </c>
    </row>
    <row r="3732" spans="7:8" x14ac:dyDescent="0.3">
      <c r="G3732" s="24">
        <v>3720</v>
      </c>
      <c r="H3732">
        <f t="shared" ca="1" si="61"/>
        <v>-3.6761211173326425E-2</v>
      </c>
    </row>
    <row r="3733" spans="7:8" x14ac:dyDescent="0.3">
      <c r="G3733" s="24">
        <v>3721</v>
      </c>
      <c r="H3733">
        <f t="shared" ca="1" si="61"/>
        <v>0.11799502900440374</v>
      </c>
    </row>
    <row r="3734" spans="7:8" x14ac:dyDescent="0.3">
      <c r="G3734" s="24">
        <v>3722</v>
      </c>
      <c r="H3734">
        <f t="shared" ca="1" si="61"/>
        <v>-5.6969827938479815E-2</v>
      </c>
    </row>
    <row r="3735" spans="7:8" x14ac:dyDescent="0.3">
      <c r="G3735" s="24">
        <v>3723</v>
      </c>
      <c r="H3735">
        <f t="shared" ca="1" si="61"/>
        <v>4.833128580935285E-2</v>
      </c>
    </row>
    <row r="3736" spans="7:8" x14ac:dyDescent="0.3">
      <c r="G3736" s="24">
        <v>3724</v>
      </c>
      <c r="H3736">
        <f t="shared" ca="1" si="61"/>
        <v>-0.11680649929628145</v>
      </c>
    </row>
    <row r="3737" spans="7:8" x14ac:dyDescent="0.3">
      <c r="G3737" s="24">
        <v>3725</v>
      </c>
      <c r="H3737">
        <f t="shared" ca="1" si="61"/>
        <v>2.6445711919143897E-2</v>
      </c>
    </row>
    <row r="3738" spans="7:8" x14ac:dyDescent="0.3">
      <c r="G3738" s="24">
        <v>3726</v>
      </c>
      <c r="H3738">
        <f t="shared" ca="1" si="61"/>
        <v>-6.4257224185437223E-2</v>
      </c>
    </row>
    <row r="3739" spans="7:8" x14ac:dyDescent="0.3">
      <c r="G3739" s="24">
        <v>3727</v>
      </c>
      <c r="H3739">
        <f t="shared" ca="1" si="61"/>
        <v>-3.3706726530882823E-2</v>
      </c>
    </row>
    <row r="3740" spans="7:8" x14ac:dyDescent="0.3">
      <c r="G3740" s="24">
        <v>3728</v>
      </c>
      <c r="H3740">
        <f t="shared" ca="1" si="61"/>
        <v>-8.3112010936394282E-2</v>
      </c>
    </row>
    <row r="3741" spans="7:8" x14ac:dyDescent="0.3">
      <c r="G3741" s="24">
        <v>3729</v>
      </c>
      <c r="H3741">
        <f t="shared" ca="1" si="61"/>
        <v>0.15216953551027412</v>
      </c>
    </row>
    <row r="3742" spans="7:8" x14ac:dyDescent="0.3">
      <c r="G3742" s="24">
        <v>3730</v>
      </c>
      <c r="H3742">
        <f t="shared" ca="1" si="61"/>
        <v>0.10010735936433789</v>
      </c>
    </row>
    <row r="3743" spans="7:8" x14ac:dyDescent="0.3">
      <c r="G3743" s="24">
        <v>3731</v>
      </c>
      <c r="H3743">
        <f t="shared" ca="1" si="61"/>
        <v>0.11499444934591146</v>
      </c>
    </row>
    <row r="3744" spans="7:8" x14ac:dyDescent="0.3">
      <c r="G3744" s="24">
        <v>3732</v>
      </c>
      <c r="H3744">
        <f t="shared" ca="1" si="61"/>
        <v>4.1395763638401244E-2</v>
      </c>
    </row>
    <row r="3745" spans="7:8" x14ac:dyDescent="0.3">
      <c r="G3745" s="24">
        <v>3733</v>
      </c>
      <c r="H3745">
        <f t="shared" ca="1" si="61"/>
        <v>-1.5759430891309423E-2</v>
      </c>
    </row>
    <row r="3746" spans="7:8" x14ac:dyDescent="0.3">
      <c r="G3746" s="24">
        <v>3734</v>
      </c>
      <c r="H3746">
        <f t="shared" ca="1" si="61"/>
        <v>6.2556508036202441E-2</v>
      </c>
    </row>
    <row r="3747" spans="7:8" x14ac:dyDescent="0.3">
      <c r="G3747" s="24">
        <v>3735</v>
      </c>
      <c r="H3747">
        <f t="shared" ca="1" si="61"/>
        <v>-4.3958532605685788E-2</v>
      </c>
    </row>
    <row r="3748" spans="7:8" x14ac:dyDescent="0.3">
      <c r="G3748" s="24">
        <v>3736</v>
      </c>
      <c r="H3748">
        <f t="shared" ca="1" si="61"/>
        <v>3.8282133180635974E-2</v>
      </c>
    </row>
    <row r="3749" spans="7:8" x14ac:dyDescent="0.3">
      <c r="G3749" s="24">
        <v>3737</v>
      </c>
      <c r="H3749">
        <f t="shared" ca="1" si="61"/>
        <v>-1.0528212103926186E-2</v>
      </c>
    </row>
    <row r="3750" spans="7:8" x14ac:dyDescent="0.3">
      <c r="G3750" s="24">
        <v>3738</v>
      </c>
      <c r="H3750">
        <f t="shared" ca="1" si="61"/>
        <v>-0.16850934499340145</v>
      </c>
    </row>
    <row r="3751" spans="7:8" x14ac:dyDescent="0.3">
      <c r="G3751" s="24">
        <v>3739</v>
      </c>
      <c r="H3751">
        <f t="shared" ca="1" si="61"/>
        <v>2.1813415981772784E-2</v>
      </c>
    </row>
    <row r="3752" spans="7:8" x14ac:dyDescent="0.3">
      <c r="G3752" s="24">
        <v>3740</v>
      </c>
      <c r="H3752">
        <f t="shared" ca="1" si="61"/>
        <v>1.5682511328471972E-2</v>
      </c>
    </row>
    <row r="3753" spans="7:8" x14ac:dyDescent="0.3">
      <c r="G3753" s="24">
        <v>3741</v>
      </c>
      <c r="H3753">
        <f t="shared" ca="1" si="61"/>
        <v>0.14995908192658761</v>
      </c>
    </row>
    <row r="3754" spans="7:8" x14ac:dyDescent="0.3">
      <c r="G3754" s="24">
        <v>3742</v>
      </c>
      <c r="H3754">
        <f t="shared" ca="1" si="61"/>
        <v>4.3665038232988534E-3</v>
      </c>
    </row>
    <row r="3755" spans="7:8" x14ac:dyDescent="0.3">
      <c r="G3755" s="24">
        <v>3743</v>
      </c>
      <c r="H3755">
        <f t="shared" ca="1" si="61"/>
        <v>5.6461575469374178E-2</v>
      </c>
    </row>
    <row r="3756" spans="7:8" x14ac:dyDescent="0.3">
      <c r="G3756" s="24">
        <v>3744</v>
      </c>
      <c r="H3756">
        <f t="shared" ca="1" si="61"/>
        <v>3.1281355875526912E-2</v>
      </c>
    </row>
    <row r="3757" spans="7:8" x14ac:dyDescent="0.3">
      <c r="G3757" s="24">
        <v>3745</v>
      </c>
      <c r="H3757">
        <f t="shared" ca="1" si="61"/>
        <v>1.3276113650771125E-2</v>
      </c>
    </row>
    <row r="3758" spans="7:8" x14ac:dyDescent="0.3">
      <c r="G3758" s="24">
        <v>3746</v>
      </c>
      <c r="H3758">
        <f t="shared" ca="1" si="61"/>
        <v>-5.7259409870323824E-2</v>
      </c>
    </row>
    <row r="3759" spans="7:8" x14ac:dyDescent="0.3">
      <c r="G3759" s="24">
        <v>3747</v>
      </c>
      <c r="H3759">
        <f t="shared" ca="1" si="61"/>
        <v>7.6426760537375182E-2</v>
      </c>
    </row>
    <row r="3760" spans="7:8" x14ac:dyDescent="0.3">
      <c r="G3760" s="24">
        <v>3748</v>
      </c>
      <c r="H3760">
        <f t="shared" ca="1" si="61"/>
        <v>4.0156839149114533E-2</v>
      </c>
    </row>
    <row r="3761" spans="7:8" x14ac:dyDescent="0.3">
      <c r="G3761" s="24">
        <v>3749</v>
      </c>
      <c r="H3761">
        <f t="shared" ca="1" si="61"/>
        <v>-0.11305697682670685</v>
      </c>
    </row>
    <row r="3762" spans="7:8" x14ac:dyDescent="0.3">
      <c r="G3762" s="24">
        <v>3750</v>
      </c>
      <c r="H3762">
        <f t="shared" ca="1" si="61"/>
        <v>1.140705026590005E-3</v>
      </c>
    </row>
    <row r="3763" spans="7:8" x14ac:dyDescent="0.3">
      <c r="G3763" s="24">
        <v>3751</v>
      </c>
      <c r="H3763">
        <f t="shared" ca="1" si="61"/>
        <v>6.0783826413569938E-3</v>
      </c>
    </row>
    <row r="3764" spans="7:8" x14ac:dyDescent="0.3">
      <c r="G3764" s="24">
        <v>3752</v>
      </c>
      <c r="H3764">
        <f t="shared" ca="1" si="61"/>
        <v>-6.635248919712694E-2</v>
      </c>
    </row>
    <row r="3765" spans="7:8" x14ac:dyDescent="0.3">
      <c r="G3765" s="24">
        <v>3753</v>
      </c>
      <c r="H3765">
        <f t="shared" ca="1" si="61"/>
        <v>-4.8641678020171095E-2</v>
      </c>
    </row>
    <row r="3766" spans="7:8" x14ac:dyDescent="0.3">
      <c r="G3766" s="24">
        <v>3754</v>
      </c>
      <c r="H3766">
        <f t="shared" ca="1" si="61"/>
        <v>-5.0534692593830026E-2</v>
      </c>
    </row>
    <row r="3767" spans="7:8" x14ac:dyDescent="0.3">
      <c r="G3767" s="24">
        <v>3755</v>
      </c>
      <c r="H3767">
        <f t="shared" ca="1" si="61"/>
        <v>-3.0238783816639903E-2</v>
      </c>
    </row>
    <row r="3768" spans="7:8" x14ac:dyDescent="0.3">
      <c r="G3768" s="24">
        <v>3756</v>
      </c>
      <c r="H3768">
        <f t="shared" ca="1" si="61"/>
        <v>-7.4725413204714916E-2</v>
      </c>
    </row>
    <row r="3769" spans="7:8" x14ac:dyDescent="0.3">
      <c r="G3769" s="24">
        <v>3757</v>
      </c>
      <c r="H3769">
        <f t="shared" ca="1" si="61"/>
        <v>1.0115177791731562E-2</v>
      </c>
    </row>
    <row r="3770" spans="7:8" x14ac:dyDescent="0.3">
      <c r="G3770" s="24">
        <v>3758</v>
      </c>
      <c r="H3770">
        <f t="shared" ca="1" si="61"/>
        <v>-8.0672538296990767E-2</v>
      </c>
    </row>
    <row r="3771" spans="7:8" x14ac:dyDescent="0.3">
      <c r="G3771" s="24">
        <v>3759</v>
      </c>
      <c r="H3771">
        <f t="shared" ca="1" si="61"/>
        <v>-4.8138817843501207E-2</v>
      </c>
    </row>
    <row r="3772" spans="7:8" x14ac:dyDescent="0.3">
      <c r="G3772" s="24">
        <v>3760</v>
      </c>
      <c r="H3772">
        <f t="shared" ca="1" si="61"/>
        <v>6.1598899976528267E-3</v>
      </c>
    </row>
    <row r="3773" spans="7:8" x14ac:dyDescent="0.3">
      <c r="G3773" s="24">
        <v>3761</v>
      </c>
      <c r="H3773">
        <f t="shared" ca="1" si="61"/>
        <v>6.6485046693850663E-2</v>
      </c>
    </row>
    <row r="3774" spans="7:8" x14ac:dyDescent="0.3">
      <c r="G3774" s="24">
        <v>3762</v>
      </c>
      <c r="H3774">
        <f t="shared" ca="1" si="61"/>
        <v>-1.3267047688432232E-2</v>
      </c>
    </row>
    <row r="3775" spans="7:8" x14ac:dyDescent="0.3">
      <c r="G3775" s="24">
        <v>3763</v>
      </c>
      <c r="H3775">
        <f t="shared" ca="1" si="61"/>
        <v>-1.7768932346437127E-2</v>
      </c>
    </row>
    <row r="3776" spans="7:8" x14ac:dyDescent="0.3">
      <c r="G3776" s="24">
        <v>3764</v>
      </c>
      <c r="H3776">
        <f t="shared" ca="1" si="61"/>
        <v>0.11321845665497506</v>
      </c>
    </row>
    <row r="3777" spans="7:8" x14ac:dyDescent="0.3">
      <c r="G3777" s="24">
        <v>3765</v>
      </c>
      <c r="H3777">
        <f t="shared" ca="1" si="61"/>
        <v>-2.7921229333695171E-2</v>
      </c>
    </row>
    <row r="3778" spans="7:8" x14ac:dyDescent="0.3">
      <c r="G3778" s="24">
        <v>3766</v>
      </c>
      <c r="H3778">
        <f t="shared" ca="1" si="61"/>
        <v>-3.4467158681619516E-2</v>
      </c>
    </row>
    <row r="3779" spans="7:8" x14ac:dyDescent="0.3">
      <c r="G3779" s="24">
        <v>3767</v>
      </c>
      <c r="H3779">
        <f t="shared" ca="1" si="61"/>
        <v>-0.10567256431539424</v>
      </c>
    </row>
    <row r="3780" spans="7:8" x14ac:dyDescent="0.3">
      <c r="G3780" s="24">
        <v>3768</v>
      </c>
      <c r="H3780">
        <f t="shared" ca="1" si="61"/>
        <v>-2.4914342889308206E-2</v>
      </c>
    </row>
    <row r="3781" spans="7:8" x14ac:dyDescent="0.3">
      <c r="G3781" s="24">
        <v>3769</v>
      </c>
      <c r="H3781">
        <f t="shared" ca="1" si="61"/>
        <v>-2.0148528278332488E-2</v>
      </c>
    </row>
    <row r="3782" spans="7:8" x14ac:dyDescent="0.3">
      <c r="G3782" s="24">
        <v>3770</v>
      </c>
      <c r="H3782">
        <f t="shared" ca="1" si="61"/>
        <v>6.5032646970015789E-2</v>
      </c>
    </row>
    <row r="3783" spans="7:8" x14ac:dyDescent="0.3">
      <c r="G3783" s="24">
        <v>3771</v>
      </c>
      <c r="H3783">
        <f t="shared" ca="1" si="61"/>
        <v>-4.7494389978099141E-2</v>
      </c>
    </row>
    <row r="3784" spans="7:8" x14ac:dyDescent="0.3">
      <c r="G3784" s="24">
        <v>3772</v>
      </c>
      <c r="H3784">
        <f t="shared" ca="1" si="61"/>
        <v>9.3193277693155215E-3</v>
      </c>
    </row>
    <row r="3785" spans="7:8" x14ac:dyDescent="0.3">
      <c r="G3785" s="24">
        <v>3773</v>
      </c>
      <c r="H3785">
        <f t="shared" ca="1" si="61"/>
        <v>-5.9827128461225308E-2</v>
      </c>
    </row>
    <row r="3786" spans="7:8" x14ac:dyDescent="0.3">
      <c r="G3786" s="24">
        <v>3774</v>
      </c>
      <c r="H3786">
        <f t="shared" ca="1" si="61"/>
        <v>-3.3051192410064219E-2</v>
      </c>
    </row>
    <row r="3787" spans="7:8" x14ac:dyDescent="0.3">
      <c r="G3787" s="24">
        <v>3775</v>
      </c>
      <c r="H3787">
        <f t="shared" ca="1" si="61"/>
        <v>1.6276948407588428E-2</v>
      </c>
    </row>
    <row r="3788" spans="7:8" x14ac:dyDescent="0.3">
      <c r="G3788" s="24">
        <v>3776</v>
      </c>
      <c r="H3788">
        <f t="shared" ca="1" si="61"/>
        <v>3.2335859136753138E-2</v>
      </c>
    </row>
    <row r="3789" spans="7:8" x14ac:dyDescent="0.3">
      <c r="G3789" s="24">
        <v>3777</v>
      </c>
      <c r="H3789">
        <f t="shared" ca="1" si="61"/>
        <v>-0.1656067987187568</v>
      </c>
    </row>
    <row r="3790" spans="7:8" x14ac:dyDescent="0.3">
      <c r="G3790" s="24">
        <v>3778</v>
      </c>
      <c r="H3790">
        <f t="shared" ref="H3790:H3853" ca="1" si="62">_xlfn.NORM.INV(RAND(),N$13,N$14)</f>
        <v>9.3329852651412276E-2</v>
      </c>
    </row>
    <row r="3791" spans="7:8" x14ac:dyDescent="0.3">
      <c r="G3791" s="24">
        <v>3779</v>
      </c>
      <c r="H3791">
        <f t="shared" ca="1" si="62"/>
        <v>-2.4042296563120687E-2</v>
      </c>
    </row>
    <row r="3792" spans="7:8" x14ac:dyDescent="0.3">
      <c r="G3792" s="24">
        <v>3780</v>
      </c>
      <c r="H3792">
        <f t="shared" ca="1" si="62"/>
        <v>5.0587952210447033E-2</v>
      </c>
    </row>
    <row r="3793" spans="7:8" x14ac:dyDescent="0.3">
      <c r="G3793" s="24">
        <v>3781</v>
      </c>
      <c r="H3793">
        <f t="shared" ca="1" si="62"/>
        <v>3.2550614457715118E-3</v>
      </c>
    </row>
    <row r="3794" spans="7:8" x14ac:dyDescent="0.3">
      <c r="G3794" s="24">
        <v>3782</v>
      </c>
      <c r="H3794">
        <f t="shared" ca="1" si="62"/>
        <v>-8.7696324172818807E-2</v>
      </c>
    </row>
    <row r="3795" spans="7:8" x14ac:dyDescent="0.3">
      <c r="G3795" s="24">
        <v>3783</v>
      </c>
      <c r="H3795">
        <f t="shared" ca="1" si="62"/>
        <v>-0.10419556541695475</v>
      </c>
    </row>
    <row r="3796" spans="7:8" x14ac:dyDescent="0.3">
      <c r="G3796" s="24">
        <v>3784</v>
      </c>
      <c r="H3796">
        <f t="shared" ca="1" si="62"/>
        <v>1.0408301344719558E-2</v>
      </c>
    </row>
    <row r="3797" spans="7:8" x14ac:dyDescent="0.3">
      <c r="G3797" s="24">
        <v>3785</v>
      </c>
      <c r="H3797">
        <f t="shared" ca="1" si="62"/>
        <v>5.3786577944172957E-2</v>
      </c>
    </row>
    <row r="3798" spans="7:8" x14ac:dyDescent="0.3">
      <c r="G3798" s="24">
        <v>3786</v>
      </c>
      <c r="H3798">
        <f t="shared" ca="1" si="62"/>
        <v>-7.6342912990418316E-2</v>
      </c>
    </row>
    <row r="3799" spans="7:8" x14ac:dyDescent="0.3">
      <c r="G3799" s="24">
        <v>3787</v>
      </c>
      <c r="H3799">
        <f t="shared" ca="1" si="62"/>
        <v>1.1274173044852625E-2</v>
      </c>
    </row>
    <row r="3800" spans="7:8" x14ac:dyDescent="0.3">
      <c r="G3800" s="24">
        <v>3788</v>
      </c>
      <c r="H3800">
        <f t="shared" ca="1" si="62"/>
        <v>-2.7991138212453762E-2</v>
      </c>
    </row>
    <row r="3801" spans="7:8" x14ac:dyDescent="0.3">
      <c r="G3801" s="24">
        <v>3789</v>
      </c>
      <c r="H3801">
        <f t="shared" ca="1" si="62"/>
        <v>-4.3969523888265499E-2</v>
      </c>
    </row>
    <row r="3802" spans="7:8" x14ac:dyDescent="0.3">
      <c r="G3802" s="24">
        <v>3790</v>
      </c>
      <c r="H3802">
        <f t="shared" ca="1" si="62"/>
        <v>-4.892017116547763E-2</v>
      </c>
    </row>
    <row r="3803" spans="7:8" x14ac:dyDescent="0.3">
      <c r="G3803" s="24">
        <v>3791</v>
      </c>
      <c r="H3803">
        <f t="shared" ca="1" si="62"/>
        <v>-6.7717492223389505E-2</v>
      </c>
    </row>
    <row r="3804" spans="7:8" x14ac:dyDescent="0.3">
      <c r="G3804" s="24">
        <v>3792</v>
      </c>
      <c r="H3804">
        <f t="shared" ca="1" si="62"/>
        <v>2.7545079235027636E-2</v>
      </c>
    </row>
    <row r="3805" spans="7:8" x14ac:dyDescent="0.3">
      <c r="G3805" s="24">
        <v>3793</v>
      </c>
      <c r="H3805">
        <f t="shared" ca="1" si="62"/>
        <v>-2.2303816759465616E-2</v>
      </c>
    </row>
    <row r="3806" spans="7:8" x14ac:dyDescent="0.3">
      <c r="G3806" s="24">
        <v>3794</v>
      </c>
      <c r="H3806">
        <f t="shared" ca="1" si="62"/>
        <v>3.4781135768612512E-2</v>
      </c>
    </row>
    <row r="3807" spans="7:8" x14ac:dyDescent="0.3">
      <c r="G3807" s="24">
        <v>3795</v>
      </c>
      <c r="H3807">
        <f t="shared" ca="1" si="62"/>
        <v>1.3051351981959267E-2</v>
      </c>
    </row>
    <row r="3808" spans="7:8" x14ac:dyDescent="0.3">
      <c r="G3808" s="24">
        <v>3796</v>
      </c>
      <c r="H3808">
        <f t="shared" ca="1" si="62"/>
        <v>0.19856776803202131</v>
      </c>
    </row>
    <row r="3809" spans="7:8" x14ac:dyDescent="0.3">
      <c r="G3809" s="24">
        <v>3797</v>
      </c>
      <c r="H3809">
        <f t="shared" ca="1" si="62"/>
        <v>1.5848525483784313E-2</v>
      </c>
    </row>
    <row r="3810" spans="7:8" x14ac:dyDescent="0.3">
      <c r="G3810" s="24">
        <v>3798</v>
      </c>
      <c r="H3810">
        <f t="shared" ca="1" si="62"/>
        <v>-3.3917525879285891E-2</v>
      </c>
    </row>
    <row r="3811" spans="7:8" x14ac:dyDescent="0.3">
      <c r="G3811" s="24">
        <v>3799</v>
      </c>
      <c r="H3811">
        <f t="shared" ca="1" si="62"/>
        <v>-0.12997026418178897</v>
      </c>
    </row>
    <row r="3812" spans="7:8" x14ac:dyDescent="0.3">
      <c r="G3812" s="24">
        <v>3800</v>
      </c>
      <c r="H3812">
        <f t="shared" ca="1" si="62"/>
        <v>7.3495624422503791E-2</v>
      </c>
    </row>
    <row r="3813" spans="7:8" x14ac:dyDescent="0.3">
      <c r="G3813" s="24">
        <v>3801</v>
      </c>
      <c r="H3813">
        <f t="shared" ca="1" si="62"/>
        <v>0.18683318408769026</v>
      </c>
    </row>
    <row r="3814" spans="7:8" x14ac:dyDescent="0.3">
      <c r="G3814" s="24">
        <v>3802</v>
      </c>
      <c r="H3814">
        <f t="shared" ca="1" si="62"/>
        <v>7.5556240733626476E-2</v>
      </c>
    </row>
    <row r="3815" spans="7:8" x14ac:dyDescent="0.3">
      <c r="G3815" s="24">
        <v>3803</v>
      </c>
      <c r="H3815">
        <f t="shared" ca="1" si="62"/>
        <v>-1.4019385119371478E-3</v>
      </c>
    </row>
    <row r="3816" spans="7:8" x14ac:dyDescent="0.3">
      <c r="G3816" s="24">
        <v>3804</v>
      </c>
      <c r="H3816">
        <f t="shared" ca="1" si="62"/>
        <v>0.14912781933958266</v>
      </c>
    </row>
    <row r="3817" spans="7:8" x14ac:dyDescent="0.3">
      <c r="G3817" s="24">
        <v>3805</v>
      </c>
      <c r="H3817">
        <f t="shared" ca="1" si="62"/>
        <v>0.11050410654889704</v>
      </c>
    </row>
    <row r="3818" spans="7:8" x14ac:dyDescent="0.3">
      <c r="G3818" s="24">
        <v>3806</v>
      </c>
      <c r="H3818">
        <f t="shared" ca="1" si="62"/>
        <v>-0.10008283519349645</v>
      </c>
    </row>
    <row r="3819" spans="7:8" x14ac:dyDescent="0.3">
      <c r="G3819" s="24">
        <v>3807</v>
      </c>
      <c r="H3819">
        <f t="shared" ca="1" si="62"/>
        <v>0.11886517143864241</v>
      </c>
    </row>
    <row r="3820" spans="7:8" x14ac:dyDescent="0.3">
      <c r="G3820" s="24">
        <v>3808</v>
      </c>
      <c r="H3820">
        <f t="shared" ca="1" si="62"/>
        <v>-9.6565494525678572E-2</v>
      </c>
    </row>
    <row r="3821" spans="7:8" x14ac:dyDescent="0.3">
      <c r="G3821" s="24">
        <v>3809</v>
      </c>
      <c r="H3821">
        <f t="shared" ca="1" si="62"/>
        <v>4.5840379549125738E-2</v>
      </c>
    </row>
    <row r="3822" spans="7:8" x14ac:dyDescent="0.3">
      <c r="G3822" s="24">
        <v>3810</v>
      </c>
      <c r="H3822">
        <f t="shared" ca="1" si="62"/>
        <v>8.1568392131197598E-2</v>
      </c>
    </row>
    <row r="3823" spans="7:8" x14ac:dyDescent="0.3">
      <c r="G3823" s="24">
        <v>3811</v>
      </c>
      <c r="H3823">
        <f t="shared" ca="1" si="62"/>
        <v>2.4016748530987519E-2</v>
      </c>
    </row>
    <row r="3824" spans="7:8" x14ac:dyDescent="0.3">
      <c r="G3824" s="24">
        <v>3812</v>
      </c>
      <c r="H3824">
        <f t="shared" ca="1" si="62"/>
        <v>4.8733937024372891E-2</v>
      </c>
    </row>
    <row r="3825" spans="7:8" x14ac:dyDescent="0.3">
      <c r="G3825" s="24">
        <v>3813</v>
      </c>
      <c r="H3825">
        <f t="shared" ca="1" si="62"/>
        <v>0.12974578316893057</v>
      </c>
    </row>
    <row r="3826" spans="7:8" x14ac:dyDescent="0.3">
      <c r="G3826" s="24">
        <v>3814</v>
      </c>
      <c r="H3826">
        <f t="shared" ca="1" si="62"/>
        <v>1.1925138203044349E-3</v>
      </c>
    </row>
    <row r="3827" spans="7:8" x14ac:dyDescent="0.3">
      <c r="G3827" s="24">
        <v>3815</v>
      </c>
      <c r="H3827">
        <f t="shared" ca="1" si="62"/>
        <v>-2.6937794176850778E-2</v>
      </c>
    </row>
    <row r="3828" spans="7:8" x14ac:dyDescent="0.3">
      <c r="G3828" s="24">
        <v>3816</v>
      </c>
      <c r="H3828">
        <f t="shared" ca="1" si="62"/>
        <v>-4.7497334951782169E-2</v>
      </c>
    </row>
    <row r="3829" spans="7:8" x14ac:dyDescent="0.3">
      <c r="G3829" s="24">
        <v>3817</v>
      </c>
      <c r="H3829">
        <f t="shared" ca="1" si="62"/>
        <v>-5.3795872928112408E-2</v>
      </c>
    </row>
    <row r="3830" spans="7:8" x14ac:dyDescent="0.3">
      <c r="G3830" s="24">
        <v>3818</v>
      </c>
      <c r="H3830">
        <f t="shared" ca="1" si="62"/>
        <v>-5.0409260956248564E-2</v>
      </c>
    </row>
    <row r="3831" spans="7:8" x14ac:dyDescent="0.3">
      <c r="G3831" s="24">
        <v>3819</v>
      </c>
      <c r="H3831">
        <f t="shared" ca="1" si="62"/>
        <v>4.2885008520082049E-2</v>
      </c>
    </row>
    <row r="3832" spans="7:8" x14ac:dyDescent="0.3">
      <c r="G3832" s="24">
        <v>3820</v>
      </c>
      <c r="H3832">
        <f t="shared" ca="1" si="62"/>
        <v>2.6830611549235193E-2</v>
      </c>
    </row>
    <row r="3833" spans="7:8" x14ac:dyDescent="0.3">
      <c r="G3833" s="24">
        <v>3821</v>
      </c>
      <c r="H3833">
        <f t="shared" ca="1" si="62"/>
        <v>-1.1212466971624877E-2</v>
      </c>
    </row>
    <row r="3834" spans="7:8" x14ac:dyDescent="0.3">
      <c r="G3834" s="24">
        <v>3822</v>
      </c>
      <c r="H3834">
        <f t="shared" ca="1" si="62"/>
        <v>4.013570417367536E-2</v>
      </c>
    </row>
    <row r="3835" spans="7:8" x14ac:dyDescent="0.3">
      <c r="G3835" s="24">
        <v>3823</v>
      </c>
      <c r="H3835">
        <f t="shared" ca="1" si="62"/>
        <v>2.0459742666998279E-2</v>
      </c>
    </row>
    <row r="3836" spans="7:8" x14ac:dyDescent="0.3">
      <c r="G3836" s="24">
        <v>3824</v>
      </c>
      <c r="H3836">
        <f t="shared" ca="1" si="62"/>
        <v>5.6384779294917024E-2</v>
      </c>
    </row>
    <row r="3837" spans="7:8" x14ac:dyDescent="0.3">
      <c r="G3837" s="24">
        <v>3825</v>
      </c>
      <c r="H3837">
        <f t="shared" ca="1" si="62"/>
        <v>-6.3583020646651278E-2</v>
      </c>
    </row>
    <row r="3838" spans="7:8" x14ac:dyDescent="0.3">
      <c r="G3838" s="24">
        <v>3826</v>
      </c>
      <c r="H3838">
        <f t="shared" ca="1" si="62"/>
        <v>-4.7992443375527308E-4</v>
      </c>
    </row>
    <row r="3839" spans="7:8" x14ac:dyDescent="0.3">
      <c r="G3839" s="24">
        <v>3827</v>
      </c>
      <c r="H3839">
        <f t="shared" ca="1" si="62"/>
        <v>-8.284875424046817E-2</v>
      </c>
    </row>
    <row r="3840" spans="7:8" x14ac:dyDescent="0.3">
      <c r="G3840" s="24">
        <v>3828</v>
      </c>
      <c r="H3840">
        <f t="shared" ca="1" si="62"/>
        <v>-0.13067399265911689</v>
      </c>
    </row>
    <row r="3841" spans="7:8" x14ac:dyDescent="0.3">
      <c r="G3841" s="24">
        <v>3829</v>
      </c>
      <c r="H3841">
        <f t="shared" ca="1" si="62"/>
        <v>4.0960602174234473E-2</v>
      </c>
    </row>
    <row r="3842" spans="7:8" x14ac:dyDescent="0.3">
      <c r="G3842" s="24">
        <v>3830</v>
      </c>
      <c r="H3842">
        <f t="shared" ca="1" si="62"/>
        <v>-6.4917753325721528E-2</v>
      </c>
    </row>
    <row r="3843" spans="7:8" x14ac:dyDescent="0.3">
      <c r="G3843" s="24">
        <v>3831</v>
      </c>
      <c r="H3843">
        <f t="shared" ca="1" si="62"/>
        <v>4.5397003002621665E-2</v>
      </c>
    </row>
    <row r="3844" spans="7:8" x14ac:dyDescent="0.3">
      <c r="G3844" s="24">
        <v>3832</v>
      </c>
      <c r="H3844">
        <f t="shared" ca="1" si="62"/>
        <v>6.0666731632855006E-2</v>
      </c>
    </row>
    <row r="3845" spans="7:8" x14ac:dyDescent="0.3">
      <c r="G3845" s="24">
        <v>3833</v>
      </c>
      <c r="H3845">
        <f t="shared" ca="1" si="62"/>
        <v>6.5447660774791069E-2</v>
      </c>
    </row>
    <row r="3846" spans="7:8" x14ac:dyDescent="0.3">
      <c r="G3846" s="24">
        <v>3834</v>
      </c>
      <c r="H3846">
        <f t="shared" ca="1" si="62"/>
        <v>0.1153695237063025</v>
      </c>
    </row>
    <row r="3847" spans="7:8" x14ac:dyDescent="0.3">
      <c r="G3847" s="24">
        <v>3835</v>
      </c>
      <c r="H3847">
        <f t="shared" ca="1" si="62"/>
        <v>0.11721783151847955</v>
      </c>
    </row>
    <row r="3848" spans="7:8" x14ac:dyDescent="0.3">
      <c r="G3848" s="24">
        <v>3836</v>
      </c>
      <c r="H3848">
        <f t="shared" ca="1" si="62"/>
        <v>-1.769836172271274E-2</v>
      </c>
    </row>
    <row r="3849" spans="7:8" x14ac:dyDescent="0.3">
      <c r="G3849" s="24">
        <v>3837</v>
      </c>
      <c r="H3849">
        <f t="shared" ca="1" si="62"/>
        <v>-2.7144580867091449E-2</v>
      </c>
    </row>
    <row r="3850" spans="7:8" x14ac:dyDescent="0.3">
      <c r="G3850" s="24">
        <v>3838</v>
      </c>
      <c r="H3850">
        <f t="shared" ca="1" si="62"/>
        <v>3.5571442647879876E-2</v>
      </c>
    </row>
    <row r="3851" spans="7:8" x14ac:dyDescent="0.3">
      <c r="G3851" s="24">
        <v>3839</v>
      </c>
      <c r="H3851">
        <f t="shared" ca="1" si="62"/>
        <v>3.5002600471970092E-3</v>
      </c>
    </row>
    <row r="3852" spans="7:8" x14ac:dyDescent="0.3">
      <c r="G3852" s="24">
        <v>3840</v>
      </c>
      <c r="H3852">
        <f t="shared" ca="1" si="62"/>
        <v>4.1383129990501831E-2</v>
      </c>
    </row>
    <row r="3853" spans="7:8" x14ac:dyDescent="0.3">
      <c r="G3853" s="24">
        <v>3841</v>
      </c>
      <c r="H3853">
        <f t="shared" ca="1" si="62"/>
        <v>5.091412390521672E-2</v>
      </c>
    </row>
    <row r="3854" spans="7:8" x14ac:dyDescent="0.3">
      <c r="G3854" s="24">
        <v>3842</v>
      </c>
      <c r="H3854">
        <f t="shared" ref="H3854:H3917" ca="1" si="63">_xlfn.NORM.INV(RAND(),N$13,N$14)</f>
        <v>5.4550265489004914E-2</v>
      </c>
    </row>
    <row r="3855" spans="7:8" x14ac:dyDescent="0.3">
      <c r="G3855" s="24">
        <v>3843</v>
      </c>
      <c r="H3855">
        <f t="shared" ca="1" si="63"/>
        <v>-2.3875733171488448E-2</v>
      </c>
    </row>
    <row r="3856" spans="7:8" x14ac:dyDescent="0.3">
      <c r="G3856" s="24">
        <v>3844</v>
      </c>
      <c r="H3856">
        <f t="shared" ca="1" si="63"/>
        <v>6.4842451033656323E-2</v>
      </c>
    </row>
    <row r="3857" spans="7:8" x14ac:dyDescent="0.3">
      <c r="G3857" s="24">
        <v>3845</v>
      </c>
      <c r="H3857">
        <f t="shared" ca="1" si="63"/>
        <v>1.2902155438838925E-2</v>
      </c>
    </row>
    <row r="3858" spans="7:8" x14ac:dyDescent="0.3">
      <c r="G3858" s="24">
        <v>3846</v>
      </c>
      <c r="H3858">
        <f t="shared" ca="1" si="63"/>
        <v>2.9116048400981073E-2</v>
      </c>
    </row>
    <row r="3859" spans="7:8" x14ac:dyDescent="0.3">
      <c r="G3859" s="24">
        <v>3847</v>
      </c>
      <c r="H3859">
        <f t="shared" ca="1" si="63"/>
        <v>-3.5691020180398422E-2</v>
      </c>
    </row>
    <row r="3860" spans="7:8" x14ac:dyDescent="0.3">
      <c r="G3860" s="24">
        <v>3848</v>
      </c>
      <c r="H3860">
        <f t="shared" ca="1" si="63"/>
        <v>9.7482433849119712E-2</v>
      </c>
    </row>
    <row r="3861" spans="7:8" x14ac:dyDescent="0.3">
      <c r="G3861" s="24">
        <v>3849</v>
      </c>
      <c r="H3861">
        <f t="shared" ca="1" si="63"/>
        <v>-2.2105945120349493E-2</v>
      </c>
    </row>
    <row r="3862" spans="7:8" x14ac:dyDescent="0.3">
      <c r="G3862" s="24">
        <v>3850</v>
      </c>
      <c r="H3862">
        <f t="shared" ca="1" si="63"/>
        <v>3.4673836605477876E-2</v>
      </c>
    </row>
    <row r="3863" spans="7:8" x14ac:dyDescent="0.3">
      <c r="G3863" s="24">
        <v>3851</v>
      </c>
      <c r="H3863">
        <f t="shared" ca="1" si="63"/>
        <v>-1.6973676309731334E-2</v>
      </c>
    </row>
    <row r="3864" spans="7:8" x14ac:dyDescent="0.3">
      <c r="G3864" s="24">
        <v>3852</v>
      </c>
      <c r="H3864">
        <f t="shared" ca="1" si="63"/>
        <v>1.5431610040814553E-2</v>
      </c>
    </row>
    <row r="3865" spans="7:8" x14ac:dyDescent="0.3">
      <c r="G3865" s="24">
        <v>3853</v>
      </c>
      <c r="H3865">
        <f t="shared" ca="1" si="63"/>
        <v>3.8652798992506884E-2</v>
      </c>
    </row>
    <row r="3866" spans="7:8" x14ac:dyDescent="0.3">
      <c r="G3866" s="24">
        <v>3854</v>
      </c>
      <c r="H3866">
        <f t="shared" ca="1" si="63"/>
        <v>-0.13090934697112439</v>
      </c>
    </row>
    <row r="3867" spans="7:8" x14ac:dyDescent="0.3">
      <c r="G3867" s="24">
        <v>3855</v>
      </c>
      <c r="H3867">
        <f t="shared" ca="1" si="63"/>
        <v>-7.5523330585636678E-2</v>
      </c>
    </row>
    <row r="3868" spans="7:8" x14ac:dyDescent="0.3">
      <c r="G3868" s="24">
        <v>3856</v>
      </c>
      <c r="H3868">
        <f t="shared" ca="1" si="63"/>
        <v>1.8124250394394376E-2</v>
      </c>
    </row>
    <row r="3869" spans="7:8" x14ac:dyDescent="0.3">
      <c r="G3869" s="24">
        <v>3857</v>
      </c>
      <c r="H3869">
        <f t="shared" ca="1" si="63"/>
        <v>6.9552285542897035E-3</v>
      </c>
    </row>
    <row r="3870" spans="7:8" x14ac:dyDescent="0.3">
      <c r="G3870" s="24">
        <v>3858</v>
      </c>
      <c r="H3870">
        <f t="shared" ca="1" si="63"/>
        <v>1.8721396273013488E-2</v>
      </c>
    </row>
    <row r="3871" spans="7:8" x14ac:dyDescent="0.3">
      <c r="G3871" s="24">
        <v>3859</v>
      </c>
      <c r="H3871">
        <f t="shared" ca="1" si="63"/>
        <v>1.1701611005955955E-2</v>
      </c>
    </row>
    <row r="3872" spans="7:8" x14ac:dyDescent="0.3">
      <c r="G3872" s="24">
        <v>3860</v>
      </c>
      <c r="H3872">
        <f t="shared" ca="1" si="63"/>
        <v>2.9910314216654181E-2</v>
      </c>
    </row>
    <row r="3873" spans="7:8" x14ac:dyDescent="0.3">
      <c r="G3873" s="24">
        <v>3861</v>
      </c>
      <c r="H3873">
        <f t="shared" ca="1" si="63"/>
        <v>-0.12512410282496902</v>
      </c>
    </row>
    <row r="3874" spans="7:8" x14ac:dyDescent="0.3">
      <c r="G3874" s="24">
        <v>3862</v>
      </c>
      <c r="H3874">
        <f t="shared" ca="1" si="63"/>
        <v>3.763561343282068E-2</v>
      </c>
    </row>
    <row r="3875" spans="7:8" x14ac:dyDescent="0.3">
      <c r="G3875" s="24">
        <v>3863</v>
      </c>
      <c r="H3875">
        <f t="shared" ca="1" si="63"/>
        <v>-7.2789726225847839E-2</v>
      </c>
    </row>
    <row r="3876" spans="7:8" x14ac:dyDescent="0.3">
      <c r="G3876" s="24">
        <v>3864</v>
      </c>
      <c r="H3876">
        <f t="shared" ca="1" si="63"/>
        <v>-7.6891716195163662E-2</v>
      </c>
    </row>
    <row r="3877" spans="7:8" x14ac:dyDescent="0.3">
      <c r="G3877" s="24">
        <v>3865</v>
      </c>
      <c r="H3877">
        <f t="shared" ca="1" si="63"/>
        <v>-3.7373429192035491E-2</v>
      </c>
    </row>
    <row r="3878" spans="7:8" x14ac:dyDescent="0.3">
      <c r="G3878" s="24">
        <v>3866</v>
      </c>
      <c r="H3878">
        <f t="shared" ca="1" si="63"/>
        <v>2.1290008247169174E-3</v>
      </c>
    </row>
    <row r="3879" spans="7:8" x14ac:dyDescent="0.3">
      <c r="G3879" s="24">
        <v>3867</v>
      </c>
      <c r="H3879">
        <f t="shared" ca="1" si="63"/>
        <v>-3.5507450504497612E-3</v>
      </c>
    </row>
    <row r="3880" spans="7:8" x14ac:dyDescent="0.3">
      <c r="G3880" s="24">
        <v>3868</v>
      </c>
      <c r="H3880">
        <f t="shared" ca="1" si="63"/>
        <v>-2.1586056660164821E-2</v>
      </c>
    </row>
    <row r="3881" spans="7:8" x14ac:dyDescent="0.3">
      <c r="G3881" s="24">
        <v>3869</v>
      </c>
      <c r="H3881">
        <f t="shared" ca="1" si="63"/>
        <v>-5.718631578320113E-2</v>
      </c>
    </row>
    <row r="3882" spans="7:8" x14ac:dyDescent="0.3">
      <c r="G3882" s="24">
        <v>3870</v>
      </c>
      <c r="H3882">
        <f t="shared" ca="1" si="63"/>
        <v>-7.5322525329173193E-3</v>
      </c>
    </row>
    <row r="3883" spans="7:8" x14ac:dyDescent="0.3">
      <c r="G3883" s="24">
        <v>3871</v>
      </c>
      <c r="H3883">
        <f t="shared" ca="1" si="63"/>
        <v>8.382863049661754E-2</v>
      </c>
    </row>
    <row r="3884" spans="7:8" x14ac:dyDescent="0.3">
      <c r="G3884" s="24">
        <v>3872</v>
      </c>
      <c r="H3884">
        <f t="shared" ca="1" si="63"/>
        <v>5.7541868228008643E-2</v>
      </c>
    </row>
    <row r="3885" spans="7:8" x14ac:dyDescent="0.3">
      <c r="G3885" s="24">
        <v>3873</v>
      </c>
      <c r="H3885">
        <f t="shared" ca="1" si="63"/>
        <v>5.7378381436900772E-2</v>
      </c>
    </row>
    <row r="3886" spans="7:8" x14ac:dyDescent="0.3">
      <c r="G3886" s="24">
        <v>3874</v>
      </c>
      <c r="H3886">
        <f t="shared" ca="1" si="63"/>
        <v>9.0927975366322619E-2</v>
      </c>
    </row>
    <row r="3887" spans="7:8" x14ac:dyDescent="0.3">
      <c r="G3887" s="24">
        <v>3875</v>
      </c>
      <c r="H3887">
        <f t="shared" ca="1" si="63"/>
        <v>3.9241307269321749E-2</v>
      </c>
    </row>
    <row r="3888" spans="7:8" x14ac:dyDescent="0.3">
      <c r="G3888" s="24">
        <v>3876</v>
      </c>
      <c r="H3888">
        <f t="shared" ca="1" si="63"/>
        <v>-5.2264981501219374E-2</v>
      </c>
    </row>
    <row r="3889" spans="7:8" x14ac:dyDescent="0.3">
      <c r="G3889" s="24">
        <v>3877</v>
      </c>
      <c r="H3889">
        <f t="shared" ca="1" si="63"/>
        <v>-5.3883976496290682E-2</v>
      </c>
    </row>
    <row r="3890" spans="7:8" x14ac:dyDescent="0.3">
      <c r="G3890" s="24">
        <v>3878</v>
      </c>
      <c r="H3890">
        <f t="shared" ca="1" si="63"/>
        <v>-3.2888635011015376E-2</v>
      </c>
    </row>
    <row r="3891" spans="7:8" x14ac:dyDescent="0.3">
      <c r="G3891" s="24">
        <v>3879</v>
      </c>
      <c r="H3891">
        <f t="shared" ca="1" si="63"/>
        <v>4.6973294851438141E-2</v>
      </c>
    </row>
    <row r="3892" spans="7:8" x14ac:dyDescent="0.3">
      <c r="G3892" s="24">
        <v>3880</v>
      </c>
      <c r="H3892">
        <f t="shared" ca="1" si="63"/>
        <v>5.1862317031985988E-2</v>
      </c>
    </row>
    <row r="3893" spans="7:8" x14ac:dyDescent="0.3">
      <c r="G3893" s="24">
        <v>3881</v>
      </c>
      <c r="H3893">
        <f t="shared" ca="1" si="63"/>
        <v>-8.2182622943239969E-2</v>
      </c>
    </row>
    <row r="3894" spans="7:8" x14ac:dyDescent="0.3">
      <c r="G3894" s="24">
        <v>3882</v>
      </c>
      <c r="H3894">
        <f t="shared" ca="1" si="63"/>
        <v>-1.5594012741649434E-2</v>
      </c>
    </row>
    <row r="3895" spans="7:8" x14ac:dyDescent="0.3">
      <c r="G3895" s="24">
        <v>3883</v>
      </c>
      <c r="H3895">
        <f t="shared" ca="1" si="63"/>
        <v>-3.5298538054174836E-2</v>
      </c>
    </row>
    <row r="3896" spans="7:8" x14ac:dyDescent="0.3">
      <c r="G3896" s="24">
        <v>3884</v>
      </c>
      <c r="H3896">
        <f t="shared" ca="1" si="63"/>
        <v>-6.6376364055106066E-2</v>
      </c>
    </row>
    <row r="3897" spans="7:8" x14ac:dyDescent="0.3">
      <c r="G3897" s="24">
        <v>3885</v>
      </c>
      <c r="H3897">
        <f t="shared" ca="1" si="63"/>
        <v>3.5711794097784015E-2</v>
      </c>
    </row>
    <row r="3898" spans="7:8" x14ac:dyDescent="0.3">
      <c r="G3898" s="24">
        <v>3886</v>
      </c>
      <c r="H3898">
        <f t="shared" ca="1" si="63"/>
        <v>0.17167046843772246</v>
      </c>
    </row>
    <row r="3899" spans="7:8" x14ac:dyDescent="0.3">
      <c r="G3899" s="24">
        <v>3887</v>
      </c>
      <c r="H3899">
        <f t="shared" ca="1" si="63"/>
        <v>5.3247663711217308E-2</v>
      </c>
    </row>
    <row r="3900" spans="7:8" x14ac:dyDescent="0.3">
      <c r="G3900" s="24">
        <v>3888</v>
      </c>
      <c r="H3900">
        <f t="shared" ca="1" si="63"/>
        <v>3.5034720030250599E-3</v>
      </c>
    </row>
    <row r="3901" spans="7:8" x14ac:dyDescent="0.3">
      <c r="G3901" s="24">
        <v>3889</v>
      </c>
      <c r="H3901">
        <f t="shared" ca="1" si="63"/>
        <v>0.12245365836198878</v>
      </c>
    </row>
    <row r="3902" spans="7:8" x14ac:dyDescent="0.3">
      <c r="G3902" s="24">
        <v>3890</v>
      </c>
      <c r="H3902">
        <f t="shared" ca="1" si="63"/>
        <v>0.11947141430806997</v>
      </c>
    </row>
    <row r="3903" spans="7:8" x14ac:dyDescent="0.3">
      <c r="G3903" s="24">
        <v>3891</v>
      </c>
      <c r="H3903">
        <f t="shared" ca="1" si="63"/>
        <v>-2.2173723649826872E-2</v>
      </c>
    </row>
    <row r="3904" spans="7:8" x14ac:dyDescent="0.3">
      <c r="G3904" s="24">
        <v>3892</v>
      </c>
      <c r="H3904">
        <f t="shared" ca="1" si="63"/>
        <v>7.860483517120842E-2</v>
      </c>
    </row>
    <row r="3905" spans="7:8" x14ac:dyDescent="0.3">
      <c r="G3905" s="24">
        <v>3893</v>
      </c>
      <c r="H3905">
        <f t="shared" ca="1" si="63"/>
        <v>0.11966846939824687</v>
      </c>
    </row>
    <row r="3906" spans="7:8" x14ac:dyDescent="0.3">
      <c r="G3906" s="24">
        <v>3894</v>
      </c>
      <c r="H3906">
        <f t="shared" ca="1" si="63"/>
        <v>1.5480248449376894E-2</v>
      </c>
    </row>
    <row r="3907" spans="7:8" x14ac:dyDescent="0.3">
      <c r="G3907" s="24">
        <v>3895</v>
      </c>
      <c r="H3907">
        <f t="shared" ca="1" si="63"/>
        <v>0.12581344358042898</v>
      </c>
    </row>
    <row r="3908" spans="7:8" x14ac:dyDescent="0.3">
      <c r="G3908" s="24">
        <v>3896</v>
      </c>
      <c r="H3908">
        <f t="shared" ca="1" si="63"/>
        <v>9.6601091567427355E-2</v>
      </c>
    </row>
    <row r="3909" spans="7:8" x14ac:dyDescent="0.3">
      <c r="G3909" s="24">
        <v>3897</v>
      </c>
      <c r="H3909">
        <f t="shared" ca="1" si="63"/>
        <v>6.113687882721585E-2</v>
      </c>
    </row>
    <row r="3910" spans="7:8" x14ac:dyDescent="0.3">
      <c r="G3910" s="24">
        <v>3898</v>
      </c>
      <c r="H3910">
        <f t="shared" ca="1" si="63"/>
        <v>5.4755990224933403E-2</v>
      </c>
    </row>
    <row r="3911" spans="7:8" x14ac:dyDescent="0.3">
      <c r="G3911" s="24">
        <v>3899</v>
      </c>
      <c r="H3911">
        <f t="shared" ca="1" si="63"/>
        <v>-1.3148068998404323E-2</v>
      </c>
    </row>
    <row r="3912" spans="7:8" x14ac:dyDescent="0.3">
      <c r="G3912" s="24">
        <v>3900</v>
      </c>
      <c r="H3912">
        <f t="shared" ca="1" si="63"/>
        <v>-2.8475241056837776E-2</v>
      </c>
    </row>
    <row r="3913" spans="7:8" x14ac:dyDescent="0.3">
      <c r="G3913" s="24">
        <v>3901</v>
      </c>
      <c r="H3913">
        <f t="shared" ca="1" si="63"/>
        <v>-6.7293661998131027E-2</v>
      </c>
    </row>
    <row r="3914" spans="7:8" x14ac:dyDescent="0.3">
      <c r="G3914" s="24">
        <v>3902</v>
      </c>
      <c r="H3914">
        <f t="shared" ca="1" si="63"/>
        <v>1.1830701038526899E-2</v>
      </c>
    </row>
    <row r="3915" spans="7:8" x14ac:dyDescent="0.3">
      <c r="G3915" s="24">
        <v>3903</v>
      </c>
      <c r="H3915">
        <f t="shared" ca="1" si="63"/>
        <v>-3.633449198382515E-2</v>
      </c>
    </row>
    <row r="3916" spans="7:8" x14ac:dyDescent="0.3">
      <c r="G3916" s="24">
        <v>3904</v>
      </c>
      <c r="H3916">
        <f t="shared" ca="1" si="63"/>
        <v>-8.5368641600746628E-2</v>
      </c>
    </row>
    <row r="3917" spans="7:8" x14ac:dyDescent="0.3">
      <c r="G3917" s="24">
        <v>3905</v>
      </c>
      <c r="H3917">
        <f t="shared" ca="1" si="63"/>
        <v>1.1742696371363217E-2</v>
      </c>
    </row>
    <row r="3918" spans="7:8" x14ac:dyDescent="0.3">
      <c r="G3918" s="24">
        <v>3906</v>
      </c>
      <c r="H3918">
        <f t="shared" ref="H3918:H3981" ca="1" si="64">_xlfn.NORM.INV(RAND(),N$13,N$14)</f>
        <v>4.3011572819335063E-2</v>
      </c>
    </row>
    <row r="3919" spans="7:8" x14ac:dyDescent="0.3">
      <c r="G3919" s="24">
        <v>3907</v>
      </c>
      <c r="H3919">
        <f t="shared" ca="1" si="64"/>
        <v>2.6395211022515564E-2</v>
      </c>
    </row>
    <row r="3920" spans="7:8" x14ac:dyDescent="0.3">
      <c r="G3920" s="24">
        <v>3908</v>
      </c>
      <c r="H3920">
        <f t="shared" ca="1" si="64"/>
        <v>6.1869897652530745E-2</v>
      </c>
    </row>
    <row r="3921" spans="7:8" x14ac:dyDescent="0.3">
      <c r="G3921" s="24">
        <v>3909</v>
      </c>
      <c r="H3921">
        <f t="shared" ca="1" si="64"/>
        <v>5.0826019414076565E-2</v>
      </c>
    </row>
    <row r="3922" spans="7:8" x14ac:dyDescent="0.3">
      <c r="G3922" s="24">
        <v>3910</v>
      </c>
      <c r="H3922">
        <f t="shared" ca="1" si="64"/>
        <v>3.0570928730208918E-2</v>
      </c>
    </row>
    <row r="3923" spans="7:8" x14ac:dyDescent="0.3">
      <c r="G3923" s="24">
        <v>3911</v>
      </c>
      <c r="H3923">
        <f t="shared" ca="1" si="64"/>
        <v>9.3239974754354263E-2</v>
      </c>
    </row>
    <row r="3924" spans="7:8" x14ac:dyDescent="0.3">
      <c r="G3924" s="24">
        <v>3912</v>
      </c>
      <c r="H3924">
        <f t="shared" ca="1" si="64"/>
        <v>1.9950208663051081E-3</v>
      </c>
    </row>
    <row r="3925" spans="7:8" x14ac:dyDescent="0.3">
      <c r="G3925" s="24">
        <v>3913</v>
      </c>
      <c r="H3925">
        <f t="shared" ca="1" si="64"/>
        <v>-9.3713649891031633E-2</v>
      </c>
    </row>
    <row r="3926" spans="7:8" x14ac:dyDescent="0.3">
      <c r="G3926" s="24">
        <v>3914</v>
      </c>
      <c r="H3926">
        <f t="shared" ca="1" si="64"/>
        <v>1.1162469854272777E-2</v>
      </c>
    </row>
    <row r="3927" spans="7:8" x14ac:dyDescent="0.3">
      <c r="G3927" s="24">
        <v>3915</v>
      </c>
      <c r="H3927">
        <f t="shared" ca="1" si="64"/>
        <v>2.2314620417491712E-2</v>
      </c>
    </row>
    <row r="3928" spans="7:8" x14ac:dyDescent="0.3">
      <c r="G3928" s="24">
        <v>3916</v>
      </c>
      <c r="H3928">
        <f t="shared" ca="1" si="64"/>
        <v>-6.5122106211112391E-2</v>
      </c>
    </row>
    <row r="3929" spans="7:8" x14ac:dyDescent="0.3">
      <c r="G3929" s="24">
        <v>3917</v>
      </c>
      <c r="H3929">
        <f t="shared" ca="1" si="64"/>
        <v>1.5779210668981865E-2</v>
      </c>
    </row>
    <row r="3930" spans="7:8" x14ac:dyDescent="0.3">
      <c r="G3930" s="24">
        <v>3918</v>
      </c>
      <c r="H3930">
        <f t="shared" ca="1" si="64"/>
        <v>-2.8682701448586281E-2</v>
      </c>
    </row>
    <row r="3931" spans="7:8" x14ac:dyDescent="0.3">
      <c r="G3931" s="24">
        <v>3919</v>
      </c>
      <c r="H3931">
        <f t="shared" ca="1" si="64"/>
        <v>-8.3080997183149388E-2</v>
      </c>
    </row>
    <row r="3932" spans="7:8" x14ac:dyDescent="0.3">
      <c r="G3932" s="24">
        <v>3920</v>
      </c>
      <c r="H3932">
        <f t="shared" ca="1" si="64"/>
        <v>2.0191228273621162E-2</v>
      </c>
    </row>
    <row r="3933" spans="7:8" x14ac:dyDescent="0.3">
      <c r="G3933" s="24">
        <v>3921</v>
      </c>
      <c r="H3933">
        <f t="shared" ca="1" si="64"/>
        <v>-0.10617272980436195</v>
      </c>
    </row>
    <row r="3934" spans="7:8" x14ac:dyDescent="0.3">
      <c r="G3934" s="24">
        <v>3922</v>
      </c>
      <c r="H3934">
        <f t="shared" ca="1" si="64"/>
        <v>-8.2983213714068998E-2</v>
      </c>
    </row>
    <row r="3935" spans="7:8" x14ac:dyDescent="0.3">
      <c r="G3935" s="24">
        <v>3923</v>
      </c>
      <c r="H3935">
        <f t="shared" ca="1" si="64"/>
        <v>-9.630521935406143E-2</v>
      </c>
    </row>
    <row r="3936" spans="7:8" x14ac:dyDescent="0.3">
      <c r="G3936" s="24">
        <v>3924</v>
      </c>
      <c r="H3936">
        <f t="shared" ca="1" si="64"/>
        <v>-3.2359605015922603E-2</v>
      </c>
    </row>
    <row r="3937" spans="7:8" x14ac:dyDescent="0.3">
      <c r="G3937" s="24">
        <v>3925</v>
      </c>
      <c r="H3937">
        <f t="shared" ca="1" si="64"/>
        <v>-3.6190877450765574E-2</v>
      </c>
    </row>
    <row r="3938" spans="7:8" x14ac:dyDescent="0.3">
      <c r="G3938" s="24">
        <v>3926</v>
      </c>
      <c r="H3938">
        <f t="shared" ca="1" si="64"/>
        <v>-2.8040057060635955E-2</v>
      </c>
    </row>
    <row r="3939" spans="7:8" x14ac:dyDescent="0.3">
      <c r="G3939" s="24">
        <v>3927</v>
      </c>
      <c r="H3939">
        <f t="shared" ca="1" si="64"/>
        <v>-9.3790547949190714E-2</v>
      </c>
    </row>
    <row r="3940" spans="7:8" x14ac:dyDescent="0.3">
      <c r="G3940" s="24">
        <v>3928</v>
      </c>
      <c r="H3940">
        <f t="shared" ca="1" si="64"/>
        <v>0.11020232667036071</v>
      </c>
    </row>
    <row r="3941" spans="7:8" x14ac:dyDescent="0.3">
      <c r="G3941" s="24">
        <v>3929</v>
      </c>
      <c r="H3941">
        <f t="shared" ca="1" si="64"/>
        <v>-4.1687223136499897E-2</v>
      </c>
    </row>
    <row r="3942" spans="7:8" x14ac:dyDescent="0.3">
      <c r="G3942" s="24">
        <v>3930</v>
      </c>
      <c r="H3942">
        <f t="shared" ca="1" si="64"/>
        <v>-5.1515838788358588E-2</v>
      </c>
    </row>
    <row r="3943" spans="7:8" x14ac:dyDescent="0.3">
      <c r="G3943" s="24">
        <v>3931</v>
      </c>
      <c r="H3943">
        <f t="shared" ca="1" si="64"/>
        <v>-7.8637066150352569E-2</v>
      </c>
    </row>
    <row r="3944" spans="7:8" x14ac:dyDescent="0.3">
      <c r="G3944" s="24">
        <v>3932</v>
      </c>
      <c r="H3944">
        <f t="shared" ca="1" si="64"/>
        <v>0.14268681955447646</v>
      </c>
    </row>
    <row r="3945" spans="7:8" x14ac:dyDescent="0.3">
      <c r="G3945" s="24">
        <v>3933</v>
      </c>
      <c r="H3945">
        <f t="shared" ca="1" si="64"/>
        <v>-6.5467192242074118E-2</v>
      </c>
    </row>
    <row r="3946" spans="7:8" x14ac:dyDescent="0.3">
      <c r="G3946" s="24">
        <v>3934</v>
      </c>
      <c r="H3946">
        <f t="shared" ca="1" si="64"/>
        <v>7.7500337593437024E-2</v>
      </c>
    </row>
    <row r="3947" spans="7:8" x14ac:dyDescent="0.3">
      <c r="G3947" s="24">
        <v>3935</v>
      </c>
      <c r="H3947">
        <f t="shared" ca="1" si="64"/>
        <v>0.14005021593545949</v>
      </c>
    </row>
    <row r="3948" spans="7:8" x14ac:dyDescent="0.3">
      <c r="G3948" s="24">
        <v>3936</v>
      </c>
      <c r="H3948">
        <f t="shared" ca="1" si="64"/>
        <v>3.1875691457042506E-2</v>
      </c>
    </row>
    <row r="3949" spans="7:8" x14ac:dyDescent="0.3">
      <c r="G3949" s="24">
        <v>3937</v>
      </c>
      <c r="H3949">
        <f t="shared" ca="1" si="64"/>
        <v>-3.4352253289819973E-2</v>
      </c>
    </row>
    <row r="3950" spans="7:8" x14ac:dyDescent="0.3">
      <c r="G3950" s="24">
        <v>3938</v>
      </c>
      <c r="H3950">
        <f t="shared" ca="1" si="64"/>
        <v>1.0671633653881542E-2</v>
      </c>
    </row>
    <row r="3951" spans="7:8" x14ac:dyDescent="0.3">
      <c r="G3951" s="24">
        <v>3939</v>
      </c>
      <c r="H3951">
        <f t="shared" ca="1" si="64"/>
        <v>0.13250050118458956</v>
      </c>
    </row>
    <row r="3952" spans="7:8" x14ac:dyDescent="0.3">
      <c r="G3952" s="24">
        <v>3940</v>
      </c>
      <c r="H3952">
        <f t="shared" ca="1" si="64"/>
        <v>8.7927495254299215E-2</v>
      </c>
    </row>
    <row r="3953" spans="7:8" x14ac:dyDescent="0.3">
      <c r="G3953" s="24">
        <v>3941</v>
      </c>
      <c r="H3953">
        <f t="shared" ca="1" si="64"/>
        <v>-8.5269578382072983E-2</v>
      </c>
    </row>
    <row r="3954" spans="7:8" x14ac:dyDescent="0.3">
      <c r="G3954" s="24">
        <v>3942</v>
      </c>
      <c r="H3954">
        <f t="shared" ca="1" si="64"/>
        <v>-1.8558145082477915E-2</v>
      </c>
    </row>
    <row r="3955" spans="7:8" x14ac:dyDescent="0.3">
      <c r="G3955" s="24">
        <v>3943</v>
      </c>
      <c r="H3955">
        <f t="shared" ca="1" si="64"/>
        <v>-7.8140115764844684E-2</v>
      </c>
    </row>
    <row r="3956" spans="7:8" x14ac:dyDescent="0.3">
      <c r="G3956" s="24">
        <v>3944</v>
      </c>
      <c r="H3956">
        <f t="shared" ca="1" si="64"/>
        <v>0.10187001976506084</v>
      </c>
    </row>
    <row r="3957" spans="7:8" x14ac:dyDescent="0.3">
      <c r="G3957" s="24">
        <v>3945</v>
      </c>
      <c r="H3957">
        <f t="shared" ca="1" si="64"/>
        <v>9.2275379678690095E-2</v>
      </c>
    </row>
    <row r="3958" spans="7:8" x14ac:dyDescent="0.3">
      <c r="G3958" s="24">
        <v>3946</v>
      </c>
      <c r="H3958">
        <f t="shared" ca="1" si="64"/>
        <v>-7.7164180361985371E-2</v>
      </c>
    </row>
    <row r="3959" spans="7:8" x14ac:dyDescent="0.3">
      <c r="G3959" s="24">
        <v>3947</v>
      </c>
      <c r="H3959">
        <f t="shared" ca="1" si="64"/>
        <v>-0.12319041842805836</v>
      </c>
    </row>
    <row r="3960" spans="7:8" x14ac:dyDescent="0.3">
      <c r="G3960" s="24">
        <v>3948</v>
      </c>
      <c r="H3960">
        <f t="shared" ca="1" si="64"/>
        <v>-2.434960668258056E-3</v>
      </c>
    </row>
    <row r="3961" spans="7:8" x14ac:dyDescent="0.3">
      <c r="G3961" s="24">
        <v>3949</v>
      </c>
      <c r="H3961">
        <f t="shared" ca="1" si="64"/>
        <v>2.9992816299153902E-2</v>
      </c>
    </row>
    <row r="3962" spans="7:8" x14ac:dyDescent="0.3">
      <c r="G3962" s="24">
        <v>3950</v>
      </c>
      <c r="H3962">
        <f t="shared" ca="1" si="64"/>
        <v>-1.9784426093284888E-2</v>
      </c>
    </row>
    <row r="3963" spans="7:8" x14ac:dyDescent="0.3">
      <c r="G3963" s="24">
        <v>3951</v>
      </c>
      <c r="H3963">
        <f t="shared" ca="1" si="64"/>
        <v>8.4868988919519772E-2</v>
      </c>
    </row>
    <row r="3964" spans="7:8" x14ac:dyDescent="0.3">
      <c r="G3964" s="24">
        <v>3952</v>
      </c>
      <c r="H3964">
        <f t="shared" ca="1" si="64"/>
        <v>-2.9036002099396361E-2</v>
      </c>
    </row>
    <row r="3965" spans="7:8" x14ac:dyDescent="0.3">
      <c r="G3965" s="24">
        <v>3953</v>
      </c>
      <c r="H3965">
        <f t="shared" ca="1" si="64"/>
        <v>9.8210155675804156E-3</v>
      </c>
    </row>
    <row r="3966" spans="7:8" x14ac:dyDescent="0.3">
      <c r="G3966" s="24">
        <v>3954</v>
      </c>
      <c r="H3966">
        <f t="shared" ca="1" si="64"/>
        <v>-3.7100678765178294E-2</v>
      </c>
    </row>
    <row r="3967" spans="7:8" x14ac:dyDescent="0.3">
      <c r="G3967" s="24">
        <v>3955</v>
      </c>
      <c r="H3967">
        <f t="shared" ca="1" si="64"/>
        <v>-6.3224184870807651E-2</v>
      </c>
    </row>
    <row r="3968" spans="7:8" x14ac:dyDescent="0.3">
      <c r="G3968" s="24">
        <v>3956</v>
      </c>
      <c r="H3968">
        <f t="shared" ca="1" si="64"/>
        <v>2.3844949028610899E-2</v>
      </c>
    </row>
    <row r="3969" spans="7:8" x14ac:dyDescent="0.3">
      <c r="G3969" s="24">
        <v>3957</v>
      </c>
      <c r="H3969">
        <f t="shared" ca="1" si="64"/>
        <v>2.9533889374997735E-2</v>
      </c>
    </row>
    <row r="3970" spans="7:8" x14ac:dyDescent="0.3">
      <c r="G3970" s="24">
        <v>3958</v>
      </c>
      <c r="H3970">
        <f t="shared" ca="1" si="64"/>
        <v>5.4575943616530703E-2</v>
      </c>
    </row>
    <row r="3971" spans="7:8" x14ac:dyDescent="0.3">
      <c r="G3971" s="24">
        <v>3959</v>
      </c>
      <c r="H3971">
        <f t="shared" ca="1" si="64"/>
        <v>-4.4131177591804023E-2</v>
      </c>
    </row>
    <row r="3972" spans="7:8" x14ac:dyDescent="0.3">
      <c r="G3972" s="24">
        <v>3960</v>
      </c>
      <c r="H3972">
        <f t="shared" ca="1" si="64"/>
        <v>-5.6081457896974038E-2</v>
      </c>
    </row>
    <row r="3973" spans="7:8" x14ac:dyDescent="0.3">
      <c r="G3973" s="24">
        <v>3961</v>
      </c>
      <c r="H3973">
        <f t="shared" ca="1" si="64"/>
        <v>-0.15205221867190344</v>
      </c>
    </row>
    <row r="3974" spans="7:8" x14ac:dyDescent="0.3">
      <c r="G3974" s="24">
        <v>3962</v>
      </c>
      <c r="H3974">
        <f t="shared" ca="1" si="64"/>
        <v>-4.9166846445143554E-2</v>
      </c>
    </row>
    <row r="3975" spans="7:8" x14ac:dyDescent="0.3">
      <c r="G3975" s="24">
        <v>3963</v>
      </c>
      <c r="H3975">
        <f t="shared" ca="1" si="64"/>
        <v>3.4938641678651045E-2</v>
      </c>
    </row>
    <row r="3976" spans="7:8" x14ac:dyDescent="0.3">
      <c r="G3976" s="24">
        <v>3964</v>
      </c>
      <c r="H3976">
        <f t="shared" ca="1" si="64"/>
        <v>0.1514809771028891</v>
      </c>
    </row>
    <row r="3977" spans="7:8" x14ac:dyDescent="0.3">
      <c r="G3977" s="24">
        <v>3965</v>
      </c>
      <c r="H3977">
        <f t="shared" ca="1" si="64"/>
        <v>-3.7137273973894394E-2</v>
      </c>
    </row>
    <row r="3978" spans="7:8" x14ac:dyDescent="0.3">
      <c r="G3978" s="24">
        <v>3966</v>
      </c>
      <c r="H3978">
        <f t="shared" ca="1" si="64"/>
        <v>2.8595089210872365E-2</v>
      </c>
    </row>
    <row r="3979" spans="7:8" x14ac:dyDescent="0.3">
      <c r="G3979" s="24">
        <v>3967</v>
      </c>
      <c r="H3979">
        <f t="shared" ca="1" si="64"/>
        <v>-1.0160045546592748E-2</v>
      </c>
    </row>
    <row r="3980" spans="7:8" x14ac:dyDescent="0.3">
      <c r="G3980" s="24">
        <v>3968</v>
      </c>
      <c r="H3980">
        <f t="shared" ca="1" si="64"/>
        <v>-4.8406133414516606E-2</v>
      </c>
    </row>
    <row r="3981" spans="7:8" x14ac:dyDescent="0.3">
      <c r="G3981" s="24">
        <v>3969</v>
      </c>
      <c r="H3981">
        <f t="shared" ca="1" si="64"/>
        <v>-5.7657020490925741E-2</v>
      </c>
    </row>
    <row r="3982" spans="7:8" x14ac:dyDescent="0.3">
      <c r="G3982" s="24">
        <v>3970</v>
      </c>
      <c r="H3982">
        <f t="shared" ref="H3982:H4045" ca="1" si="65">_xlfn.NORM.INV(RAND(),N$13,N$14)</f>
        <v>0.10668636415324691</v>
      </c>
    </row>
    <row r="3983" spans="7:8" x14ac:dyDescent="0.3">
      <c r="G3983" s="24">
        <v>3971</v>
      </c>
      <c r="H3983">
        <f t="shared" ca="1" si="65"/>
        <v>-8.4623473624631851E-2</v>
      </c>
    </row>
    <row r="3984" spans="7:8" x14ac:dyDescent="0.3">
      <c r="G3984" s="24">
        <v>3972</v>
      </c>
      <c r="H3984">
        <f t="shared" ca="1" si="65"/>
        <v>3.1327276748919192E-2</v>
      </c>
    </row>
    <row r="3985" spans="7:8" x14ac:dyDescent="0.3">
      <c r="G3985" s="24">
        <v>3973</v>
      </c>
      <c r="H3985">
        <f t="shared" ca="1" si="65"/>
        <v>8.9111757559945673E-2</v>
      </c>
    </row>
    <row r="3986" spans="7:8" x14ac:dyDescent="0.3">
      <c r="G3986" s="24">
        <v>3974</v>
      </c>
      <c r="H3986">
        <f t="shared" ca="1" si="65"/>
        <v>-2.9184603367016829E-3</v>
      </c>
    </row>
    <row r="3987" spans="7:8" x14ac:dyDescent="0.3">
      <c r="G3987" s="24">
        <v>3975</v>
      </c>
      <c r="H3987">
        <f t="shared" ca="1" si="65"/>
        <v>3.6741849876012984E-2</v>
      </c>
    </row>
    <row r="3988" spans="7:8" x14ac:dyDescent="0.3">
      <c r="G3988" s="24">
        <v>3976</v>
      </c>
      <c r="H3988">
        <f t="shared" ca="1" si="65"/>
        <v>-7.5248343901164139E-2</v>
      </c>
    </row>
    <row r="3989" spans="7:8" x14ac:dyDescent="0.3">
      <c r="G3989" s="24">
        <v>3977</v>
      </c>
      <c r="H3989">
        <f t="shared" ca="1" si="65"/>
        <v>0.15896164081773889</v>
      </c>
    </row>
    <row r="3990" spans="7:8" x14ac:dyDescent="0.3">
      <c r="G3990" s="24">
        <v>3978</v>
      </c>
      <c r="H3990">
        <f t="shared" ca="1" si="65"/>
        <v>-0.10211466064738794</v>
      </c>
    </row>
    <row r="3991" spans="7:8" x14ac:dyDescent="0.3">
      <c r="G3991" s="24">
        <v>3979</v>
      </c>
      <c r="H3991">
        <f t="shared" ca="1" si="65"/>
        <v>2.4587692872596496E-3</v>
      </c>
    </row>
    <row r="3992" spans="7:8" x14ac:dyDescent="0.3">
      <c r="G3992" s="24">
        <v>3980</v>
      </c>
      <c r="H3992">
        <f t="shared" ca="1" si="65"/>
        <v>2.0171598963486748E-2</v>
      </c>
    </row>
    <row r="3993" spans="7:8" x14ac:dyDescent="0.3">
      <c r="G3993" s="24">
        <v>3981</v>
      </c>
      <c r="H3993">
        <f t="shared" ca="1" si="65"/>
        <v>2.7902038170715963E-2</v>
      </c>
    </row>
    <row r="3994" spans="7:8" x14ac:dyDescent="0.3">
      <c r="G3994" s="24">
        <v>3982</v>
      </c>
      <c r="H3994">
        <f t="shared" ca="1" si="65"/>
        <v>-2.1261963098912869E-2</v>
      </c>
    </row>
    <row r="3995" spans="7:8" x14ac:dyDescent="0.3">
      <c r="G3995" s="24">
        <v>3983</v>
      </c>
      <c r="H3995">
        <f t="shared" ca="1" si="65"/>
        <v>8.4892303724899421E-2</v>
      </c>
    </row>
    <row r="3996" spans="7:8" x14ac:dyDescent="0.3">
      <c r="G3996" s="24">
        <v>3984</v>
      </c>
      <c r="H3996">
        <f t="shared" ca="1" si="65"/>
        <v>-2.3950785576038004E-2</v>
      </c>
    </row>
    <row r="3997" spans="7:8" x14ac:dyDescent="0.3">
      <c r="G3997" s="24">
        <v>3985</v>
      </c>
      <c r="H3997">
        <f t="shared" ca="1" si="65"/>
        <v>-3.0430624211495515E-2</v>
      </c>
    </row>
    <row r="3998" spans="7:8" x14ac:dyDescent="0.3">
      <c r="G3998" s="24">
        <v>3986</v>
      </c>
      <c r="H3998">
        <f t="shared" ca="1" si="65"/>
        <v>1.9184191802216404E-2</v>
      </c>
    </row>
    <row r="3999" spans="7:8" x14ac:dyDescent="0.3">
      <c r="G3999" s="24">
        <v>3987</v>
      </c>
      <c r="H3999">
        <f t="shared" ca="1" si="65"/>
        <v>2.5263249741801923E-2</v>
      </c>
    </row>
    <row r="4000" spans="7:8" x14ac:dyDescent="0.3">
      <c r="G4000" s="24">
        <v>3988</v>
      </c>
      <c r="H4000">
        <f t="shared" ca="1" si="65"/>
        <v>4.6271211254445756E-2</v>
      </c>
    </row>
    <row r="4001" spans="7:8" x14ac:dyDescent="0.3">
      <c r="G4001" s="24">
        <v>3989</v>
      </c>
      <c r="H4001">
        <f t="shared" ca="1" si="65"/>
        <v>4.3085701990934434E-4</v>
      </c>
    </row>
    <row r="4002" spans="7:8" x14ac:dyDescent="0.3">
      <c r="G4002" s="24">
        <v>3990</v>
      </c>
      <c r="H4002">
        <f t="shared" ca="1" si="65"/>
        <v>-0.19534643063499654</v>
      </c>
    </row>
    <row r="4003" spans="7:8" x14ac:dyDescent="0.3">
      <c r="G4003" s="24">
        <v>3991</v>
      </c>
      <c r="H4003">
        <f t="shared" ca="1" si="65"/>
        <v>-3.6864841311927993E-2</v>
      </c>
    </row>
    <row r="4004" spans="7:8" x14ac:dyDescent="0.3">
      <c r="G4004" s="24">
        <v>3992</v>
      </c>
      <c r="H4004">
        <f t="shared" ca="1" si="65"/>
        <v>-8.9149650884142728E-3</v>
      </c>
    </row>
    <row r="4005" spans="7:8" x14ac:dyDescent="0.3">
      <c r="G4005" s="24">
        <v>3993</v>
      </c>
      <c r="H4005">
        <f t="shared" ca="1" si="65"/>
        <v>5.0749139256187084E-2</v>
      </c>
    </row>
    <row r="4006" spans="7:8" x14ac:dyDescent="0.3">
      <c r="G4006" s="24">
        <v>3994</v>
      </c>
      <c r="H4006">
        <f t="shared" ca="1" si="65"/>
        <v>-4.4456180935706829E-2</v>
      </c>
    </row>
    <row r="4007" spans="7:8" x14ac:dyDescent="0.3">
      <c r="G4007" s="24">
        <v>3995</v>
      </c>
      <c r="H4007">
        <f t="shared" ca="1" si="65"/>
        <v>-0.15492172283850986</v>
      </c>
    </row>
    <row r="4008" spans="7:8" x14ac:dyDescent="0.3">
      <c r="G4008" s="24">
        <v>3996</v>
      </c>
      <c r="H4008">
        <f t="shared" ca="1" si="65"/>
        <v>0.1080947568599023</v>
      </c>
    </row>
    <row r="4009" spans="7:8" x14ac:dyDescent="0.3">
      <c r="G4009" s="24">
        <v>3997</v>
      </c>
      <c r="H4009">
        <f t="shared" ca="1" si="65"/>
        <v>1.0904337385123928E-2</v>
      </c>
    </row>
    <row r="4010" spans="7:8" x14ac:dyDescent="0.3">
      <c r="G4010" s="24">
        <v>3998</v>
      </c>
      <c r="H4010">
        <f t="shared" ca="1" si="65"/>
        <v>6.7756590325321678E-2</v>
      </c>
    </row>
    <row r="4011" spans="7:8" x14ac:dyDescent="0.3">
      <c r="G4011" s="24">
        <v>3999</v>
      </c>
      <c r="H4011">
        <f t="shared" ca="1" si="65"/>
        <v>-5.6225938122877746E-2</v>
      </c>
    </row>
    <row r="4012" spans="7:8" x14ac:dyDescent="0.3">
      <c r="G4012" s="24">
        <v>4000</v>
      </c>
      <c r="H4012">
        <f t="shared" ca="1" si="65"/>
        <v>-6.7658531713979033E-3</v>
      </c>
    </row>
    <row r="4013" spans="7:8" x14ac:dyDescent="0.3">
      <c r="G4013" s="24">
        <v>4001</v>
      </c>
      <c r="H4013">
        <f t="shared" ca="1" si="65"/>
        <v>-2.3039045577515658E-2</v>
      </c>
    </row>
    <row r="4014" spans="7:8" x14ac:dyDescent="0.3">
      <c r="G4014" s="24">
        <v>4002</v>
      </c>
      <c r="H4014">
        <f t="shared" ca="1" si="65"/>
        <v>2.2270674543330954E-2</v>
      </c>
    </row>
    <row r="4015" spans="7:8" x14ac:dyDescent="0.3">
      <c r="G4015" s="24">
        <v>4003</v>
      </c>
      <c r="H4015">
        <f t="shared" ca="1" si="65"/>
        <v>-0.11461699161653359</v>
      </c>
    </row>
    <row r="4016" spans="7:8" x14ac:dyDescent="0.3">
      <c r="G4016" s="24">
        <v>4004</v>
      </c>
      <c r="H4016">
        <f t="shared" ca="1" si="65"/>
        <v>3.8679369466854997E-2</v>
      </c>
    </row>
    <row r="4017" spans="7:8" x14ac:dyDescent="0.3">
      <c r="G4017" s="24">
        <v>4005</v>
      </c>
      <c r="H4017">
        <f t="shared" ca="1" si="65"/>
        <v>5.4865553641911299E-2</v>
      </c>
    </row>
    <row r="4018" spans="7:8" x14ac:dyDescent="0.3">
      <c r="G4018" s="24">
        <v>4006</v>
      </c>
      <c r="H4018">
        <f t="shared" ca="1" si="65"/>
        <v>2.5948639415707409E-2</v>
      </c>
    </row>
    <row r="4019" spans="7:8" x14ac:dyDescent="0.3">
      <c r="G4019" s="24">
        <v>4007</v>
      </c>
      <c r="H4019">
        <f t="shared" ca="1" si="65"/>
        <v>7.4129193520674014E-2</v>
      </c>
    </row>
    <row r="4020" spans="7:8" x14ac:dyDescent="0.3">
      <c r="G4020" s="24">
        <v>4008</v>
      </c>
      <c r="H4020">
        <f t="shared" ca="1" si="65"/>
        <v>-4.6427991742439167E-2</v>
      </c>
    </row>
    <row r="4021" spans="7:8" x14ac:dyDescent="0.3">
      <c r="G4021" s="24">
        <v>4009</v>
      </c>
      <c r="H4021">
        <f t="shared" ca="1" si="65"/>
        <v>3.7752617069240678E-2</v>
      </c>
    </row>
    <row r="4022" spans="7:8" x14ac:dyDescent="0.3">
      <c r="G4022" s="24">
        <v>4010</v>
      </c>
      <c r="H4022">
        <f t="shared" ca="1" si="65"/>
        <v>3.4209519417326861E-2</v>
      </c>
    </row>
    <row r="4023" spans="7:8" x14ac:dyDescent="0.3">
      <c r="G4023" s="24">
        <v>4011</v>
      </c>
      <c r="H4023">
        <f t="shared" ca="1" si="65"/>
        <v>-0.14161169267229445</v>
      </c>
    </row>
    <row r="4024" spans="7:8" x14ac:dyDescent="0.3">
      <c r="G4024" s="24">
        <v>4012</v>
      </c>
      <c r="H4024">
        <f t="shared" ca="1" si="65"/>
        <v>-8.150457150266241E-2</v>
      </c>
    </row>
    <row r="4025" spans="7:8" x14ac:dyDescent="0.3">
      <c r="G4025" s="24">
        <v>4013</v>
      </c>
      <c r="H4025">
        <f t="shared" ca="1" si="65"/>
        <v>3.9726663668352737E-2</v>
      </c>
    </row>
    <row r="4026" spans="7:8" x14ac:dyDescent="0.3">
      <c r="G4026" s="24">
        <v>4014</v>
      </c>
      <c r="H4026">
        <f t="shared" ca="1" si="65"/>
        <v>5.9009322480762322E-2</v>
      </c>
    </row>
    <row r="4027" spans="7:8" x14ac:dyDescent="0.3">
      <c r="G4027" s="24">
        <v>4015</v>
      </c>
      <c r="H4027">
        <f t="shared" ca="1" si="65"/>
        <v>4.2931796000689651E-2</v>
      </c>
    </row>
    <row r="4028" spans="7:8" x14ac:dyDescent="0.3">
      <c r="G4028" s="24">
        <v>4016</v>
      </c>
      <c r="H4028">
        <f t="shared" ca="1" si="65"/>
        <v>2.2251118505869295E-2</v>
      </c>
    </row>
    <row r="4029" spans="7:8" x14ac:dyDescent="0.3">
      <c r="G4029" s="24">
        <v>4017</v>
      </c>
      <c r="H4029">
        <f t="shared" ca="1" si="65"/>
        <v>0.10906970879091224</v>
      </c>
    </row>
    <row r="4030" spans="7:8" x14ac:dyDescent="0.3">
      <c r="G4030" s="24">
        <v>4018</v>
      </c>
      <c r="H4030">
        <f t="shared" ca="1" si="65"/>
        <v>0.12712267186710177</v>
      </c>
    </row>
    <row r="4031" spans="7:8" x14ac:dyDescent="0.3">
      <c r="G4031" s="24">
        <v>4019</v>
      </c>
      <c r="H4031">
        <f t="shared" ca="1" si="65"/>
        <v>7.1744515674938628E-2</v>
      </c>
    </row>
    <row r="4032" spans="7:8" x14ac:dyDescent="0.3">
      <c r="G4032" s="24">
        <v>4020</v>
      </c>
      <c r="H4032">
        <f t="shared" ca="1" si="65"/>
        <v>-9.0154724502314008E-3</v>
      </c>
    </row>
    <row r="4033" spans="7:8" x14ac:dyDescent="0.3">
      <c r="G4033" s="24">
        <v>4021</v>
      </c>
      <c r="H4033">
        <f t="shared" ca="1" si="65"/>
        <v>5.8752345827820254E-2</v>
      </c>
    </row>
    <row r="4034" spans="7:8" x14ac:dyDescent="0.3">
      <c r="G4034" s="24">
        <v>4022</v>
      </c>
      <c r="H4034">
        <f t="shared" ca="1" si="65"/>
        <v>6.0465029839265553E-3</v>
      </c>
    </row>
    <row r="4035" spans="7:8" x14ac:dyDescent="0.3">
      <c r="G4035" s="24">
        <v>4023</v>
      </c>
      <c r="H4035">
        <f t="shared" ca="1" si="65"/>
        <v>-4.1450349264293022E-2</v>
      </c>
    </row>
    <row r="4036" spans="7:8" x14ac:dyDescent="0.3">
      <c r="G4036" s="24">
        <v>4024</v>
      </c>
      <c r="H4036">
        <f t="shared" ca="1" si="65"/>
        <v>3.6966296365564318E-2</v>
      </c>
    </row>
    <row r="4037" spans="7:8" x14ac:dyDescent="0.3">
      <c r="G4037" s="24">
        <v>4025</v>
      </c>
      <c r="H4037">
        <f t="shared" ca="1" si="65"/>
        <v>3.0278069839889534E-2</v>
      </c>
    </row>
    <row r="4038" spans="7:8" x14ac:dyDescent="0.3">
      <c r="G4038" s="24">
        <v>4026</v>
      </c>
      <c r="H4038">
        <f t="shared" ca="1" si="65"/>
        <v>-8.5637194087049159E-2</v>
      </c>
    </row>
    <row r="4039" spans="7:8" x14ac:dyDescent="0.3">
      <c r="G4039" s="24">
        <v>4027</v>
      </c>
      <c r="H4039">
        <f t="shared" ca="1" si="65"/>
        <v>9.2010652721450828E-2</v>
      </c>
    </row>
    <row r="4040" spans="7:8" x14ac:dyDescent="0.3">
      <c r="G4040" s="24">
        <v>4028</v>
      </c>
      <c r="H4040">
        <f t="shared" ca="1" si="65"/>
        <v>0.146578348034965</v>
      </c>
    </row>
    <row r="4041" spans="7:8" x14ac:dyDescent="0.3">
      <c r="G4041" s="24">
        <v>4029</v>
      </c>
      <c r="H4041">
        <f t="shared" ca="1" si="65"/>
        <v>-0.14305343841800142</v>
      </c>
    </row>
    <row r="4042" spans="7:8" x14ac:dyDescent="0.3">
      <c r="G4042" s="24">
        <v>4030</v>
      </c>
      <c r="H4042">
        <f t="shared" ca="1" si="65"/>
        <v>-0.12087467974307975</v>
      </c>
    </row>
    <row r="4043" spans="7:8" x14ac:dyDescent="0.3">
      <c r="G4043" s="24">
        <v>4031</v>
      </c>
      <c r="H4043">
        <f t="shared" ca="1" si="65"/>
        <v>4.8283784895639892E-2</v>
      </c>
    </row>
    <row r="4044" spans="7:8" x14ac:dyDescent="0.3">
      <c r="G4044" s="24">
        <v>4032</v>
      </c>
      <c r="H4044">
        <f t="shared" ca="1" si="65"/>
        <v>-0.11149686378887148</v>
      </c>
    </row>
    <row r="4045" spans="7:8" x14ac:dyDescent="0.3">
      <c r="G4045" s="24">
        <v>4033</v>
      </c>
      <c r="H4045">
        <f t="shared" ca="1" si="65"/>
        <v>3.2614273574054862E-3</v>
      </c>
    </row>
    <row r="4046" spans="7:8" x14ac:dyDescent="0.3">
      <c r="G4046" s="24">
        <v>4034</v>
      </c>
      <c r="H4046">
        <f t="shared" ref="H4046:H4109" ca="1" si="66">_xlfn.NORM.INV(RAND(),N$13,N$14)</f>
        <v>0.10535159803969477</v>
      </c>
    </row>
    <row r="4047" spans="7:8" x14ac:dyDescent="0.3">
      <c r="G4047" s="24">
        <v>4035</v>
      </c>
      <c r="H4047">
        <f t="shared" ca="1" si="66"/>
        <v>-6.2672326607661658E-2</v>
      </c>
    </row>
    <row r="4048" spans="7:8" x14ac:dyDescent="0.3">
      <c r="G4048" s="24">
        <v>4036</v>
      </c>
      <c r="H4048">
        <f t="shared" ca="1" si="66"/>
        <v>-2.4295669243681123E-2</v>
      </c>
    </row>
    <row r="4049" spans="7:8" x14ac:dyDescent="0.3">
      <c r="G4049" s="24">
        <v>4037</v>
      </c>
      <c r="H4049">
        <f t="shared" ca="1" si="66"/>
        <v>-3.5454553580741711E-2</v>
      </c>
    </row>
    <row r="4050" spans="7:8" x14ac:dyDescent="0.3">
      <c r="G4050" s="24">
        <v>4038</v>
      </c>
      <c r="H4050">
        <f t="shared" ca="1" si="66"/>
        <v>-1.4341071699170765E-3</v>
      </c>
    </row>
    <row r="4051" spans="7:8" x14ac:dyDescent="0.3">
      <c r="G4051" s="24">
        <v>4039</v>
      </c>
      <c r="H4051">
        <f t="shared" ca="1" si="66"/>
        <v>2.1779739294246979E-3</v>
      </c>
    </row>
    <row r="4052" spans="7:8" x14ac:dyDescent="0.3">
      <c r="G4052" s="24">
        <v>4040</v>
      </c>
      <c r="H4052">
        <f t="shared" ca="1" si="66"/>
        <v>-1.0573120575306469E-2</v>
      </c>
    </row>
    <row r="4053" spans="7:8" x14ac:dyDescent="0.3">
      <c r="G4053" s="24">
        <v>4041</v>
      </c>
      <c r="H4053">
        <f t="shared" ca="1" si="66"/>
        <v>1.7394361435937478E-2</v>
      </c>
    </row>
    <row r="4054" spans="7:8" x14ac:dyDescent="0.3">
      <c r="G4054" s="24">
        <v>4042</v>
      </c>
      <c r="H4054">
        <f t="shared" ca="1" si="66"/>
        <v>4.8827752310744827E-4</v>
      </c>
    </row>
    <row r="4055" spans="7:8" x14ac:dyDescent="0.3">
      <c r="G4055" s="24">
        <v>4043</v>
      </c>
      <c r="H4055">
        <f t="shared" ca="1" si="66"/>
        <v>-2.4344169350797723E-2</v>
      </c>
    </row>
    <row r="4056" spans="7:8" x14ac:dyDescent="0.3">
      <c r="G4056" s="24">
        <v>4044</v>
      </c>
      <c r="H4056">
        <f t="shared" ca="1" si="66"/>
        <v>3.5235144321287583E-2</v>
      </c>
    </row>
    <row r="4057" spans="7:8" x14ac:dyDescent="0.3">
      <c r="G4057" s="24">
        <v>4045</v>
      </c>
      <c r="H4057">
        <f t="shared" ca="1" si="66"/>
        <v>0.12853474887467534</v>
      </c>
    </row>
    <row r="4058" spans="7:8" x14ac:dyDescent="0.3">
      <c r="G4058" s="24">
        <v>4046</v>
      </c>
      <c r="H4058">
        <f t="shared" ca="1" si="66"/>
        <v>1.3655171153730845E-2</v>
      </c>
    </row>
    <row r="4059" spans="7:8" x14ac:dyDescent="0.3">
      <c r="G4059" s="24">
        <v>4047</v>
      </c>
      <c r="H4059">
        <f t="shared" ca="1" si="66"/>
        <v>-1.3262494725157371E-2</v>
      </c>
    </row>
    <row r="4060" spans="7:8" x14ac:dyDescent="0.3">
      <c r="G4060" s="24">
        <v>4048</v>
      </c>
      <c r="H4060">
        <f t="shared" ca="1" si="66"/>
        <v>3.0298548947559654E-2</v>
      </c>
    </row>
    <row r="4061" spans="7:8" x14ac:dyDescent="0.3">
      <c r="G4061" s="24">
        <v>4049</v>
      </c>
      <c r="H4061">
        <f t="shared" ca="1" si="66"/>
        <v>0.16042426025767018</v>
      </c>
    </row>
    <row r="4062" spans="7:8" x14ac:dyDescent="0.3">
      <c r="G4062" s="24">
        <v>4050</v>
      </c>
      <c r="H4062">
        <f t="shared" ca="1" si="66"/>
        <v>1.7132438140074886E-2</v>
      </c>
    </row>
    <row r="4063" spans="7:8" x14ac:dyDescent="0.3">
      <c r="G4063" s="24">
        <v>4051</v>
      </c>
      <c r="H4063">
        <f t="shared" ca="1" si="66"/>
        <v>-3.4333995257917235E-2</v>
      </c>
    </row>
    <row r="4064" spans="7:8" x14ac:dyDescent="0.3">
      <c r="G4064" s="24">
        <v>4052</v>
      </c>
      <c r="H4064">
        <f t="shared" ca="1" si="66"/>
        <v>2.7452802952958388E-2</v>
      </c>
    </row>
    <row r="4065" spans="7:8" x14ac:dyDescent="0.3">
      <c r="G4065" s="24">
        <v>4053</v>
      </c>
      <c r="H4065">
        <f t="shared" ca="1" si="66"/>
        <v>-8.9618803945394704E-2</v>
      </c>
    </row>
    <row r="4066" spans="7:8" x14ac:dyDescent="0.3">
      <c r="G4066" s="24">
        <v>4054</v>
      </c>
      <c r="H4066">
        <f t="shared" ca="1" si="66"/>
        <v>5.1232734754465117E-2</v>
      </c>
    </row>
    <row r="4067" spans="7:8" x14ac:dyDescent="0.3">
      <c r="G4067" s="24">
        <v>4055</v>
      </c>
      <c r="H4067">
        <f t="shared" ca="1" si="66"/>
        <v>-4.3422644223568375E-2</v>
      </c>
    </row>
    <row r="4068" spans="7:8" x14ac:dyDescent="0.3">
      <c r="G4068" s="24">
        <v>4056</v>
      </c>
      <c r="H4068">
        <f t="shared" ca="1" si="66"/>
        <v>5.5255830938497522E-2</v>
      </c>
    </row>
    <row r="4069" spans="7:8" x14ac:dyDescent="0.3">
      <c r="G4069" s="24">
        <v>4057</v>
      </c>
      <c r="H4069">
        <f t="shared" ca="1" si="66"/>
        <v>-8.8209384102187885E-2</v>
      </c>
    </row>
    <row r="4070" spans="7:8" x14ac:dyDescent="0.3">
      <c r="G4070" s="24">
        <v>4058</v>
      </c>
      <c r="H4070">
        <f t="shared" ca="1" si="66"/>
        <v>1.7379906463212903E-2</v>
      </c>
    </row>
    <row r="4071" spans="7:8" x14ac:dyDescent="0.3">
      <c r="G4071" s="24">
        <v>4059</v>
      </c>
      <c r="H4071">
        <f t="shared" ca="1" si="66"/>
        <v>-5.8624822643371703E-2</v>
      </c>
    </row>
    <row r="4072" spans="7:8" x14ac:dyDescent="0.3">
      <c r="G4072" s="24">
        <v>4060</v>
      </c>
      <c r="H4072">
        <f t="shared" ca="1" si="66"/>
        <v>-3.8512936901985088E-2</v>
      </c>
    </row>
    <row r="4073" spans="7:8" x14ac:dyDescent="0.3">
      <c r="G4073" s="24">
        <v>4061</v>
      </c>
      <c r="H4073">
        <f t="shared" ca="1" si="66"/>
        <v>-5.6202057100866419E-2</v>
      </c>
    </row>
    <row r="4074" spans="7:8" x14ac:dyDescent="0.3">
      <c r="G4074" s="24">
        <v>4062</v>
      </c>
      <c r="H4074">
        <f t="shared" ca="1" si="66"/>
        <v>-2.4831307129305303E-2</v>
      </c>
    </row>
    <row r="4075" spans="7:8" x14ac:dyDescent="0.3">
      <c r="G4075" s="24">
        <v>4063</v>
      </c>
      <c r="H4075">
        <f t="shared" ca="1" si="66"/>
        <v>6.4074937960034578E-2</v>
      </c>
    </row>
    <row r="4076" spans="7:8" x14ac:dyDescent="0.3">
      <c r="G4076" s="24">
        <v>4064</v>
      </c>
      <c r="H4076">
        <f t="shared" ca="1" si="66"/>
        <v>-7.0750898421291342E-2</v>
      </c>
    </row>
    <row r="4077" spans="7:8" x14ac:dyDescent="0.3">
      <c r="G4077" s="24">
        <v>4065</v>
      </c>
      <c r="H4077">
        <f t="shared" ca="1" si="66"/>
        <v>8.9098337846756318E-2</v>
      </c>
    </row>
    <row r="4078" spans="7:8" x14ac:dyDescent="0.3">
      <c r="G4078" s="24">
        <v>4066</v>
      </c>
      <c r="H4078">
        <f t="shared" ca="1" si="66"/>
        <v>-8.7764503224715643E-2</v>
      </c>
    </row>
    <row r="4079" spans="7:8" x14ac:dyDescent="0.3">
      <c r="G4079" s="24">
        <v>4067</v>
      </c>
      <c r="H4079">
        <f t="shared" ca="1" si="66"/>
        <v>0.12922126896941627</v>
      </c>
    </row>
    <row r="4080" spans="7:8" x14ac:dyDescent="0.3">
      <c r="G4080" s="24">
        <v>4068</v>
      </c>
      <c r="H4080">
        <f t="shared" ca="1" si="66"/>
        <v>-8.8005267725510643E-3</v>
      </c>
    </row>
    <row r="4081" spans="7:8" x14ac:dyDescent="0.3">
      <c r="G4081" s="24">
        <v>4069</v>
      </c>
      <c r="H4081">
        <f t="shared" ca="1" si="66"/>
        <v>3.2120792051153375E-2</v>
      </c>
    </row>
    <row r="4082" spans="7:8" x14ac:dyDescent="0.3">
      <c r="G4082" s="24">
        <v>4070</v>
      </c>
      <c r="H4082">
        <f t="shared" ca="1" si="66"/>
        <v>4.3232279685480143E-2</v>
      </c>
    </row>
    <row r="4083" spans="7:8" x14ac:dyDescent="0.3">
      <c r="G4083" s="24">
        <v>4071</v>
      </c>
      <c r="H4083">
        <f t="shared" ca="1" si="66"/>
        <v>-0.15059605814132976</v>
      </c>
    </row>
    <row r="4084" spans="7:8" x14ac:dyDescent="0.3">
      <c r="G4084" s="24">
        <v>4072</v>
      </c>
      <c r="H4084">
        <f t="shared" ca="1" si="66"/>
        <v>-3.9956751232372467E-2</v>
      </c>
    </row>
    <row r="4085" spans="7:8" x14ac:dyDescent="0.3">
      <c r="G4085" s="24">
        <v>4073</v>
      </c>
      <c r="H4085">
        <f t="shared" ca="1" si="66"/>
        <v>5.1564149833251187E-2</v>
      </c>
    </row>
    <row r="4086" spans="7:8" x14ac:dyDescent="0.3">
      <c r="G4086" s="24">
        <v>4074</v>
      </c>
      <c r="H4086">
        <f t="shared" ca="1" si="66"/>
        <v>-1.9309575573251518E-2</v>
      </c>
    </row>
    <row r="4087" spans="7:8" x14ac:dyDescent="0.3">
      <c r="G4087" s="24">
        <v>4075</v>
      </c>
      <c r="H4087">
        <f t="shared" ca="1" si="66"/>
        <v>2.8609424666987765E-2</v>
      </c>
    </row>
    <row r="4088" spans="7:8" x14ac:dyDescent="0.3">
      <c r="G4088" s="24">
        <v>4076</v>
      </c>
      <c r="H4088">
        <f t="shared" ca="1" si="66"/>
        <v>1.183702546285534E-3</v>
      </c>
    </row>
    <row r="4089" spans="7:8" x14ac:dyDescent="0.3">
      <c r="G4089" s="24">
        <v>4077</v>
      </c>
      <c r="H4089">
        <f t="shared" ca="1" si="66"/>
        <v>-8.8530168654271074E-2</v>
      </c>
    </row>
    <row r="4090" spans="7:8" x14ac:dyDescent="0.3">
      <c r="G4090" s="24">
        <v>4078</v>
      </c>
      <c r="H4090">
        <f t="shared" ca="1" si="66"/>
        <v>-1.9292831608167946E-2</v>
      </c>
    </row>
    <row r="4091" spans="7:8" x14ac:dyDescent="0.3">
      <c r="G4091" s="24">
        <v>4079</v>
      </c>
      <c r="H4091">
        <f t="shared" ca="1" si="66"/>
        <v>3.2358074181686715E-2</v>
      </c>
    </row>
    <row r="4092" spans="7:8" x14ac:dyDescent="0.3">
      <c r="G4092" s="24">
        <v>4080</v>
      </c>
      <c r="H4092">
        <f t="shared" ca="1" si="66"/>
        <v>5.4932668975147654E-2</v>
      </c>
    </row>
    <row r="4093" spans="7:8" x14ac:dyDescent="0.3">
      <c r="G4093" s="24">
        <v>4081</v>
      </c>
      <c r="H4093">
        <f t="shared" ca="1" si="66"/>
        <v>7.4155817834914237E-3</v>
      </c>
    </row>
    <row r="4094" spans="7:8" x14ac:dyDescent="0.3">
      <c r="G4094" s="24">
        <v>4082</v>
      </c>
      <c r="H4094">
        <f t="shared" ca="1" si="66"/>
        <v>-8.030337462249891E-2</v>
      </c>
    </row>
    <row r="4095" spans="7:8" x14ac:dyDescent="0.3">
      <c r="G4095" s="24">
        <v>4083</v>
      </c>
      <c r="H4095">
        <f t="shared" ca="1" si="66"/>
        <v>-2.8046015245105513E-2</v>
      </c>
    </row>
    <row r="4096" spans="7:8" x14ac:dyDescent="0.3">
      <c r="G4096" s="24">
        <v>4084</v>
      </c>
      <c r="H4096">
        <f t="shared" ca="1" si="66"/>
        <v>4.9357902669562283E-2</v>
      </c>
    </row>
    <row r="4097" spans="7:8" x14ac:dyDescent="0.3">
      <c r="G4097" s="24">
        <v>4085</v>
      </c>
      <c r="H4097">
        <f t="shared" ca="1" si="66"/>
        <v>5.8866563338784844E-2</v>
      </c>
    </row>
    <row r="4098" spans="7:8" x14ac:dyDescent="0.3">
      <c r="G4098" s="24">
        <v>4086</v>
      </c>
      <c r="H4098">
        <f t="shared" ca="1" si="66"/>
        <v>-3.9902034540361848E-3</v>
      </c>
    </row>
    <row r="4099" spans="7:8" x14ac:dyDescent="0.3">
      <c r="G4099" s="24">
        <v>4087</v>
      </c>
      <c r="H4099">
        <f t="shared" ca="1" si="66"/>
        <v>5.562851259051084E-2</v>
      </c>
    </row>
    <row r="4100" spans="7:8" x14ac:dyDescent="0.3">
      <c r="G4100" s="24">
        <v>4088</v>
      </c>
      <c r="H4100">
        <f t="shared" ca="1" si="66"/>
        <v>3.3247102494730722E-2</v>
      </c>
    </row>
    <row r="4101" spans="7:8" x14ac:dyDescent="0.3">
      <c r="G4101" s="24">
        <v>4089</v>
      </c>
      <c r="H4101">
        <f t="shared" ca="1" si="66"/>
        <v>5.1200178364467955E-2</v>
      </c>
    </row>
    <row r="4102" spans="7:8" x14ac:dyDescent="0.3">
      <c r="G4102" s="24">
        <v>4090</v>
      </c>
      <c r="H4102">
        <f t="shared" ca="1" si="66"/>
        <v>-2.4643353617979372E-2</v>
      </c>
    </row>
    <row r="4103" spans="7:8" x14ac:dyDescent="0.3">
      <c r="G4103" s="24">
        <v>4091</v>
      </c>
      <c r="H4103">
        <f t="shared" ca="1" si="66"/>
        <v>-4.5070813356589197E-2</v>
      </c>
    </row>
    <row r="4104" spans="7:8" x14ac:dyDescent="0.3">
      <c r="G4104" s="24">
        <v>4092</v>
      </c>
      <c r="H4104">
        <f t="shared" ca="1" si="66"/>
        <v>-4.7920091095450274E-3</v>
      </c>
    </row>
    <row r="4105" spans="7:8" x14ac:dyDescent="0.3">
      <c r="G4105" s="24">
        <v>4093</v>
      </c>
      <c r="H4105">
        <f t="shared" ca="1" si="66"/>
        <v>-8.0180958758345994E-2</v>
      </c>
    </row>
    <row r="4106" spans="7:8" x14ac:dyDescent="0.3">
      <c r="G4106" s="24">
        <v>4094</v>
      </c>
      <c r="H4106">
        <f t="shared" ca="1" si="66"/>
        <v>0.11222121120529621</v>
      </c>
    </row>
    <row r="4107" spans="7:8" x14ac:dyDescent="0.3">
      <c r="G4107" s="24">
        <v>4095</v>
      </c>
      <c r="H4107">
        <f t="shared" ca="1" si="66"/>
        <v>1.8968445032084891E-2</v>
      </c>
    </row>
    <row r="4108" spans="7:8" x14ac:dyDescent="0.3">
      <c r="G4108" s="24">
        <v>4096</v>
      </c>
      <c r="H4108">
        <f t="shared" ca="1" si="66"/>
        <v>3.535418954746887E-2</v>
      </c>
    </row>
    <row r="4109" spans="7:8" x14ac:dyDescent="0.3">
      <c r="G4109" s="24">
        <v>4097</v>
      </c>
      <c r="H4109">
        <f t="shared" ca="1" si="66"/>
        <v>-9.5255047779716134E-2</v>
      </c>
    </row>
    <row r="4110" spans="7:8" x14ac:dyDescent="0.3">
      <c r="G4110" s="24">
        <v>4098</v>
      </c>
      <c r="H4110">
        <f t="shared" ref="H4110:H4173" ca="1" si="67">_xlfn.NORM.INV(RAND(),N$13,N$14)</f>
        <v>6.8340670149109481E-2</v>
      </c>
    </row>
    <row r="4111" spans="7:8" x14ac:dyDescent="0.3">
      <c r="G4111" s="24">
        <v>4099</v>
      </c>
      <c r="H4111">
        <f t="shared" ca="1" si="67"/>
        <v>-3.4575262132283457E-2</v>
      </c>
    </row>
    <row r="4112" spans="7:8" x14ac:dyDescent="0.3">
      <c r="G4112" s="24">
        <v>4100</v>
      </c>
      <c r="H4112">
        <f t="shared" ca="1" si="67"/>
        <v>3.2807564822244645E-2</v>
      </c>
    </row>
    <row r="4113" spans="7:8" x14ac:dyDescent="0.3">
      <c r="G4113" s="24">
        <v>4101</v>
      </c>
      <c r="H4113">
        <f t="shared" ca="1" si="67"/>
        <v>-3.6330388833049107E-2</v>
      </c>
    </row>
    <row r="4114" spans="7:8" x14ac:dyDescent="0.3">
      <c r="G4114" s="24">
        <v>4102</v>
      </c>
      <c r="H4114">
        <f t="shared" ca="1" si="67"/>
        <v>-3.7711434157124878E-2</v>
      </c>
    </row>
    <row r="4115" spans="7:8" x14ac:dyDescent="0.3">
      <c r="G4115" s="24">
        <v>4103</v>
      </c>
      <c r="H4115">
        <f t="shared" ca="1" si="67"/>
        <v>-6.4726461323909593E-2</v>
      </c>
    </row>
    <row r="4116" spans="7:8" x14ac:dyDescent="0.3">
      <c r="G4116" s="24">
        <v>4104</v>
      </c>
      <c r="H4116">
        <f t="shared" ca="1" si="67"/>
        <v>9.3903161484788181E-2</v>
      </c>
    </row>
    <row r="4117" spans="7:8" x14ac:dyDescent="0.3">
      <c r="G4117" s="24">
        <v>4105</v>
      </c>
      <c r="H4117">
        <f t="shared" ca="1" si="67"/>
        <v>-0.10270465338604941</v>
      </c>
    </row>
    <row r="4118" spans="7:8" x14ac:dyDescent="0.3">
      <c r="G4118" s="24">
        <v>4106</v>
      </c>
      <c r="H4118">
        <f t="shared" ca="1" si="67"/>
        <v>-3.3378636298919601E-2</v>
      </c>
    </row>
    <row r="4119" spans="7:8" x14ac:dyDescent="0.3">
      <c r="G4119" s="24">
        <v>4107</v>
      </c>
      <c r="H4119">
        <f t="shared" ca="1" si="67"/>
        <v>1.7235478345415039E-2</v>
      </c>
    </row>
    <row r="4120" spans="7:8" x14ac:dyDescent="0.3">
      <c r="G4120" s="24">
        <v>4108</v>
      </c>
      <c r="H4120">
        <f t="shared" ca="1" si="67"/>
        <v>3.0961974103307251E-2</v>
      </c>
    </row>
    <row r="4121" spans="7:8" x14ac:dyDescent="0.3">
      <c r="G4121" s="24">
        <v>4109</v>
      </c>
      <c r="H4121">
        <f t="shared" ca="1" si="67"/>
        <v>3.9099604343886027E-2</v>
      </c>
    </row>
    <row r="4122" spans="7:8" x14ac:dyDescent="0.3">
      <c r="G4122" s="24">
        <v>4110</v>
      </c>
      <c r="H4122">
        <f t="shared" ca="1" si="67"/>
        <v>1.7022842412665721E-2</v>
      </c>
    </row>
    <row r="4123" spans="7:8" x14ac:dyDescent="0.3">
      <c r="G4123" s="24">
        <v>4111</v>
      </c>
      <c r="H4123">
        <f t="shared" ca="1" si="67"/>
        <v>-9.9943538893211142E-3</v>
      </c>
    </row>
    <row r="4124" spans="7:8" x14ac:dyDescent="0.3">
      <c r="G4124" s="24">
        <v>4112</v>
      </c>
      <c r="H4124">
        <f t="shared" ca="1" si="67"/>
        <v>-4.6598316409048532E-2</v>
      </c>
    </row>
    <row r="4125" spans="7:8" x14ac:dyDescent="0.3">
      <c r="G4125" s="24">
        <v>4113</v>
      </c>
      <c r="H4125">
        <f t="shared" ca="1" si="67"/>
        <v>-5.9381299041796197E-2</v>
      </c>
    </row>
    <row r="4126" spans="7:8" x14ac:dyDescent="0.3">
      <c r="G4126" s="24">
        <v>4114</v>
      </c>
      <c r="H4126">
        <f t="shared" ca="1" si="67"/>
        <v>1.1311280683708091E-3</v>
      </c>
    </row>
    <row r="4127" spans="7:8" x14ac:dyDescent="0.3">
      <c r="G4127" s="24">
        <v>4115</v>
      </c>
      <c r="H4127">
        <f t="shared" ca="1" si="67"/>
        <v>1.8066742053913908E-2</v>
      </c>
    </row>
    <row r="4128" spans="7:8" x14ac:dyDescent="0.3">
      <c r="G4128" s="24">
        <v>4116</v>
      </c>
      <c r="H4128">
        <f t="shared" ca="1" si="67"/>
        <v>4.4810635147720677E-2</v>
      </c>
    </row>
    <row r="4129" spans="7:8" x14ac:dyDescent="0.3">
      <c r="G4129" s="24">
        <v>4117</v>
      </c>
      <c r="H4129">
        <f t="shared" ca="1" si="67"/>
        <v>8.3737872246153394E-2</v>
      </c>
    </row>
    <row r="4130" spans="7:8" x14ac:dyDescent="0.3">
      <c r="G4130" s="24">
        <v>4118</v>
      </c>
      <c r="H4130">
        <f t="shared" ca="1" si="67"/>
        <v>5.6026808356839791E-2</v>
      </c>
    </row>
    <row r="4131" spans="7:8" x14ac:dyDescent="0.3">
      <c r="G4131" s="24">
        <v>4119</v>
      </c>
      <c r="H4131">
        <f t="shared" ca="1" si="67"/>
        <v>0.10290806257379367</v>
      </c>
    </row>
    <row r="4132" spans="7:8" x14ac:dyDescent="0.3">
      <c r="G4132" s="24">
        <v>4120</v>
      </c>
      <c r="H4132">
        <f t="shared" ca="1" si="67"/>
        <v>-6.6078824719753085E-2</v>
      </c>
    </row>
    <row r="4133" spans="7:8" x14ac:dyDescent="0.3">
      <c r="G4133" s="24">
        <v>4121</v>
      </c>
      <c r="H4133">
        <f t="shared" ca="1" si="67"/>
        <v>-7.1231255167722267E-3</v>
      </c>
    </row>
    <row r="4134" spans="7:8" x14ac:dyDescent="0.3">
      <c r="G4134" s="24">
        <v>4122</v>
      </c>
      <c r="H4134">
        <f t="shared" ca="1" si="67"/>
        <v>-8.4618586510242354E-3</v>
      </c>
    </row>
    <row r="4135" spans="7:8" x14ac:dyDescent="0.3">
      <c r="G4135" s="24">
        <v>4123</v>
      </c>
      <c r="H4135">
        <f t="shared" ca="1" si="67"/>
        <v>2.2481258886891422E-2</v>
      </c>
    </row>
    <row r="4136" spans="7:8" x14ac:dyDescent="0.3">
      <c r="G4136" s="24">
        <v>4124</v>
      </c>
      <c r="H4136">
        <f t="shared" ca="1" si="67"/>
        <v>-4.7509455399675745E-4</v>
      </c>
    </row>
    <row r="4137" spans="7:8" x14ac:dyDescent="0.3">
      <c r="G4137" s="24">
        <v>4125</v>
      </c>
      <c r="H4137">
        <f t="shared" ca="1" si="67"/>
        <v>2.1822730500158341E-3</v>
      </c>
    </row>
    <row r="4138" spans="7:8" x14ac:dyDescent="0.3">
      <c r="G4138" s="24">
        <v>4126</v>
      </c>
      <c r="H4138">
        <f t="shared" ca="1" si="67"/>
        <v>8.8132360996864959E-2</v>
      </c>
    </row>
    <row r="4139" spans="7:8" x14ac:dyDescent="0.3">
      <c r="G4139" s="24">
        <v>4127</v>
      </c>
      <c r="H4139">
        <f t="shared" ca="1" si="67"/>
        <v>-4.7593591716671088E-2</v>
      </c>
    </row>
    <row r="4140" spans="7:8" x14ac:dyDescent="0.3">
      <c r="G4140" s="24">
        <v>4128</v>
      </c>
      <c r="H4140">
        <f t="shared" ca="1" si="67"/>
        <v>-3.403108243069454E-2</v>
      </c>
    </row>
    <row r="4141" spans="7:8" x14ac:dyDescent="0.3">
      <c r="G4141" s="24">
        <v>4129</v>
      </c>
      <c r="H4141">
        <f t="shared" ca="1" si="67"/>
        <v>3.8324120745433024E-2</v>
      </c>
    </row>
    <row r="4142" spans="7:8" x14ac:dyDescent="0.3">
      <c r="G4142" s="24">
        <v>4130</v>
      </c>
      <c r="H4142">
        <f t="shared" ca="1" si="67"/>
        <v>5.8559776053108421E-2</v>
      </c>
    </row>
    <row r="4143" spans="7:8" x14ac:dyDescent="0.3">
      <c r="G4143" s="24">
        <v>4131</v>
      </c>
      <c r="H4143">
        <f t="shared" ca="1" si="67"/>
        <v>3.4934126037850476E-2</v>
      </c>
    </row>
    <row r="4144" spans="7:8" x14ac:dyDescent="0.3">
      <c r="G4144" s="24">
        <v>4132</v>
      </c>
      <c r="H4144">
        <f t="shared" ca="1" si="67"/>
        <v>-6.9788345058160992E-2</v>
      </c>
    </row>
    <row r="4145" spans="7:8" x14ac:dyDescent="0.3">
      <c r="G4145" s="24">
        <v>4133</v>
      </c>
      <c r="H4145">
        <f t="shared" ca="1" si="67"/>
        <v>5.771987648339845E-2</v>
      </c>
    </row>
    <row r="4146" spans="7:8" x14ac:dyDescent="0.3">
      <c r="G4146" s="24">
        <v>4134</v>
      </c>
      <c r="H4146">
        <f t="shared" ca="1" si="67"/>
        <v>4.3379937185665268E-2</v>
      </c>
    </row>
    <row r="4147" spans="7:8" x14ac:dyDescent="0.3">
      <c r="G4147" s="24">
        <v>4135</v>
      </c>
      <c r="H4147">
        <f t="shared" ca="1" si="67"/>
        <v>3.0705093473248516E-2</v>
      </c>
    </row>
    <row r="4148" spans="7:8" x14ac:dyDescent="0.3">
      <c r="G4148" s="24">
        <v>4136</v>
      </c>
      <c r="H4148">
        <f t="shared" ca="1" si="67"/>
        <v>-8.0022175610102442E-2</v>
      </c>
    </row>
    <row r="4149" spans="7:8" x14ac:dyDescent="0.3">
      <c r="G4149" s="24">
        <v>4137</v>
      </c>
      <c r="H4149">
        <f t="shared" ca="1" si="67"/>
        <v>1.8086186951205736E-2</v>
      </c>
    </row>
    <row r="4150" spans="7:8" x14ac:dyDescent="0.3">
      <c r="G4150" s="24">
        <v>4138</v>
      </c>
      <c r="H4150">
        <f t="shared" ca="1" si="67"/>
        <v>8.9522141317872186E-2</v>
      </c>
    </row>
    <row r="4151" spans="7:8" x14ac:dyDescent="0.3">
      <c r="G4151" s="24">
        <v>4139</v>
      </c>
      <c r="H4151">
        <f t="shared" ca="1" si="67"/>
        <v>5.2461836745801245E-2</v>
      </c>
    </row>
    <row r="4152" spans="7:8" x14ac:dyDescent="0.3">
      <c r="G4152" s="24">
        <v>4140</v>
      </c>
      <c r="H4152">
        <f t="shared" ca="1" si="67"/>
        <v>-0.14809604209326535</v>
      </c>
    </row>
    <row r="4153" spans="7:8" x14ac:dyDescent="0.3">
      <c r="G4153" s="24">
        <v>4141</v>
      </c>
      <c r="H4153">
        <f t="shared" ca="1" si="67"/>
        <v>4.2042651481994028E-2</v>
      </c>
    </row>
    <row r="4154" spans="7:8" x14ac:dyDescent="0.3">
      <c r="G4154" s="24">
        <v>4142</v>
      </c>
      <c r="H4154">
        <f t="shared" ca="1" si="67"/>
        <v>-0.19742141260774546</v>
      </c>
    </row>
    <row r="4155" spans="7:8" x14ac:dyDescent="0.3">
      <c r="G4155" s="24">
        <v>4143</v>
      </c>
      <c r="H4155">
        <f t="shared" ca="1" si="67"/>
        <v>0.12347479530909217</v>
      </c>
    </row>
    <row r="4156" spans="7:8" x14ac:dyDescent="0.3">
      <c r="G4156" s="24">
        <v>4144</v>
      </c>
      <c r="H4156">
        <f t="shared" ca="1" si="67"/>
        <v>-0.15010186841354081</v>
      </c>
    </row>
    <row r="4157" spans="7:8" x14ac:dyDescent="0.3">
      <c r="G4157" s="24">
        <v>4145</v>
      </c>
      <c r="H4157">
        <f t="shared" ca="1" si="67"/>
        <v>-5.942053126759661E-3</v>
      </c>
    </row>
    <row r="4158" spans="7:8" x14ac:dyDescent="0.3">
      <c r="G4158" s="24">
        <v>4146</v>
      </c>
      <c r="H4158">
        <f t="shared" ca="1" si="67"/>
        <v>-6.6157146299161473E-2</v>
      </c>
    </row>
    <row r="4159" spans="7:8" x14ac:dyDescent="0.3">
      <c r="G4159" s="24">
        <v>4147</v>
      </c>
      <c r="H4159">
        <f t="shared" ca="1" si="67"/>
        <v>6.3908382157120358E-2</v>
      </c>
    </row>
    <row r="4160" spans="7:8" x14ac:dyDescent="0.3">
      <c r="G4160" s="24">
        <v>4148</v>
      </c>
      <c r="H4160">
        <f t="shared" ca="1" si="67"/>
        <v>-3.0644682970805515E-2</v>
      </c>
    </row>
    <row r="4161" spans="7:8" x14ac:dyDescent="0.3">
      <c r="G4161" s="24">
        <v>4149</v>
      </c>
      <c r="H4161">
        <f t="shared" ca="1" si="67"/>
        <v>9.2526037789919829E-2</v>
      </c>
    </row>
    <row r="4162" spans="7:8" x14ac:dyDescent="0.3">
      <c r="G4162" s="24">
        <v>4150</v>
      </c>
      <c r="H4162">
        <f t="shared" ca="1" si="67"/>
        <v>-5.405835891405069E-2</v>
      </c>
    </row>
    <row r="4163" spans="7:8" x14ac:dyDescent="0.3">
      <c r="G4163" s="24">
        <v>4151</v>
      </c>
      <c r="H4163">
        <f t="shared" ca="1" si="67"/>
        <v>5.869718290817405E-2</v>
      </c>
    </row>
    <row r="4164" spans="7:8" x14ac:dyDescent="0.3">
      <c r="G4164" s="24">
        <v>4152</v>
      </c>
      <c r="H4164">
        <f t="shared" ca="1" si="67"/>
        <v>-1.8035125002258995E-3</v>
      </c>
    </row>
    <row r="4165" spans="7:8" x14ac:dyDescent="0.3">
      <c r="G4165" s="24">
        <v>4153</v>
      </c>
      <c r="H4165">
        <f t="shared" ca="1" si="67"/>
        <v>9.0387966203428441E-2</v>
      </c>
    </row>
    <row r="4166" spans="7:8" x14ac:dyDescent="0.3">
      <c r="G4166" s="24">
        <v>4154</v>
      </c>
      <c r="H4166">
        <f t="shared" ca="1" si="67"/>
        <v>-7.6024822235456077E-2</v>
      </c>
    </row>
    <row r="4167" spans="7:8" x14ac:dyDescent="0.3">
      <c r="G4167" s="24">
        <v>4155</v>
      </c>
      <c r="H4167">
        <f t="shared" ca="1" si="67"/>
        <v>8.8405351160416354E-2</v>
      </c>
    </row>
    <row r="4168" spans="7:8" x14ac:dyDescent="0.3">
      <c r="G4168" s="24">
        <v>4156</v>
      </c>
      <c r="H4168">
        <f t="shared" ca="1" si="67"/>
        <v>-4.4135527555005841E-2</v>
      </c>
    </row>
    <row r="4169" spans="7:8" x14ac:dyDescent="0.3">
      <c r="G4169" s="24">
        <v>4157</v>
      </c>
      <c r="H4169">
        <f t="shared" ca="1" si="67"/>
        <v>-3.7804572904521307E-2</v>
      </c>
    </row>
    <row r="4170" spans="7:8" x14ac:dyDescent="0.3">
      <c r="G4170" s="24">
        <v>4158</v>
      </c>
      <c r="H4170">
        <f t="shared" ca="1" si="67"/>
        <v>-1.0308174030060726E-2</v>
      </c>
    </row>
    <row r="4171" spans="7:8" x14ac:dyDescent="0.3">
      <c r="G4171" s="24">
        <v>4159</v>
      </c>
      <c r="H4171">
        <f t="shared" ca="1" si="67"/>
        <v>3.3018645307776082E-2</v>
      </c>
    </row>
    <row r="4172" spans="7:8" x14ac:dyDescent="0.3">
      <c r="G4172" s="24">
        <v>4160</v>
      </c>
      <c r="H4172">
        <f t="shared" ca="1" si="67"/>
        <v>2.1556761062297623E-2</v>
      </c>
    </row>
    <row r="4173" spans="7:8" x14ac:dyDescent="0.3">
      <c r="G4173" s="24">
        <v>4161</v>
      </c>
      <c r="H4173">
        <f t="shared" ca="1" si="67"/>
        <v>0.14836739590221074</v>
      </c>
    </row>
    <row r="4174" spans="7:8" x14ac:dyDescent="0.3">
      <c r="G4174" s="24">
        <v>4162</v>
      </c>
      <c r="H4174">
        <f t="shared" ref="H4174:H4237" ca="1" si="68">_xlfn.NORM.INV(RAND(),N$13,N$14)</f>
        <v>-2.4881065803179791E-2</v>
      </c>
    </row>
    <row r="4175" spans="7:8" x14ac:dyDescent="0.3">
      <c r="G4175" s="24">
        <v>4163</v>
      </c>
      <c r="H4175">
        <f t="shared" ca="1" si="68"/>
        <v>-4.4276873379430731E-2</v>
      </c>
    </row>
    <row r="4176" spans="7:8" x14ac:dyDescent="0.3">
      <c r="G4176" s="24">
        <v>4164</v>
      </c>
      <c r="H4176">
        <f t="shared" ca="1" si="68"/>
        <v>-0.10003626931632316</v>
      </c>
    </row>
    <row r="4177" spans="7:8" x14ac:dyDescent="0.3">
      <c r="G4177" s="24">
        <v>4165</v>
      </c>
      <c r="H4177">
        <f t="shared" ca="1" si="68"/>
        <v>4.5083223213693924E-3</v>
      </c>
    </row>
    <row r="4178" spans="7:8" x14ac:dyDescent="0.3">
      <c r="G4178" s="24">
        <v>4166</v>
      </c>
      <c r="H4178">
        <f t="shared" ca="1" si="68"/>
        <v>-0.11258413724819141</v>
      </c>
    </row>
    <row r="4179" spans="7:8" x14ac:dyDescent="0.3">
      <c r="G4179" s="24">
        <v>4167</v>
      </c>
      <c r="H4179">
        <f t="shared" ca="1" si="68"/>
        <v>-2.9392464946784738E-2</v>
      </c>
    </row>
    <row r="4180" spans="7:8" x14ac:dyDescent="0.3">
      <c r="G4180" s="24">
        <v>4168</v>
      </c>
      <c r="H4180">
        <f t="shared" ca="1" si="68"/>
        <v>2.4128210922264661E-2</v>
      </c>
    </row>
    <row r="4181" spans="7:8" x14ac:dyDescent="0.3">
      <c r="G4181" s="24">
        <v>4169</v>
      </c>
      <c r="H4181">
        <f t="shared" ca="1" si="68"/>
        <v>4.4842146754360893E-2</v>
      </c>
    </row>
    <row r="4182" spans="7:8" x14ac:dyDescent="0.3">
      <c r="G4182" s="24">
        <v>4170</v>
      </c>
      <c r="H4182">
        <f t="shared" ca="1" si="68"/>
        <v>-7.4281074692722077E-2</v>
      </c>
    </row>
    <row r="4183" spans="7:8" x14ac:dyDescent="0.3">
      <c r="G4183" s="24">
        <v>4171</v>
      </c>
      <c r="H4183">
        <f t="shared" ca="1" si="68"/>
        <v>-0.11376430720359185</v>
      </c>
    </row>
    <row r="4184" spans="7:8" x14ac:dyDescent="0.3">
      <c r="G4184" s="24">
        <v>4172</v>
      </c>
      <c r="H4184">
        <f t="shared" ca="1" si="68"/>
        <v>3.7054601204944464E-2</v>
      </c>
    </row>
    <row r="4185" spans="7:8" x14ac:dyDescent="0.3">
      <c r="G4185" s="24">
        <v>4173</v>
      </c>
      <c r="H4185">
        <f t="shared" ca="1" si="68"/>
        <v>4.4580172513110056E-2</v>
      </c>
    </row>
    <row r="4186" spans="7:8" x14ac:dyDescent="0.3">
      <c r="G4186" s="24">
        <v>4174</v>
      </c>
      <c r="H4186">
        <f t="shared" ca="1" si="68"/>
        <v>-9.779514863785279E-3</v>
      </c>
    </row>
    <row r="4187" spans="7:8" x14ac:dyDescent="0.3">
      <c r="G4187" s="24">
        <v>4175</v>
      </c>
      <c r="H4187">
        <f t="shared" ca="1" si="68"/>
        <v>0.12077135408458479</v>
      </c>
    </row>
    <row r="4188" spans="7:8" x14ac:dyDescent="0.3">
      <c r="G4188" s="24">
        <v>4176</v>
      </c>
      <c r="H4188">
        <f t="shared" ca="1" si="68"/>
        <v>-0.17046369061299937</v>
      </c>
    </row>
    <row r="4189" spans="7:8" x14ac:dyDescent="0.3">
      <c r="G4189" s="24">
        <v>4177</v>
      </c>
      <c r="H4189">
        <f t="shared" ca="1" si="68"/>
        <v>-2.7608962456764981E-2</v>
      </c>
    </row>
    <row r="4190" spans="7:8" x14ac:dyDescent="0.3">
      <c r="G4190" s="24">
        <v>4178</v>
      </c>
      <c r="H4190">
        <f t="shared" ca="1" si="68"/>
        <v>-2.8491625028094353E-2</v>
      </c>
    </row>
    <row r="4191" spans="7:8" x14ac:dyDescent="0.3">
      <c r="G4191" s="24">
        <v>4179</v>
      </c>
      <c r="H4191">
        <f t="shared" ca="1" si="68"/>
        <v>-3.7388541600460658E-2</v>
      </c>
    </row>
    <row r="4192" spans="7:8" x14ac:dyDescent="0.3">
      <c r="G4192" s="24">
        <v>4180</v>
      </c>
      <c r="H4192">
        <f t="shared" ca="1" si="68"/>
        <v>-1.287109916352641E-2</v>
      </c>
    </row>
    <row r="4193" spans="7:8" x14ac:dyDescent="0.3">
      <c r="G4193" s="24">
        <v>4181</v>
      </c>
      <c r="H4193">
        <f t="shared" ca="1" si="68"/>
        <v>0.12427177323518672</v>
      </c>
    </row>
    <row r="4194" spans="7:8" x14ac:dyDescent="0.3">
      <c r="G4194" s="24">
        <v>4182</v>
      </c>
      <c r="H4194">
        <f t="shared" ca="1" si="68"/>
        <v>-7.8799710206257992E-2</v>
      </c>
    </row>
    <row r="4195" spans="7:8" x14ac:dyDescent="0.3">
      <c r="G4195" s="24">
        <v>4183</v>
      </c>
      <c r="H4195">
        <f t="shared" ca="1" si="68"/>
        <v>2.4884150838931349E-2</v>
      </c>
    </row>
    <row r="4196" spans="7:8" x14ac:dyDescent="0.3">
      <c r="G4196" s="24">
        <v>4184</v>
      </c>
      <c r="H4196">
        <f t="shared" ca="1" si="68"/>
        <v>6.9524735079790706E-2</v>
      </c>
    </row>
    <row r="4197" spans="7:8" x14ac:dyDescent="0.3">
      <c r="G4197" s="24">
        <v>4185</v>
      </c>
      <c r="H4197">
        <f t="shared" ca="1" si="68"/>
        <v>1.9480713426021833E-2</v>
      </c>
    </row>
    <row r="4198" spans="7:8" x14ac:dyDescent="0.3">
      <c r="G4198" s="24">
        <v>4186</v>
      </c>
      <c r="H4198">
        <f t="shared" ca="1" si="68"/>
        <v>-3.3426947355106443E-2</v>
      </c>
    </row>
    <row r="4199" spans="7:8" x14ac:dyDescent="0.3">
      <c r="G4199" s="24">
        <v>4187</v>
      </c>
      <c r="H4199">
        <f t="shared" ca="1" si="68"/>
        <v>-3.0829325426100528E-3</v>
      </c>
    </row>
    <row r="4200" spans="7:8" x14ac:dyDescent="0.3">
      <c r="G4200" s="24">
        <v>4188</v>
      </c>
      <c r="H4200">
        <f t="shared" ca="1" si="68"/>
        <v>2.8262659391048557E-2</v>
      </c>
    </row>
    <row r="4201" spans="7:8" x14ac:dyDescent="0.3">
      <c r="G4201" s="24">
        <v>4189</v>
      </c>
      <c r="H4201">
        <f t="shared" ca="1" si="68"/>
        <v>4.8274762191742267E-2</v>
      </c>
    </row>
    <row r="4202" spans="7:8" x14ac:dyDescent="0.3">
      <c r="G4202" s="24">
        <v>4190</v>
      </c>
      <c r="H4202">
        <f t="shared" ca="1" si="68"/>
        <v>-1.8262163590673972E-3</v>
      </c>
    </row>
    <row r="4203" spans="7:8" x14ac:dyDescent="0.3">
      <c r="G4203" s="24">
        <v>4191</v>
      </c>
      <c r="H4203">
        <f t="shared" ca="1" si="68"/>
        <v>6.7186651412726138E-3</v>
      </c>
    </row>
    <row r="4204" spans="7:8" x14ac:dyDescent="0.3">
      <c r="G4204" s="24">
        <v>4192</v>
      </c>
      <c r="H4204">
        <f t="shared" ca="1" si="68"/>
        <v>0.11116653241298025</v>
      </c>
    </row>
    <row r="4205" spans="7:8" x14ac:dyDescent="0.3">
      <c r="G4205" s="24">
        <v>4193</v>
      </c>
      <c r="H4205">
        <f t="shared" ca="1" si="68"/>
        <v>9.9169752283101605E-3</v>
      </c>
    </row>
    <row r="4206" spans="7:8" x14ac:dyDescent="0.3">
      <c r="G4206" s="24">
        <v>4194</v>
      </c>
      <c r="H4206">
        <f t="shared" ca="1" si="68"/>
        <v>0.10316251689712037</v>
      </c>
    </row>
    <row r="4207" spans="7:8" x14ac:dyDescent="0.3">
      <c r="G4207" s="24">
        <v>4195</v>
      </c>
      <c r="H4207">
        <f t="shared" ca="1" si="68"/>
        <v>2.0779773667559887E-2</v>
      </c>
    </row>
    <row r="4208" spans="7:8" x14ac:dyDescent="0.3">
      <c r="G4208" s="24">
        <v>4196</v>
      </c>
      <c r="H4208">
        <f t="shared" ca="1" si="68"/>
        <v>2.0536656580560995E-2</v>
      </c>
    </row>
    <row r="4209" spans="7:8" x14ac:dyDescent="0.3">
      <c r="G4209" s="24">
        <v>4197</v>
      </c>
      <c r="H4209">
        <f t="shared" ca="1" si="68"/>
        <v>-3.0052742298660378E-2</v>
      </c>
    </row>
    <row r="4210" spans="7:8" x14ac:dyDescent="0.3">
      <c r="G4210" s="24">
        <v>4198</v>
      </c>
      <c r="H4210">
        <f t="shared" ca="1" si="68"/>
        <v>-1.6598863294769884E-2</v>
      </c>
    </row>
    <row r="4211" spans="7:8" x14ac:dyDescent="0.3">
      <c r="G4211" s="24">
        <v>4199</v>
      </c>
      <c r="H4211">
        <f t="shared" ca="1" si="68"/>
        <v>-6.3860146052490789E-3</v>
      </c>
    </row>
    <row r="4212" spans="7:8" x14ac:dyDescent="0.3">
      <c r="G4212" s="24">
        <v>4200</v>
      </c>
      <c r="H4212">
        <f t="shared" ca="1" si="68"/>
        <v>-6.195224267766173E-2</v>
      </c>
    </row>
    <row r="4213" spans="7:8" x14ac:dyDescent="0.3">
      <c r="G4213" s="24">
        <v>4201</v>
      </c>
      <c r="H4213">
        <f t="shared" ca="1" si="68"/>
        <v>-9.7167889051832129E-2</v>
      </c>
    </row>
    <row r="4214" spans="7:8" x14ac:dyDescent="0.3">
      <c r="G4214" s="24">
        <v>4202</v>
      </c>
      <c r="H4214">
        <f t="shared" ca="1" si="68"/>
        <v>7.9987719104008301E-2</v>
      </c>
    </row>
    <row r="4215" spans="7:8" x14ac:dyDescent="0.3">
      <c r="G4215" s="24">
        <v>4203</v>
      </c>
      <c r="H4215">
        <f t="shared" ca="1" si="68"/>
        <v>-3.7566894355323628E-2</v>
      </c>
    </row>
    <row r="4216" spans="7:8" x14ac:dyDescent="0.3">
      <c r="G4216" s="24">
        <v>4204</v>
      </c>
      <c r="H4216">
        <f t="shared" ca="1" si="68"/>
        <v>6.4881054990102216E-2</v>
      </c>
    </row>
    <row r="4217" spans="7:8" x14ac:dyDescent="0.3">
      <c r="G4217" s="24">
        <v>4205</v>
      </c>
      <c r="H4217">
        <f t="shared" ca="1" si="68"/>
        <v>3.9678274370628527E-2</v>
      </c>
    </row>
    <row r="4218" spans="7:8" x14ac:dyDescent="0.3">
      <c r="G4218" s="24">
        <v>4206</v>
      </c>
      <c r="H4218">
        <f t="shared" ca="1" si="68"/>
        <v>1.5421220878139186E-2</v>
      </c>
    </row>
    <row r="4219" spans="7:8" x14ac:dyDescent="0.3">
      <c r="G4219" s="24">
        <v>4207</v>
      </c>
      <c r="H4219">
        <f t="shared" ca="1" si="68"/>
        <v>-6.8286877653447667E-2</v>
      </c>
    </row>
    <row r="4220" spans="7:8" x14ac:dyDescent="0.3">
      <c r="G4220" s="24">
        <v>4208</v>
      </c>
      <c r="H4220">
        <f t="shared" ca="1" si="68"/>
        <v>-2.1640237051824902E-2</v>
      </c>
    </row>
    <row r="4221" spans="7:8" x14ac:dyDescent="0.3">
      <c r="G4221" s="24">
        <v>4209</v>
      </c>
      <c r="H4221">
        <f t="shared" ca="1" si="68"/>
        <v>7.3768817524224553E-2</v>
      </c>
    </row>
    <row r="4222" spans="7:8" x14ac:dyDescent="0.3">
      <c r="G4222" s="24">
        <v>4210</v>
      </c>
      <c r="H4222">
        <f t="shared" ca="1" si="68"/>
        <v>2.9910002244691612E-2</v>
      </c>
    </row>
    <row r="4223" spans="7:8" x14ac:dyDescent="0.3">
      <c r="G4223" s="24">
        <v>4211</v>
      </c>
      <c r="H4223">
        <f t="shared" ca="1" si="68"/>
        <v>-9.4038739167977448E-2</v>
      </c>
    </row>
    <row r="4224" spans="7:8" x14ac:dyDescent="0.3">
      <c r="G4224" s="24">
        <v>4212</v>
      </c>
      <c r="H4224">
        <f t="shared" ca="1" si="68"/>
        <v>-3.5817756670601275E-2</v>
      </c>
    </row>
    <row r="4225" spans="7:8" x14ac:dyDescent="0.3">
      <c r="G4225" s="24">
        <v>4213</v>
      </c>
      <c r="H4225">
        <f t="shared" ca="1" si="68"/>
        <v>-7.5362199882655689E-2</v>
      </c>
    </row>
    <row r="4226" spans="7:8" x14ac:dyDescent="0.3">
      <c r="G4226" s="24">
        <v>4214</v>
      </c>
      <c r="H4226">
        <f t="shared" ca="1" si="68"/>
        <v>-2.9251699266425913E-3</v>
      </c>
    </row>
    <row r="4227" spans="7:8" x14ac:dyDescent="0.3">
      <c r="G4227" s="24">
        <v>4215</v>
      </c>
      <c r="H4227">
        <f t="shared" ca="1" si="68"/>
        <v>-5.778352577803075E-3</v>
      </c>
    </row>
    <row r="4228" spans="7:8" x14ac:dyDescent="0.3">
      <c r="G4228" s="24">
        <v>4216</v>
      </c>
      <c r="H4228">
        <f t="shared" ca="1" si="68"/>
        <v>-9.4707587575071014E-2</v>
      </c>
    </row>
    <row r="4229" spans="7:8" x14ac:dyDescent="0.3">
      <c r="G4229" s="24">
        <v>4217</v>
      </c>
      <c r="H4229">
        <f t="shared" ca="1" si="68"/>
        <v>-4.3275415545422323E-2</v>
      </c>
    </row>
    <row r="4230" spans="7:8" x14ac:dyDescent="0.3">
      <c r="G4230" s="24">
        <v>4218</v>
      </c>
      <c r="H4230">
        <f t="shared" ca="1" si="68"/>
        <v>8.9664434604598636E-2</v>
      </c>
    </row>
    <row r="4231" spans="7:8" x14ac:dyDescent="0.3">
      <c r="G4231" s="24">
        <v>4219</v>
      </c>
      <c r="H4231">
        <f t="shared" ca="1" si="68"/>
        <v>-2.3868501735634054E-2</v>
      </c>
    </row>
    <row r="4232" spans="7:8" x14ac:dyDescent="0.3">
      <c r="G4232" s="24">
        <v>4220</v>
      </c>
      <c r="H4232">
        <f t="shared" ca="1" si="68"/>
        <v>8.6588061353779448E-3</v>
      </c>
    </row>
    <row r="4233" spans="7:8" x14ac:dyDescent="0.3">
      <c r="G4233" s="24">
        <v>4221</v>
      </c>
      <c r="H4233">
        <f t="shared" ca="1" si="68"/>
        <v>2.2736781034411149E-2</v>
      </c>
    </row>
    <row r="4234" spans="7:8" x14ac:dyDescent="0.3">
      <c r="G4234" s="24">
        <v>4222</v>
      </c>
      <c r="H4234">
        <f t="shared" ca="1" si="68"/>
        <v>-6.7426457124295278E-2</v>
      </c>
    </row>
    <row r="4235" spans="7:8" x14ac:dyDescent="0.3">
      <c r="G4235" s="24">
        <v>4223</v>
      </c>
      <c r="H4235">
        <f t="shared" ca="1" si="68"/>
        <v>-9.6571409694015085E-3</v>
      </c>
    </row>
    <row r="4236" spans="7:8" x14ac:dyDescent="0.3">
      <c r="G4236" s="24">
        <v>4224</v>
      </c>
      <c r="H4236">
        <f t="shared" ca="1" si="68"/>
        <v>0.11237886767769587</v>
      </c>
    </row>
    <row r="4237" spans="7:8" x14ac:dyDescent="0.3">
      <c r="G4237" s="24">
        <v>4225</v>
      </c>
      <c r="H4237">
        <f t="shared" ca="1" si="68"/>
        <v>1.3509288132752257E-2</v>
      </c>
    </row>
    <row r="4238" spans="7:8" x14ac:dyDescent="0.3">
      <c r="G4238" s="24">
        <v>4226</v>
      </c>
      <c r="H4238">
        <f t="shared" ref="H4238:H4301" ca="1" si="69">_xlfn.NORM.INV(RAND(),N$13,N$14)</f>
        <v>-3.4368621921098449E-2</v>
      </c>
    </row>
    <row r="4239" spans="7:8" x14ac:dyDescent="0.3">
      <c r="G4239" s="24">
        <v>4227</v>
      </c>
      <c r="H4239">
        <f t="shared" ca="1" si="69"/>
        <v>0.12628235200261601</v>
      </c>
    </row>
    <row r="4240" spans="7:8" x14ac:dyDescent="0.3">
      <c r="G4240" s="24">
        <v>4228</v>
      </c>
      <c r="H4240">
        <f t="shared" ca="1" si="69"/>
        <v>-4.1905217186571073E-2</v>
      </c>
    </row>
    <row r="4241" spans="7:8" x14ac:dyDescent="0.3">
      <c r="G4241" s="24">
        <v>4229</v>
      </c>
      <c r="H4241">
        <f t="shared" ca="1" si="69"/>
        <v>-7.3492391610498073E-2</v>
      </c>
    </row>
    <row r="4242" spans="7:8" x14ac:dyDescent="0.3">
      <c r="G4242" s="24">
        <v>4230</v>
      </c>
      <c r="H4242">
        <f t="shared" ca="1" si="69"/>
        <v>3.5319391733036151E-2</v>
      </c>
    </row>
    <row r="4243" spans="7:8" x14ac:dyDescent="0.3">
      <c r="G4243" s="24">
        <v>4231</v>
      </c>
      <c r="H4243">
        <f t="shared" ca="1" si="69"/>
        <v>-6.5535652344593673E-2</v>
      </c>
    </row>
    <row r="4244" spans="7:8" x14ac:dyDescent="0.3">
      <c r="G4244" s="24">
        <v>4232</v>
      </c>
      <c r="H4244">
        <f t="shared" ca="1" si="69"/>
        <v>5.9799567305354948E-2</v>
      </c>
    </row>
    <row r="4245" spans="7:8" x14ac:dyDescent="0.3">
      <c r="G4245" s="24">
        <v>4233</v>
      </c>
      <c r="H4245">
        <f t="shared" ca="1" si="69"/>
        <v>-3.0303102889169074E-4</v>
      </c>
    </row>
    <row r="4246" spans="7:8" x14ac:dyDescent="0.3">
      <c r="G4246" s="24">
        <v>4234</v>
      </c>
      <c r="H4246">
        <f t="shared" ca="1" si="69"/>
        <v>5.4161515004078634E-2</v>
      </c>
    </row>
    <row r="4247" spans="7:8" x14ac:dyDescent="0.3">
      <c r="G4247" s="24">
        <v>4235</v>
      </c>
      <c r="H4247">
        <f t="shared" ca="1" si="69"/>
        <v>3.4027150331023576E-2</v>
      </c>
    </row>
    <row r="4248" spans="7:8" x14ac:dyDescent="0.3">
      <c r="G4248" s="24">
        <v>4236</v>
      </c>
      <c r="H4248">
        <f t="shared" ca="1" si="69"/>
        <v>8.3747459381431008E-2</v>
      </c>
    </row>
    <row r="4249" spans="7:8" x14ac:dyDescent="0.3">
      <c r="G4249" s="24">
        <v>4237</v>
      </c>
      <c r="H4249">
        <f t="shared" ca="1" si="69"/>
        <v>4.2847679385738094E-2</v>
      </c>
    </row>
    <row r="4250" spans="7:8" x14ac:dyDescent="0.3">
      <c r="G4250" s="24">
        <v>4238</v>
      </c>
      <c r="H4250">
        <f t="shared" ca="1" si="69"/>
        <v>-9.4529859406528333E-2</v>
      </c>
    </row>
    <row r="4251" spans="7:8" x14ac:dyDescent="0.3">
      <c r="G4251" s="24">
        <v>4239</v>
      </c>
      <c r="H4251">
        <f t="shared" ca="1" si="69"/>
        <v>3.3642746453720972E-2</v>
      </c>
    </row>
    <row r="4252" spans="7:8" x14ac:dyDescent="0.3">
      <c r="G4252" s="24">
        <v>4240</v>
      </c>
      <c r="H4252">
        <f t="shared" ca="1" si="69"/>
        <v>-5.0110585311958E-2</v>
      </c>
    </row>
    <row r="4253" spans="7:8" x14ac:dyDescent="0.3">
      <c r="G4253" s="24">
        <v>4241</v>
      </c>
      <c r="H4253">
        <f t="shared" ca="1" si="69"/>
        <v>-5.0273298683083049E-2</v>
      </c>
    </row>
    <row r="4254" spans="7:8" x14ac:dyDescent="0.3">
      <c r="G4254" s="24">
        <v>4242</v>
      </c>
      <c r="H4254">
        <f t="shared" ca="1" si="69"/>
        <v>0.12132324848870873</v>
      </c>
    </row>
    <row r="4255" spans="7:8" x14ac:dyDescent="0.3">
      <c r="G4255" s="24">
        <v>4243</v>
      </c>
      <c r="H4255">
        <f t="shared" ca="1" si="69"/>
        <v>-5.297614773479236E-2</v>
      </c>
    </row>
    <row r="4256" spans="7:8" x14ac:dyDescent="0.3">
      <c r="G4256" s="24">
        <v>4244</v>
      </c>
      <c r="H4256">
        <f t="shared" ca="1" si="69"/>
        <v>-1.6162772471431122E-2</v>
      </c>
    </row>
    <row r="4257" spans="7:8" x14ac:dyDescent="0.3">
      <c r="G4257" s="24">
        <v>4245</v>
      </c>
      <c r="H4257">
        <f t="shared" ca="1" si="69"/>
        <v>-5.4388468119292509E-2</v>
      </c>
    </row>
    <row r="4258" spans="7:8" x14ac:dyDescent="0.3">
      <c r="G4258" s="24">
        <v>4246</v>
      </c>
      <c r="H4258">
        <f t="shared" ca="1" si="69"/>
        <v>-7.6674879861552872E-2</v>
      </c>
    </row>
    <row r="4259" spans="7:8" x14ac:dyDescent="0.3">
      <c r="G4259" s="24">
        <v>4247</v>
      </c>
      <c r="H4259">
        <f t="shared" ca="1" si="69"/>
        <v>-3.381072824405313E-2</v>
      </c>
    </row>
    <row r="4260" spans="7:8" x14ac:dyDescent="0.3">
      <c r="G4260" s="24">
        <v>4248</v>
      </c>
      <c r="H4260">
        <f t="shared" ca="1" si="69"/>
        <v>-2.3508064991568565E-2</v>
      </c>
    </row>
    <row r="4261" spans="7:8" x14ac:dyDescent="0.3">
      <c r="G4261" s="24">
        <v>4249</v>
      </c>
      <c r="H4261">
        <f t="shared" ca="1" si="69"/>
        <v>-2.0138072390478899E-2</v>
      </c>
    </row>
    <row r="4262" spans="7:8" x14ac:dyDescent="0.3">
      <c r="G4262" s="24">
        <v>4250</v>
      </c>
      <c r="H4262">
        <f t="shared" ca="1" si="69"/>
        <v>8.4120225834342383E-3</v>
      </c>
    </row>
    <row r="4263" spans="7:8" x14ac:dyDescent="0.3">
      <c r="G4263" s="24">
        <v>4251</v>
      </c>
      <c r="H4263">
        <f t="shared" ca="1" si="69"/>
        <v>-0.17473247692764896</v>
      </c>
    </row>
    <row r="4264" spans="7:8" x14ac:dyDescent="0.3">
      <c r="G4264" s="24">
        <v>4252</v>
      </c>
      <c r="H4264">
        <f t="shared" ca="1" si="69"/>
        <v>8.5895586760324216E-2</v>
      </c>
    </row>
    <row r="4265" spans="7:8" x14ac:dyDescent="0.3">
      <c r="G4265" s="24">
        <v>4253</v>
      </c>
      <c r="H4265">
        <f t="shared" ca="1" si="69"/>
        <v>-7.2153872005454978E-2</v>
      </c>
    </row>
    <row r="4266" spans="7:8" x14ac:dyDescent="0.3">
      <c r="G4266" s="24">
        <v>4254</v>
      </c>
      <c r="H4266">
        <f t="shared" ca="1" si="69"/>
        <v>5.1933539407187396E-2</v>
      </c>
    </row>
    <row r="4267" spans="7:8" x14ac:dyDescent="0.3">
      <c r="G4267" s="24">
        <v>4255</v>
      </c>
      <c r="H4267">
        <f t="shared" ca="1" si="69"/>
        <v>-7.7182403709409056E-2</v>
      </c>
    </row>
    <row r="4268" spans="7:8" x14ac:dyDescent="0.3">
      <c r="G4268" s="24">
        <v>4256</v>
      </c>
      <c r="H4268">
        <f t="shared" ca="1" si="69"/>
        <v>-0.10164323780863273</v>
      </c>
    </row>
    <row r="4269" spans="7:8" x14ac:dyDescent="0.3">
      <c r="G4269" s="24">
        <v>4257</v>
      </c>
      <c r="H4269">
        <f t="shared" ca="1" si="69"/>
        <v>7.5362559130913109E-2</v>
      </c>
    </row>
    <row r="4270" spans="7:8" x14ac:dyDescent="0.3">
      <c r="G4270" s="24">
        <v>4258</v>
      </c>
      <c r="H4270">
        <f t="shared" ca="1" si="69"/>
        <v>-4.7514090071001193E-2</v>
      </c>
    </row>
    <row r="4271" spans="7:8" x14ac:dyDescent="0.3">
      <c r="G4271" s="24">
        <v>4259</v>
      </c>
      <c r="H4271">
        <f t="shared" ca="1" si="69"/>
        <v>-1.7852715043463845E-2</v>
      </c>
    </row>
    <row r="4272" spans="7:8" x14ac:dyDescent="0.3">
      <c r="G4272" s="24">
        <v>4260</v>
      </c>
      <c r="H4272">
        <f t="shared" ca="1" si="69"/>
        <v>-0.15706980871689341</v>
      </c>
    </row>
    <row r="4273" spans="7:8" x14ac:dyDescent="0.3">
      <c r="G4273" s="24">
        <v>4261</v>
      </c>
      <c r="H4273">
        <f t="shared" ca="1" si="69"/>
        <v>-5.5404798704765924E-2</v>
      </c>
    </row>
    <row r="4274" spans="7:8" x14ac:dyDescent="0.3">
      <c r="G4274" s="24">
        <v>4262</v>
      </c>
      <c r="H4274">
        <f t="shared" ca="1" si="69"/>
        <v>6.8858015058208502E-2</v>
      </c>
    </row>
    <row r="4275" spans="7:8" x14ac:dyDescent="0.3">
      <c r="G4275" s="24">
        <v>4263</v>
      </c>
      <c r="H4275">
        <f t="shared" ca="1" si="69"/>
        <v>-4.0593204157461878E-2</v>
      </c>
    </row>
    <row r="4276" spans="7:8" x14ac:dyDescent="0.3">
      <c r="G4276" s="24">
        <v>4264</v>
      </c>
      <c r="H4276">
        <f t="shared" ca="1" si="69"/>
        <v>-2.3865667711773946E-3</v>
      </c>
    </row>
    <row r="4277" spans="7:8" x14ac:dyDescent="0.3">
      <c r="G4277" s="24">
        <v>4265</v>
      </c>
      <c r="H4277">
        <f t="shared" ca="1" si="69"/>
        <v>-5.9652694941298302E-2</v>
      </c>
    </row>
    <row r="4278" spans="7:8" x14ac:dyDescent="0.3">
      <c r="G4278" s="24">
        <v>4266</v>
      </c>
      <c r="H4278">
        <f t="shared" ca="1" si="69"/>
        <v>-4.0402629315545779E-2</v>
      </c>
    </row>
    <row r="4279" spans="7:8" x14ac:dyDescent="0.3">
      <c r="G4279" s="24">
        <v>4267</v>
      </c>
      <c r="H4279">
        <f t="shared" ca="1" si="69"/>
        <v>3.6598298942220227E-2</v>
      </c>
    </row>
    <row r="4280" spans="7:8" x14ac:dyDescent="0.3">
      <c r="G4280" s="24">
        <v>4268</v>
      </c>
      <c r="H4280">
        <f t="shared" ca="1" si="69"/>
        <v>5.9034587332609967E-2</v>
      </c>
    </row>
    <row r="4281" spans="7:8" x14ac:dyDescent="0.3">
      <c r="G4281" s="24">
        <v>4269</v>
      </c>
      <c r="H4281">
        <f t="shared" ca="1" si="69"/>
        <v>-2.7256207392298944E-2</v>
      </c>
    </row>
    <row r="4282" spans="7:8" x14ac:dyDescent="0.3">
      <c r="G4282" s="24">
        <v>4270</v>
      </c>
      <c r="H4282">
        <f t="shared" ca="1" si="69"/>
        <v>-4.8383141578374617E-2</v>
      </c>
    </row>
    <row r="4283" spans="7:8" x14ac:dyDescent="0.3">
      <c r="G4283" s="24">
        <v>4271</v>
      </c>
      <c r="H4283">
        <f t="shared" ca="1" si="69"/>
        <v>-0.10941411526618973</v>
      </c>
    </row>
    <row r="4284" spans="7:8" x14ac:dyDescent="0.3">
      <c r="G4284" s="24">
        <v>4272</v>
      </c>
      <c r="H4284">
        <f t="shared" ca="1" si="69"/>
        <v>9.6849190232550508E-3</v>
      </c>
    </row>
    <row r="4285" spans="7:8" x14ac:dyDescent="0.3">
      <c r="G4285" s="24">
        <v>4273</v>
      </c>
      <c r="H4285">
        <f t="shared" ca="1" si="69"/>
        <v>5.5969649503884694E-2</v>
      </c>
    </row>
    <row r="4286" spans="7:8" x14ac:dyDescent="0.3">
      <c r="G4286" s="24">
        <v>4274</v>
      </c>
      <c r="H4286">
        <f t="shared" ca="1" si="69"/>
        <v>5.3734479240131618E-2</v>
      </c>
    </row>
    <row r="4287" spans="7:8" x14ac:dyDescent="0.3">
      <c r="G4287" s="24">
        <v>4275</v>
      </c>
      <c r="H4287">
        <f t="shared" ca="1" si="69"/>
        <v>-3.5839469409546715E-2</v>
      </c>
    </row>
    <row r="4288" spans="7:8" x14ac:dyDescent="0.3">
      <c r="G4288" s="24">
        <v>4276</v>
      </c>
      <c r="H4288">
        <f t="shared" ca="1" si="69"/>
        <v>-2.7872523514258656E-2</v>
      </c>
    </row>
    <row r="4289" spans="7:8" x14ac:dyDescent="0.3">
      <c r="G4289" s="24">
        <v>4277</v>
      </c>
      <c r="H4289">
        <f t="shared" ca="1" si="69"/>
        <v>-4.5869435841224972E-2</v>
      </c>
    </row>
    <row r="4290" spans="7:8" x14ac:dyDescent="0.3">
      <c r="G4290" s="24">
        <v>4278</v>
      </c>
      <c r="H4290">
        <f t="shared" ca="1" si="69"/>
        <v>7.4633118502474491E-2</v>
      </c>
    </row>
    <row r="4291" spans="7:8" x14ac:dyDescent="0.3">
      <c r="G4291" s="24">
        <v>4279</v>
      </c>
      <c r="H4291">
        <f t="shared" ca="1" si="69"/>
        <v>1.5867940764834363E-2</v>
      </c>
    </row>
    <row r="4292" spans="7:8" x14ac:dyDescent="0.3">
      <c r="G4292" s="24">
        <v>4280</v>
      </c>
      <c r="H4292">
        <f t="shared" ca="1" si="69"/>
        <v>-4.9687146151349636E-2</v>
      </c>
    </row>
    <row r="4293" spans="7:8" x14ac:dyDescent="0.3">
      <c r="G4293" s="24">
        <v>4281</v>
      </c>
      <c r="H4293">
        <f t="shared" ca="1" si="69"/>
        <v>3.0407082056650905E-2</v>
      </c>
    </row>
    <row r="4294" spans="7:8" x14ac:dyDescent="0.3">
      <c r="G4294" s="24">
        <v>4282</v>
      </c>
      <c r="H4294">
        <f t="shared" ca="1" si="69"/>
        <v>0.10366454864318975</v>
      </c>
    </row>
    <row r="4295" spans="7:8" x14ac:dyDescent="0.3">
      <c r="G4295" s="24">
        <v>4283</v>
      </c>
      <c r="H4295">
        <f t="shared" ca="1" si="69"/>
        <v>-2.435381786348716E-2</v>
      </c>
    </row>
    <row r="4296" spans="7:8" x14ac:dyDescent="0.3">
      <c r="G4296" s="24">
        <v>4284</v>
      </c>
      <c r="H4296">
        <f t="shared" ca="1" si="69"/>
        <v>-8.1853962139559217E-5</v>
      </c>
    </row>
    <row r="4297" spans="7:8" x14ac:dyDescent="0.3">
      <c r="G4297" s="24">
        <v>4285</v>
      </c>
      <c r="H4297">
        <f t="shared" ca="1" si="69"/>
        <v>2.5404777948919408E-2</v>
      </c>
    </row>
    <row r="4298" spans="7:8" x14ac:dyDescent="0.3">
      <c r="G4298" s="24">
        <v>4286</v>
      </c>
      <c r="H4298">
        <f t="shared" ca="1" si="69"/>
        <v>7.146921729150961E-2</v>
      </c>
    </row>
    <row r="4299" spans="7:8" x14ac:dyDescent="0.3">
      <c r="G4299" s="24">
        <v>4287</v>
      </c>
      <c r="H4299">
        <f t="shared" ca="1" si="69"/>
        <v>2.0923944255133567E-2</v>
      </c>
    </row>
    <row r="4300" spans="7:8" x14ac:dyDescent="0.3">
      <c r="G4300" s="24">
        <v>4288</v>
      </c>
      <c r="H4300">
        <f t="shared" ca="1" si="69"/>
        <v>-4.2949577746873184E-2</v>
      </c>
    </row>
    <row r="4301" spans="7:8" x14ac:dyDescent="0.3">
      <c r="G4301" s="24">
        <v>4289</v>
      </c>
      <c r="H4301">
        <f t="shared" ca="1" si="69"/>
        <v>-3.1498700760856417E-2</v>
      </c>
    </row>
    <row r="4302" spans="7:8" x14ac:dyDescent="0.3">
      <c r="G4302" s="24">
        <v>4290</v>
      </c>
      <c r="H4302">
        <f t="shared" ref="H4302:H4365" ca="1" si="70">_xlfn.NORM.INV(RAND(),N$13,N$14)</f>
        <v>3.6059310506571435E-2</v>
      </c>
    </row>
    <row r="4303" spans="7:8" x14ac:dyDescent="0.3">
      <c r="G4303" s="24">
        <v>4291</v>
      </c>
      <c r="H4303">
        <f t="shared" ca="1" si="70"/>
        <v>-6.9525837340284294E-2</v>
      </c>
    </row>
    <row r="4304" spans="7:8" x14ac:dyDescent="0.3">
      <c r="G4304" s="24">
        <v>4292</v>
      </c>
      <c r="H4304">
        <f t="shared" ca="1" si="70"/>
        <v>-1.4314237266506078E-2</v>
      </c>
    </row>
    <row r="4305" spans="7:8" x14ac:dyDescent="0.3">
      <c r="G4305" s="24">
        <v>4293</v>
      </c>
      <c r="H4305">
        <f t="shared" ca="1" si="70"/>
        <v>-3.2359943300887609E-2</v>
      </c>
    </row>
    <row r="4306" spans="7:8" x14ac:dyDescent="0.3">
      <c r="G4306" s="24">
        <v>4294</v>
      </c>
      <c r="H4306">
        <f t="shared" ca="1" si="70"/>
        <v>-5.1245564048012608E-2</v>
      </c>
    </row>
    <row r="4307" spans="7:8" x14ac:dyDescent="0.3">
      <c r="G4307" s="24">
        <v>4295</v>
      </c>
      <c r="H4307">
        <f t="shared" ca="1" si="70"/>
        <v>-4.5347704259427676E-3</v>
      </c>
    </row>
    <row r="4308" spans="7:8" x14ac:dyDescent="0.3">
      <c r="G4308" s="24">
        <v>4296</v>
      </c>
      <c r="H4308">
        <f t="shared" ca="1" si="70"/>
        <v>8.8017645968474084E-2</v>
      </c>
    </row>
    <row r="4309" spans="7:8" x14ac:dyDescent="0.3">
      <c r="G4309" s="24">
        <v>4297</v>
      </c>
      <c r="H4309">
        <f t="shared" ca="1" si="70"/>
        <v>2.3741554740877866E-3</v>
      </c>
    </row>
    <row r="4310" spans="7:8" x14ac:dyDescent="0.3">
      <c r="G4310" s="24">
        <v>4298</v>
      </c>
      <c r="H4310">
        <f t="shared" ca="1" si="70"/>
        <v>3.5924985288520533E-2</v>
      </c>
    </row>
    <row r="4311" spans="7:8" x14ac:dyDescent="0.3">
      <c r="G4311" s="24">
        <v>4299</v>
      </c>
      <c r="H4311">
        <f t="shared" ca="1" si="70"/>
        <v>-1.2080633522770282E-2</v>
      </c>
    </row>
    <row r="4312" spans="7:8" x14ac:dyDescent="0.3">
      <c r="G4312" s="24">
        <v>4300</v>
      </c>
      <c r="H4312">
        <f t="shared" ca="1" si="70"/>
        <v>4.0527733031410572E-2</v>
      </c>
    </row>
    <row r="4313" spans="7:8" x14ac:dyDescent="0.3">
      <c r="G4313" s="24">
        <v>4301</v>
      </c>
      <c r="H4313">
        <f t="shared" ca="1" si="70"/>
        <v>7.0800265802515402E-2</v>
      </c>
    </row>
    <row r="4314" spans="7:8" x14ac:dyDescent="0.3">
      <c r="G4314" s="24">
        <v>4302</v>
      </c>
      <c r="H4314">
        <f t="shared" ca="1" si="70"/>
        <v>-0.1282480641961902</v>
      </c>
    </row>
    <row r="4315" spans="7:8" x14ac:dyDescent="0.3">
      <c r="G4315" s="24">
        <v>4303</v>
      </c>
      <c r="H4315">
        <f t="shared" ca="1" si="70"/>
        <v>-3.0441459799344959E-2</v>
      </c>
    </row>
    <row r="4316" spans="7:8" x14ac:dyDescent="0.3">
      <c r="G4316" s="24">
        <v>4304</v>
      </c>
      <c r="H4316">
        <f t="shared" ca="1" si="70"/>
        <v>-3.7151108419982461E-2</v>
      </c>
    </row>
    <row r="4317" spans="7:8" x14ac:dyDescent="0.3">
      <c r="G4317" s="24">
        <v>4305</v>
      </c>
      <c r="H4317">
        <f t="shared" ca="1" si="70"/>
        <v>5.9534279287289903E-2</v>
      </c>
    </row>
    <row r="4318" spans="7:8" x14ac:dyDescent="0.3">
      <c r="G4318" s="24">
        <v>4306</v>
      </c>
      <c r="H4318">
        <f t="shared" ca="1" si="70"/>
        <v>-7.4740793608860986E-3</v>
      </c>
    </row>
    <row r="4319" spans="7:8" x14ac:dyDescent="0.3">
      <c r="G4319" s="24">
        <v>4307</v>
      </c>
      <c r="H4319">
        <f t="shared" ca="1" si="70"/>
        <v>0.11088714056900131</v>
      </c>
    </row>
    <row r="4320" spans="7:8" x14ac:dyDescent="0.3">
      <c r="G4320" s="24">
        <v>4308</v>
      </c>
      <c r="H4320">
        <f t="shared" ca="1" si="70"/>
        <v>0.21456822315609816</v>
      </c>
    </row>
    <row r="4321" spans="7:8" x14ac:dyDescent="0.3">
      <c r="G4321" s="24">
        <v>4309</v>
      </c>
      <c r="H4321">
        <f t="shared" ca="1" si="70"/>
        <v>-0.11716230514764225</v>
      </c>
    </row>
    <row r="4322" spans="7:8" x14ac:dyDescent="0.3">
      <c r="G4322" s="24">
        <v>4310</v>
      </c>
      <c r="H4322">
        <f t="shared" ca="1" si="70"/>
        <v>7.0705666808829337E-2</v>
      </c>
    </row>
    <row r="4323" spans="7:8" x14ac:dyDescent="0.3">
      <c r="G4323" s="24">
        <v>4311</v>
      </c>
      <c r="H4323">
        <f t="shared" ca="1" si="70"/>
        <v>-5.3813809142472427E-2</v>
      </c>
    </row>
    <row r="4324" spans="7:8" x14ac:dyDescent="0.3">
      <c r="G4324" s="24">
        <v>4312</v>
      </c>
      <c r="H4324">
        <f t="shared" ca="1" si="70"/>
        <v>-8.7227230072101022E-2</v>
      </c>
    </row>
    <row r="4325" spans="7:8" x14ac:dyDescent="0.3">
      <c r="G4325" s="24">
        <v>4313</v>
      </c>
      <c r="H4325">
        <f t="shared" ca="1" si="70"/>
        <v>-2.756473271268511E-2</v>
      </c>
    </row>
    <row r="4326" spans="7:8" x14ac:dyDescent="0.3">
      <c r="G4326" s="24">
        <v>4314</v>
      </c>
      <c r="H4326">
        <f t="shared" ca="1" si="70"/>
        <v>5.4329759644864478E-3</v>
      </c>
    </row>
    <row r="4327" spans="7:8" x14ac:dyDescent="0.3">
      <c r="G4327" s="24">
        <v>4315</v>
      </c>
      <c r="H4327">
        <f t="shared" ca="1" si="70"/>
        <v>8.7410315274554257E-2</v>
      </c>
    </row>
    <row r="4328" spans="7:8" x14ac:dyDescent="0.3">
      <c r="G4328" s="24">
        <v>4316</v>
      </c>
      <c r="H4328">
        <f t="shared" ca="1" si="70"/>
        <v>-8.1619966484458711E-3</v>
      </c>
    </row>
    <row r="4329" spans="7:8" x14ac:dyDescent="0.3">
      <c r="G4329" s="24">
        <v>4317</v>
      </c>
      <c r="H4329">
        <f t="shared" ca="1" si="70"/>
        <v>-8.4358797667105176E-2</v>
      </c>
    </row>
    <row r="4330" spans="7:8" x14ac:dyDescent="0.3">
      <c r="G4330" s="24">
        <v>4318</v>
      </c>
      <c r="H4330">
        <f t="shared" ca="1" si="70"/>
        <v>8.4897803914901038E-2</v>
      </c>
    </row>
    <row r="4331" spans="7:8" x14ac:dyDescent="0.3">
      <c r="G4331" s="24">
        <v>4319</v>
      </c>
      <c r="H4331">
        <f t="shared" ca="1" si="70"/>
        <v>-7.9589813253778431E-3</v>
      </c>
    </row>
    <row r="4332" spans="7:8" x14ac:dyDescent="0.3">
      <c r="G4332" s="24">
        <v>4320</v>
      </c>
      <c r="H4332">
        <f t="shared" ca="1" si="70"/>
        <v>8.9253839195665874E-2</v>
      </c>
    </row>
    <row r="4333" spans="7:8" x14ac:dyDescent="0.3">
      <c r="G4333" s="24">
        <v>4321</v>
      </c>
      <c r="H4333">
        <f t="shared" ca="1" si="70"/>
        <v>6.6817254333470008E-2</v>
      </c>
    </row>
    <row r="4334" spans="7:8" x14ac:dyDescent="0.3">
      <c r="G4334" s="24">
        <v>4322</v>
      </c>
      <c r="H4334">
        <f t="shared" ca="1" si="70"/>
        <v>-8.5197412086726265E-2</v>
      </c>
    </row>
    <row r="4335" spans="7:8" x14ac:dyDescent="0.3">
      <c r="G4335" s="24">
        <v>4323</v>
      </c>
      <c r="H4335">
        <f t="shared" ca="1" si="70"/>
        <v>-1.0041363073579062E-2</v>
      </c>
    </row>
    <row r="4336" spans="7:8" x14ac:dyDescent="0.3">
      <c r="G4336" s="24">
        <v>4324</v>
      </c>
      <c r="H4336">
        <f t="shared" ca="1" si="70"/>
        <v>1.3915162933822525E-2</v>
      </c>
    </row>
    <row r="4337" spans="7:8" x14ac:dyDescent="0.3">
      <c r="G4337" s="24">
        <v>4325</v>
      </c>
      <c r="H4337">
        <f t="shared" ca="1" si="70"/>
        <v>7.420870629328985E-2</v>
      </c>
    </row>
    <row r="4338" spans="7:8" x14ac:dyDescent="0.3">
      <c r="G4338" s="24">
        <v>4326</v>
      </c>
      <c r="H4338">
        <f t="shared" ca="1" si="70"/>
        <v>4.8388898087188763E-2</v>
      </c>
    </row>
    <row r="4339" spans="7:8" x14ac:dyDescent="0.3">
      <c r="G4339" s="24">
        <v>4327</v>
      </c>
      <c r="H4339">
        <f t="shared" ca="1" si="70"/>
        <v>-0.12719850101565799</v>
      </c>
    </row>
    <row r="4340" spans="7:8" x14ac:dyDescent="0.3">
      <c r="G4340" s="24">
        <v>4328</v>
      </c>
      <c r="H4340">
        <f t="shared" ca="1" si="70"/>
        <v>2.4206083109798895E-2</v>
      </c>
    </row>
    <row r="4341" spans="7:8" x14ac:dyDescent="0.3">
      <c r="G4341" s="24">
        <v>4329</v>
      </c>
      <c r="H4341">
        <f t="shared" ca="1" si="70"/>
        <v>-7.262177022952257E-2</v>
      </c>
    </row>
    <row r="4342" spans="7:8" x14ac:dyDescent="0.3">
      <c r="G4342" s="24">
        <v>4330</v>
      </c>
      <c r="H4342">
        <f t="shared" ca="1" si="70"/>
        <v>5.9170857896000406E-3</v>
      </c>
    </row>
    <row r="4343" spans="7:8" x14ac:dyDescent="0.3">
      <c r="G4343" s="24">
        <v>4331</v>
      </c>
      <c r="H4343">
        <f t="shared" ca="1" si="70"/>
        <v>-6.0970667305078184E-2</v>
      </c>
    </row>
    <row r="4344" spans="7:8" x14ac:dyDescent="0.3">
      <c r="G4344" s="24">
        <v>4332</v>
      </c>
      <c r="H4344">
        <f t="shared" ca="1" si="70"/>
        <v>-4.5354676738654301E-2</v>
      </c>
    </row>
    <row r="4345" spans="7:8" x14ac:dyDescent="0.3">
      <c r="G4345" s="24">
        <v>4333</v>
      </c>
      <c r="H4345">
        <f t="shared" ca="1" si="70"/>
        <v>-7.9648143615270606E-3</v>
      </c>
    </row>
    <row r="4346" spans="7:8" x14ac:dyDescent="0.3">
      <c r="G4346" s="24">
        <v>4334</v>
      </c>
      <c r="H4346">
        <f t="shared" ca="1" si="70"/>
        <v>-7.3176348020786416E-2</v>
      </c>
    </row>
    <row r="4347" spans="7:8" x14ac:dyDescent="0.3">
      <c r="G4347" s="24">
        <v>4335</v>
      </c>
      <c r="H4347">
        <f t="shared" ca="1" si="70"/>
        <v>2.0646965066970672E-2</v>
      </c>
    </row>
    <row r="4348" spans="7:8" x14ac:dyDescent="0.3">
      <c r="G4348" s="24">
        <v>4336</v>
      </c>
      <c r="H4348">
        <f t="shared" ca="1" si="70"/>
        <v>9.0232208261673191E-2</v>
      </c>
    </row>
    <row r="4349" spans="7:8" x14ac:dyDescent="0.3">
      <c r="G4349" s="24">
        <v>4337</v>
      </c>
      <c r="H4349">
        <f t="shared" ca="1" si="70"/>
        <v>-2.6059693241454702E-2</v>
      </c>
    </row>
    <row r="4350" spans="7:8" x14ac:dyDescent="0.3">
      <c r="G4350" s="24">
        <v>4338</v>
      </c>
      <c r="H4350">
        <f t="shared" ca="1" si="70"/>
        <v>4.0547208708407806E-2</v>
      </c>
    </row>
    <row r="4351" spans="7:8" x14ac:dyDescent="0.3">
      <c r="G4351" s="24">
        <v>4339</v>
      </c>
      <c r="H4351">
        <f t="shared" ca="1" si="70"/>
        <v>4.5182991100285452E-2</v>
      </c>
    </row>
    <row r="4352" spans="7:8" x14ac:dyDescent="0.3">
      <c r="G4352" s="24">
        <v>4340</v>
      </c>
      <c r="H4352">
        <f t="shared" ca="1" si="70"/>
        <v>5.3177073820301256E-2</v>
      </c>
    </row>
    <row r="4353" spans="7:8" x14ac:dyDescent="0.3">
      <c r="G4353" s="24">
        <v>4341</v>
      </c>
      <c r="H4353">
        <f t="shared" ca="1" si="70"/>
        <v>2.0326274531310039E-2</v>
      </c>
    </row>
    <row r="4354" spans="7:8" x14ac:dyDescent="0.3">
      <c r="G4354" s="24">
        <v>4342</v>
      </c>
      <c r="H4354">
        <f t="shared" ca="1" si="70"/>
        <v>-0.14102072515701738</v>
      </c>
    </row>
    <row r="4355" spans="7:8" x14ac:dyDescent="0.3">
      <c r="G4355" s="24">
        <v>4343</v>
      </c>
      <c r="H4355">
        <f t="shared" ca="1" si="70"/>
        <v>7.9627180068280498E-2</v>
      </c>
    </row>
    <row r="4356" spans="7:8" x14ac:dyDescent="0.3">
      <c r="G4356" s="24">
        <v>4344</v>
      </c>
      <c r="H4356">
        <f t="shared" ca="1" si="70"/>
        <v>-9.8074725302918025E-2</v>
      </c>
    </row>
    <row r="4357" spans="7:8" x14ac:dyDescent="0.3">
      <c r="G4357" s="24">
        <v>4345</v>
      </c>
      <c r="H4357">
        <f t="shared" ca="1" si="70"/>
        <v>-2.3083741257972867E-2</v>
      </c>
    </row>
    <row r="4358" spans="7:8" x14ac:dyDescent="0.3">
      <c r="G4358" s="24">
        <v>4346</v>
      </c>
      <c r="H4358">
        <f t="shared" ca="1" si="70"/>
        <v>7.454810665586567E-2</v>
      </c>
    </row>
    <row r="4359" spans="7:8" x14ac:dyDescent="0.3">
      <c r="G4359" s="24">
        <v>4347</v>
      </c>
      <c r="H4359">
        <f t="shared" ca="1" si="70"/>
        <v>7.2450559017045758E-3</v>
      </c>
    </row>
    <row r="4360" spans="7:8" x14ac:dyDescent="0.3">
      <c r="G4360" s="24">
        <v>4348</v>
      </c>
      <c r="H4360">
        <f t="shared" ca="1" si="70"/>
        <v>4.4971059042784811E-2</v>
      </c>
    </row>
    <row r="4361" spans="7:8" x14ac:dyDescent="0.3">
      <c r="G4361" s="24">
        <v>4349</v>
      </c>
      <c r="H4361">
        <f t="shared" ca="1" si="70"/>
        <v>-3.2894420329008078E-2</v>
      </c>
    </row>
    <row r="4362" spans="7:8" x14ac:dyDescent="0.3">
      <c r="G4362" s="24">
        <v>4350</v>
      </c>
      <c r="H4362">
        <f t="shared" ca="1" si="70"/>
        <v>5.852507865133897E-2</v>
      </c>
    </row>
    <row r="4363" spans="7:8" x14ac:dyDescent="0.3">
      <c r="G4363" s="24">
        <v>4351</v>
      </c>
      <c r="H4363">
        <f t="shared" ca="1" si="70"/>
        <v>3.0683483609825136E-2</v>
      </c>
    </row>
    <row r="4364" spans="7:8" x14ac:dyDescent="0.3">
      <c r="G4364" s="24">
        <v>4352</v>
      </c>
      <c r="H4364">
        <f t="shared" ca="1" si="70"/>
        <v>7.8902688404602156E-2</v>
      </c>
    </row>
    <row r="4365" spans="7:8" x14ac:dyDescent="0.3">
      <c r="G4365" s="24">
        <v>4353</v>
      </c>
      <c r="H4365">
        <f t="shared" ca="1" si="70"/>
        <v>-9.3344368346243101E-2</v>
      </c>
    </row>
    <row r="4366" spans="7:8" x14ac:dyDescent="0.3">
      <c r="G4366" s="24">
        <v>4354</v>
      </c>
      <c r="H4366">
        <f t="shared" ref="H4366:H4429" ca="1" si="71">_xlfn.NORM.INV(RAND(),N$13,N$14)</f>
        <v>-9.9891947534107059E-2</v>
      </c>
    </row>
    <row r="4367" spans="7:8" x14ac:dyDescent="0.3">
      <c r="G4367" s="24">
        <v>4355</v>
      </c>
      <c r="H4367">
        <f t="shared" ca="1" si="71"/>
        <v>5.4852521171811865E-2</v>
      </c>
    </row>
    <row r="4368" spans="7:8" x14ac:dyDescent="0.3">
      <c r="G4368" s="24">
        <v>4356</v>
      </c>
      <c r="H4368">
        <f t="shared" ca="1" si="71"/>
        <v>-0.11843786162226923</v>
      </c>
    </row>
    <row r="4369" spans="7:8" x14ac:dyDescent="0.3">
      <c r="G4369" s="24">
        <v>4357</v>
      </c>
      <c r="H4369">
        <f t="shared" ca="1" si="71"/>
        <v>0.10339687292263171</v>
      </c>
    </row>
    <row r="4370" spans="7:8" x14ac:dyDescent="0.3">
      <c r="G4370" s="24">
        <v>4358</v>
      </c>
      <c r="H4370">
        <f t="shared" ca="1" si="71"/>
        <v>8.518853167338078E-2</v>
      </c>
    </row>
    <row r="4371" spans="7:8" x14ac:dyDescent="0.3">
      <c r="G4371" s="24">
        <v>4359</v>
      </c>
      <c r="H4371">
        <f t="shared" ca="1" si="71"/>
        <v>-3.6609465664968672E-3</v>
      </c>
    </row>
    <row r="4372" spans="7:8" x14ac:dyDescent="0.3">
      <c r="G4372" s="24">
        <v>4360</v>
      </c>
      <c r="H4372">
        <f t="shared" ca="1" si="71"/>
        <v>4.6817239870221031E-2</v>
      </c>
    </row>
    <row r="4373" spans="7:8" x14ac:dyDescent="0.3">
      <c r="G4373" s="24">
        <v>4361</v>
      </c>
      <c r="H4373">
        <f t="shared" ca="1" si="71"/>
        <v>5.422166362388537E-2</v>
      </c>
    </row>
    <row r="4374" spans="7:8" x14ac:dyDescent="0.3">
      <c r="G4374" s="24">
        <v>4362</v>
      </c>
      <c r="H4374">
        <f t="shared" ca="1" si="71"/>
        <v>-2.785387691241557E-2</v>
      </c>
    </row>
    <row r="4375" spans="7:8" x14ac:dyDescent="0.3">
      <c r="G4375" s="24">
        <v>4363</v>
      </c>
      <c r="H4375">
        <f t="shared" ca="1" si="71"/>
        <v>-1.9398350531185899E-2</v>
      </c>
    </row>
    <row r="4376" spans="7:8" x14ac:dyDescent="0.3">
      <c r="G4376" s="24">
        <v>4364</v>
      </c>
      <c r="H4376">
        <f t="shared" ca="1" si="71"/>
        <v>-8.9867887746064709E-4</v>
      </c>
    </row>
    <row r="4377" spans="7:8" x14ac:dyDescent="0.3">
      <c r="G4377" s="24">
        <v>4365</v>
      </c>
      <c r="H4377">
        <f t="shared" ca="1" si="71"/>
        <v>-8.1016578503730619E-3</v>
      </c>
    </row>
    <row r="4378" spans="7:8" x14ac:dyDescent="0.3">
      <c r="G4378" s="24">
        <v>4366</v>
      </c>
      <c r="H4378">
        <f t="shared" ca="1" si="71"/>
        <v>-8.2640868620013505E-2</v>
      </c>
    </row>
    <row r="4379" spans="7:8" x14ac:dyDescent="0.3">
      <c r="G4379" s="24">
        <v>4367</v>
      </c>
      <c r="H4379">
        <f t="shared" ca="1" si="71"/>
        <v>6.9016726147239776E-2</v>
      </c>
    </row>
    <row r="4380" spans="7:8" x14ac:dyDescent="0.3">
      <c r="G4380" s="24">
        <v>4368</v>
      </c>
      <c r="H4380">
        <f t="shared" ca="1" si="71"/>
        <v>-4.1731770018191817E-2</v>
      </c>
    </row>
    <row r="4381" spans="7:8" x14ac:dyDescent="0.3">
      <c r="G4381" s="24">
        <v>4369</v>
      </c>
      <c r="H4381">
        <f t="shared" ca="1" si="71"/>
        <v>-2.1592243295283156E-2</v>
      </c>
    </row>
    <row r="4382" spans="7:8" x14ac:dyDescent="0.3">
      <c r="G4382" s="24">
        <v>4370</v>
      </c>
      <c r="H4382">
        <f t="shared" ca="1" si="71"/>
        <v>6.1725135228338834E-2</v>
      </c>
    </row>
    <row r="4383" spans="7:8" x14ac:dyDescent="0.3">
      <c r="G4383" s="24">
        <v>4371</v>
      </c>
      <c r="H4383">
        <f t="shared" ca="1" si="71"/>
        <v>7.5363416301287539E-2</v>
      </c>
    </row>
    <row r="4384" spans="7:8" x14ac:dyDescent="0.3">
      <c r="G4384" s="24">
        <v>4372</v>
      </c>
      <c r="H4384">
        <f t="shared" ca="1" si="71"/>
        <v>0.11240932703828563</v>
      </c>
    </row>
    <row r="4385" spans="7:8" x14ac:dyDescent="0.3">
      <c r="G4385" s="24">
        <v>4373</v>
      </c>
      <c r="H4385">
        <f t="shared" ca="1" si="71"/>
        <v>3.8475655538129705E-2</v>
      </c>
    </row>
    <row r="4386" spans="7:8" x14ac:dyDescent="0.3">
      <c r="G4386" s="24">
        <v>4374</v>
      </c>
      <c r="H4386">
        <f t="shared" ca="1" si="71"/>
        <v>6.8485439534471698E-2</v>
      </c>
    </row>
    <row r="4387" spans="7:8" x14ac:dyDescent="0.3">
      <c r="G4387" s="24">
        <v>4375</v>
      </c>
      <c r="H4387">
        <f t="shared" ca="1" si="71"/>
        <v>9.0247345963201692E-2</v>
      </c>
    </row>
    <row r="4388" spans="7:8" x14ac:dyDescent="0.3">
      <c r="G4388" s="24">
        <v>4376</v>
      </c>
      <c r="H4388">
        <f t="shared" ca="1" si="71"/>
        <v>-1.4661044883915304E-2</v>
      </c>
    </row>
    <row r="4389" spans="7:8" x14ac:dyDescent="0.3">
      <c r="G4389" s="24">
        <v>4377</v>
      </c>
      <c r="H4389">
        <f t="shared" ca="1" si="71"/>
        <v>-9.3685976578469499E-2</v>
      </c>
    </row>
    <row r="4390" spans="7:8" x14ac:dyDescent="0.3">
      <c r="G4390" s="24">
        <v>4378</v>
      </c>
      <c r="H4390">
        <f t="shared" ca="1" si="71"/>
        <v>-1.9693346831054778E-2</v>
      </c>
    </row>
    <row r="4391" spans="7:8" x14ac:dyDescent="0.3">
      <c r="G4391" s="24">
        <v>4379</v>
      </c>
      <c r="H4391">
        <f t="shared" ca="1" si="71"/>
        <v>0.17578340842248424</v>
      </c>
    </row>
    <row r="4392" spans="7:8" x14ac:dyDescent="0.3">
      <c r="G4392" s="24">
        <v>4380</v>
      </c>
      <c r="H4392">
        <f t="shared" ca="1" si="71"/>
        <v>0.20359672845607102</v>
      </c>
    </row>
    <row r="4393" spans="7:8" x14ac:dyDescent="0.3">
      <c r="G4393" s="24">
        <v>4381</v>
      </c>
      <c r="H4393">
        <f t="shared" ca="1" si="71"/>
        <v>1.7595842354530301E-2</v>
      </c>
    </row>
    <row r="4394" spans="7:8" x14ac:dyDescent="0.3">
      <c r="G4394" s="24">
        <v>4382</v>
      </c>
      <c r="H4394">
        <f t="shared" ca="1" si="71"/>
        <v>1.4925256503508988E-2</v>
      </c>
    </row>
    <row r="4395" spans="7:8" x14ac:dyDescent="0.3">
      <c r="G4395" s="24">
        <v>4383</v>
      </c>
      <c r="H4395">
        <f t="shared" ca="1" si="71"/>
        <v>-9.9266054378467444E-2</v>
      </c>
    </row>
    <row r="4396" spans="7:8" x14ac:dyDescent="0.3">
      <c r="G4396" s="24">
        <v>4384</v>
      </c>
      <c r="H4396">
        <f t="shared" ca="1" si="71"/>
        <v>2.0160476185131698E-2</v>
      </c>
    </row>
    <row r="4397" spans="7:8" x14ac:dyDescent="0.3">
      <c r="G4397" s="24">
        <v>4385</v>
      </c>
      <c r="H4397">
        <f t="shared" ca="1" si="71"/>
        <v>4.8758550244789464E-2</v>
      </c>
    </row>
    <row r="4398" spans="7:8" x14ac:dyDescent="0.3">
      <c r="G4398" s="24">
        <v>4386</v>
      </c>
      <c r="H4398">
        <f t="shared" ca="1" si="71"/>
        <v>9.9813751853924659E-2</v>
      </c>
    </row>
    <row r="4399" spans="7:8" x14ac:dyDescent="0.3">
      <c r="G4399" s="24">
        <v>4387</v>
      </c>
      <c r="H4399">
        <f t="shared" ca="1" si="71"/>
        <v>-5.5146760243989054E-2</v>
      </c>
    </row>
    <row r="4400" spans="7:8" x14ac:dyDescent="0.3">
      <c r="G4400" s="24">
        <v>4388</v>
      </c>
      <c r="H4400">
        <f t="shared" ca="1" si="71"/>
        <v>4.2630229866506511E-2</v>
      </c>
    </row>
    <row r="4401" spans="7:8" x14ac:dyDescent="0.3">
      <c r="G4401" s="24">
        <v>4389</v>
      </c>
      <c r="H4401">
        <f t="shared" ca="1" si="71"/>
        <v>4.8560535971455827E-2</v>
      </c>
    </row>
    <row r="4402" spans="7:8" x14ac:dyDescent="0.3">
      <c r="G4402" s="24">
        <v>4390</v>
      </c>
      <c r="H4402">
        <f t="shared" ca="1" si="71"/>
        <v>-6.5498617281973343E-2</v>
      </c>
    </row>
    <row r="4403" spans="7:8" x14ac:dyDescent="0.3">
      <c r="G4403" s="24">
        <v>4391</v>
      </c>
      <c r="H4403">
        <f t="shared" ca="1" si="71"/>
        <v>1.6763905387805356E-2</v>
      </c>
    </row>
    <row r="4404" spans="7:8" x14ac:dyDescent="0.3">
      <c r="G4404" s="24">
        <v>4392</v>
      </c>
      <c r="H4404">
        <f t="shared" ca="1" si="71"/>
        <v>-9.2328875588242279E-2</v>
      </c>
    </row>
    <row r="4405" spans="7:8" x14ac:dyDescent="0.3">
      <c r="G4405" s="24">
        <v>4393</v>
      </c>
      <c r="H4405">
        <f t="shared" ca="1" si="71"/>
        <v>-5.3158559868565457E-3</v>
      </c>
    </row>
    <row r="4406" spans="7:8" x14ac:dyDescent="0.3">
      <c r="G4406" s="24">
        <v>4394</v>
      </c>
      <c r="H4406">
        <f t="shared" ca="1" si="71"/>
        <v>0.10007852475815013</v>
      </c>
    </row>
    <row r="4407" spans="7:8" x14ac:dyDescent="0.3">
      <c r="G4407" s="24">
        <v>4395</v>
      </c>
      <c r="H4407">
        <f t="shared" ca="1" si="71"/>
        <v>5.8979990071627075E-2</v>
      </c>
    </row>
    <row r="4408" spans="7:8" x14ac:dyDescent="0.3">
      <c r="G4408" s="24">
        <v>4396</v>
      </c>
      <c r="H4408">
        <f t="shared" ca="1" si="71"/>
        <v>-0.12048629361021823</v>
      </c>
    </row>
    <row r="4409" spans="7:8" x14ac:dyDescent="0.3">
      <c r="G4409" s="24">
        <v>4397</v>
      </c>
      <c r="H4409">
        <f t="shared" ca="1" si="71"/>
        <v>7.2939074037734683E-2</v>
      </c>
    </row>
    <row r="4410" spans="7:8" x14ac:dyDescent="0.3">
      <c r="G4410" s="24">
        <v>4398</v>
      </c>
      <c r="H4410">
        <f t="shared" ca="1" si="71"/>
        <v>0.10397536382792938</v>
      </c>
    </row>
    <row r="4411" spans="7:8" x14ac:dyDescent="0.3">
      <c r="G4411" s="24">
        <v>4399</v>
      </c>
      <c r="H4411">
        <f t="shared" ca="1" si="71"/>
        <v>6.8373733914103882E-2</v>
      </c>
    </row>
    <row r="4412" spans="7:8" x14ac:dyDescent="0.3">
      <c r="G4412" s="24">
        <v>4400</v>
      </c>
      <c r="H4412">
        <f t="shared" ca="1" si="71"/>
        <v>3.3344753297011118E-3</v>
      </c>
    </row>
    <row r="4413" spans="7:8" x14ac:dyDescent="0.3">
      <c r="G4413" s="24">
        <v>4401</v>
      </c>
      <c r="H4413">
        <f t="shared" ca="1" si="71"/>
        <v>5.3254071375400003E-2</v>
      </c>
    </row>
    <row r="4414" spans="7:8" x14ac:dyDescent="0.3">
      <c r="G4414" s="24">
        <v>4402</v>
      </c>
      <c r="H4414">
        <f t="shared" ca="1" si="71"/>
        <v>-2.1033343085717089E-2</v>
      </c>
    </row>
    <row r="4415" spans="7:8" x14ac:dyDescent="0.3">
      <c r="G4415" s="24">
        <v>4403</v>
      </c>
      <c r="H4415">
        <f t="shared" ca="1" si="71"/>
        <v>-2.5221483608090272E-2</v>
      </c>
    </row>
    <row r="4416" spans="7:8" x14ac:dyDescent="0.3">
      <c r="G4416" s="24">
        <v>4404</v>
      </c>
      <c r="H4416">
        <f t="shared" ca="1" si="71"/>
        <v>3.8258603851478556E-2</v>
      </c>
    </row>
    <row r="4417" spans="7:8" x14ac:dyDescent="0.3">
      <c r="G4417" s="24">
        <v>4405</v>
      </c>
      <c r="H4417">
        <f t="shared" ca="1" si="71"/>
        <v>-4.4017733769510389E-2</v>
      </c>
    </row>
    <row r="4418" spans="7:8" x14ac:dyDescent="0.3">
      <c r="G4418" s="24">
        <v>4406</v>
      </c>
      <c r="H4418">
        <f t="shared" ca="1" si="71"/>
        <v>-6.5289121017842441E-2</v>
      </c>
    </row>
    <row r="4419" spans="7:8" x14ac:dyDescent="0.3">
      <c r="G4419" s="24">
        <v>4407</v>
      </c>
      <c r="H4419">
        <f t="shared" ca="1" si="71"/>
        <v>0.12216580847881507</v>
      </c>
    </row>
    <row r="4420" spans="7:8" x14ac:dyDescent="0.3">
      <c r="G4420" s="24">
        <v>4408</v>
      </c>
      <c r="H4420">
        <f t="shared" ca="1" si="71"/>
        <v>-3.3646598499385567E-2</v>
      </c>
    </row>
    <row r="4421" spans="7:8" x14ac:dyDescent="0.3">
      <c r="G4421" s="24">
        <v>4409</v>
      </c>
      <c r="H4421">
        <f t="shared" ca="1" si="71"/>
        <v>-0.17893952361885648</v>
      </c>
    </row>
    <row r="4422" spans="7:8" x14ac:dyDescent="0.3">
      <c r="G4422" s="24">
        <v>4410</v>
      </c>
      <c r="H4422">
        <f t="shared" ca="1" si="71"/>
        <v>-0.10212642779900258</v>
      </c>
    </row>
    <row r="4423" spans="7:8" x14ac:dyDescent="0.3">
      <c r="G4423" s="24">
        <v>4411</v>
      </c>
      <c r="H4423">
        <f t="shared" ca="1" si="71"/>
        <v>3.3137853038655872E-2</v>
      </c>
    </row>
    <row r="4424" spans="7:8" x14ac:dyDescent="0.3">
      <c r="G4424" s="24">
        <v>4412</v>
      </c>
      <c r="H4424">
        <f t="shared" ca="1" si="71"/>
        <v>4.0476840264653299E-2</v>
      </c>
    </row>
    <row r="4425" spans="7:8" x14ac:dyDescent="0.3">
      <c r="G4425" s="24">
        <v>4413</v>
      </c>
      <c r="H4425">
        <f t="shared" ca="1" si="71"/>
        <v>-8.6333756118301047E-2</v>
      </c>
    </row>
    <row r="4426" spans="7:8" x14ac:dyDescent="0.3">
      <c r="G4426" s="24">
        <v>4414</v>
      </c>
      <c r="H4426">
        <f t="shared" ca="1" si="71"/>
        <v>-3.3485892410181087E-2</v>
      </c>
    </row>
    <row r="4427" spans="7:8" x14ac:dyDescent="0.3">
      <c r="G4427" s="24">
        <v>4415</v>
      </c>
      <c r="H4427">
        <f t="shared" ca="1" si="71"/>
        <v>4.2876269271912681E-2</v>
      </c>
    </row>
    <row r="4428" spans="7:8" x14ac:dyDescent="0.3">
      <c r="G4428" s="24">
        <v>4416</v>
      </c>
      <c r="H4428">
        <f t="shared" ca="1" si="71"/>
        <v>1.0303950713787442E-2</v>
      </c>
    </row>
    <row r="4429" spans="7:8" x14ac:dyDescent="0.3">
      <c r="G4429" s="24">
        <v>4417</v>
      </c>
      <c r="H4429">
        <f t="shared" ca="1" si="71"/>
        <v>1.9960980011612332E-2</v>
      </c>
    </row>
    <row r="4430" spans="7:8" x14ac:dyDescent="0.3">
      <c r="G4430" s="24">
        <v>4418</v>
      </c>
      <c r="H4430">
        <f t="shared" ref="H4430:H4493" ca="1" si="72">_xlfn.NORM.INV(RAND(),N$13,N$14)</f>
        <v>-4.3036195760260444E-2</v>
      </c>
    </row>
    <row r="4431" spans="7:8" x14ac:dyDescent="0.3">
      <c r="G4431" s="24">
        <v>4419</v>
      </c>
      <c r="H4431">
        <f t="shared" ca="1" si="72"/>
        <v>-8.2906020958678286E-2</v>
      </c>
    </row>
    <row r="4432" spans="7:8" x14ac:dyDescent="0.3">
      <c r="G4432" s="24">
        <v>4420</v>
      </c>
      <c r="H4432">
        <f t="shared" ca="1" si="72"/>
        <v>-2.7050129469317289E-2</v>
      </c>
    </row>
    <row r="4433" spans="7:8" x14ac:dyDescent="0.3">
      <c r="G4433" s="24">
        <v>4421</v>
      </c>
      <c r="H4433">
        <f t="shared" ca="1" si="72"/>
        <v>-1.9892255419102261E-2</v>
      </c>
    </row>
    <row r="4434" spans="7:8" x14ac:dyDescent="0.3">
      <c r="G4434" s="24">
        <v>4422</v>
      </c>
      <c r="H4434">
        <f t="shared" ca="1" si="72"/>
        <v>7.1948281707233164E-2</v>
      </c>
    </row>
    <row r="4435" spans="7:8" x14ac:dyDescent="0.3">
      <c r="G4435" s="24">
        <v>4423</v>
      </c>
      <c r="H4435">
        <f t="shared" ca="1" si="72"/>
        <v>-1.1185348187030203E-3</v>
      </c>
    </row>
    <row r="4436" spans="7:8" x14ac:dyDescent="0.3">
      <c r="G4436" s="24">
        <v>4424</v>
      </c>
      <c r="H4436">
        <f t="shared" ca="1" si="72"/>
        <v>-0.1065219211582653</v>
      </c>
    </row>
    <row r="4437" spans="7:8" x14ac:dyDescent="0.3">
      <c r="G4437" s="24">
        <v>4425</v>
      </c>
      <c r="H4437">
        <f t="shared" ca="1" si="72"/>
        <v>-1.4242139097464888E-2</v>
      </c>
    </row>
    <row r="4438" spans="7:8" x14ac:dyDescent="0.3">
      <c r="G4438" s="24">
        <v>4426</v>
      </c>
      <c r="H4438">
        <f t="shared" ca="1" si="72"/>
        <v>5.4812876782223637E-2</v>
      </c>
    </row>
    <row r="4439" spans="7:8" x14ac:dyDescent="0.3">
      <c r="G4439" s="24">
        <v>4427</v>
      </c>
      <c r="H4439">
        <f t="shared" ca="1" si="72"/>
        <v>-4.693765317606112E-2</v>
      </c>
    </row>
    <row r="4440" spans="7:8" x14ac:dyDescent="0.3">
      <c r="G4440" s="24">
        <v>4428</v>
      </c>
      <c r="H4440">
        <f t="shared" ca="1" si="72"/>
        <v>2.1328615593687782E-2</v>
      </c>
    </row>
    <row r="4441" spans="7:8" x14ac:dyDescent="0.3">
      <c r="G4441" s="24">
        <v>4429</v>
      </c>
      <c r="H4441">
        <f t="shared" ca="1" si="72"/>
        <v>-5.0188824739256961E-2</v>
      </c>
    </row>
    <row r="4442" spans="7:8" x14ac:dyDescent="0.3">
      <c r="G4442" s="24">
        <v>4430</v>
      </c>
      <c r="H4442">
        <f t="shared" ca="1" si="72"/>
        <v>7.0616830520356555E-2</v>
      </c>
    </row>
    <row r="4443" spans="7:8" x14ac:dyDescent="0.3">
      <c r="G4443" s="24">
        <v>4431</v>
      </c>
      <c r="H4443">
        <f t="shared" ca="1" si="72"/>
        <v>-0.14479728785689497</v>
      </c>
    </row>
    <row r="4444" spans="7:8" x14ac:dyDescent="0.3">
      <c r="G4444" s="24">
        <v>4432</v>
      </c>
      <c r="H4444">
        <f t="shared" ca="1" si="72"/>
        <v>-8.3073017224532184E-3</v>
      </c>
    </row>
    <row r="4445" spans="7:8" x14ac:dyDescent="0.3">
      <c r="G4445" s="24">
        <v>4433</v>
      </c>
      <c r="H4445">
        <f t="shared" ca="1" si="72"/>
        <v>0.12822162870016593</v>
      </c>
    </row>
    <row r="4446" spans="7:8" x14ac:dyDescent="0.3">
      <c r="G4446" s="24">
        <v>4434</v>
      </c>
      <c r="H4446">
        <f t="shared" ca="1" si="72"/>
        <v>-3.6010907596609854E-2</v>
      </c>
    </row>
    <row r="4447" spans="7:8" x14ac:dyDescent="0.3">
      <c r="G4447" s="24">
        <v>4435</v>
      </c>
      <c r="H4447">
        <f t="shared" ca="1" si="72"/>
        <v>5.6918998760204745E-2</v>
      </c>
    </row>
    <row r="4448" spans="7:8" x14ac:dyDescent="0.3">
      <c r="G4448" s="24">
        <v>4436</v>
      </c>
      <c r="H4448">
        <f t="shared" ca="1" si="72"/>
        <v>5.7199459640468894E-2</v>
      </c>
    </row>
    <row r="4449" spans="7:8" x14ac:dyDescent="0.3">
      <c r="G4449" s="24">
        <v>4437</v>
      </c>
      <c r="H4449">
        <f t="shared" ca="1" si="72"/>
        <v>-9.1965491039602623E-2</v>
      </c>
    </row>
    <row r="4450" spans="7:8" x14ac:dyDescent="0.3">
      <c r="G4450" s="24">
        <v>4438</v>
      </c>
      <c r="H4450">
        <f t="shared" ca="1" si="72"/>
        <v>-2.4985137273169266E-2</v>
      </c>
    </row>
    <row r="4451" spans="7:8" x14ac:dyDescent="0.3">
      <c r="G4451" s="24">
        <v>4439</v>
      </c>
      <c r="H4451">
        <f t="shared" ca="1" si="72"/>
        <v>-1.5083553866834194E-2</v>
      </c>
    </row>
    <row r="4452" spans="7:8" x14ac:dyDescent="0.3">
      <c r="G4452" s="24">
        <v>4440</v>
      </c>
      <c r="H4452">
        <f t="shared" ca="1" si="72"/>
        <v>3.7234078468853592E-2</v>
      </c>
    </row>
    <row r="4453" spans="7:8" x14ac:dyDescent="0.3">
      <c r="G4453" s="24">
        <v>4441</v>
      </c>
      <c r="H4453">
        <f t="shared" ca="1" si="72"/>
        <v>-2.5838701788363214E-2</v>
      </c>
    </row>
    <row r="4454" spans="7:8" x14ac:dyDescent="0.3">
      <c r="G4454" s="24">
        <v>4442</v>
      </c>
      <c r="H4454">
        <f t="shared" ca="1" si="72"/>
        <v>-2.3751875013743637E-2</v>
      </c>
    </row>
    <row r="4455" spans="7:8" x14ac:dyDescent="0.3">
      <c r="G4455" s="24">
        <v>4443</v>
      </c>
      <c r="H4455">
        <f t="shared" ca="1" si="72"/>
        <v>5.1595652824044984E-2</v>
      </c>
    </row>
    <row r="4456" spans="7:8" x14ac:dyDescent="0.3">
      <c r="G4456" s="24">
        <v>4444</v>
      </c>
      <c r="H4456">
        <f t="shared" ca="1" si="72"/>
        <v>-0.10085030715489639</v>
      </c>
    </row>
    <row r="4457" spans="7:8" x14ac:dyDescent="0.3">
      <c r="G4457" s="24">
        <v>4445</v>
      </c>
      <c r="H4457">
        <f t="shared" ca="1" si="72"/>
        <v>-1.5426552033383882E-2</v>
      </c>
    </row>
    <row r="4458" spans="7:8" x14ac:dyDescent="0.3">
      <c r="G4458" s="24">
        <v>4446</v>
      </c>
      <c r="H4458">
        <f t="shared" ca="1" si="72"/>
        <v>-3.1519990366284695E-2</v>
      </c>
    </row>
    <row r="4459" spans="7:8" x14ac:dyDescent="0.3">
      <c r="G4459" s="24">
        <v>4447</v>
      </c>
      <c r="H4459">
        <f t="shared" ca="1" si="72"/>
        <v>7.0993733881440563E-2</v>
      </c>
    </row>
    <row r="4460" spans="7:8" x14ac:dyDescent="0.3">
      <c r="G4460" s="24">
        <v>4448</v>
      </c>
      <c r="H4460">
        <f t="shared" ca="1" si="72"/>
        <v>9.6452709079493618E-2</v>
      </c>
    </row>
    <row r="4461" spans="7:8" x14ac:dyDescent="0.3">
      <c r="G4461" s="24">
        <v>4449</v>
      </c>
      <c r="H4461">
        <f t="shared" ca="1" si="72"/>
        <v>4.4665925488855699E-3</v>
      </c>
    </row>
    <row r="4462" spans="7:8" x14ac:dyDescent="0.3">
      <c r="G4462" s="24">
        <v>4450</v>
      </c>
      <c r="H4462">
        <f t="shared" ca="1" si="72"/>
        <v>-5.068805165536143E-2</v>
      </c>
    </row>
    <row r="4463" spans="7:8" x14ac:dyDescent="0.3">
      <c r="G4463" s="24">
        <v>4451</v>
      </c>
      <c r="H4463">
        <f t="shared" ca="1" si="72"/>
        <v>-2.1856163870920899E-2</v>
      </c>
    </row>
    <row r="4464" spans="7:8" x14ac:dyDescent="0.3">
      <c r="G4464" s="24">
        <v>4452</v>
      </c>
      <c r="H4464">
        <f t="shared" ca="1" si="72"/>
        <v>0.11273395680882488</v>
      </c>
    </row>
    <row r="4465" spans="7:8" x14ac:dyDescent="0.3">
      <c r="G4465" s="24">
        <v>4453</v>
      </c>
      <c r="H4465">
        <f t="shared" ca="1" si="72"/>
        <v>-7.9795149817663308E-2</v>
      </c>
    </row>
    <row r="4466" spans="7:8" x14ac:dyDescent="0.3">
      <c r="G4466" s="24">
        <v>4454</v>
      </c>
      <c r="H4466">
        <f t="shared" ca="1" si="72"/>
        <v>-4.4029530193884621E-2</v>
      </c>
    </row>
    <row r="4467" spans="7:8" x14ac:dyDescent="0.3">
      <c r="G4467" s="24">
        <v>4455</v>
      </c>
      <c r="H4467">
        <f t="shared" ca="1" si="72"/>
        <v>-2.824559831182704E-2</v>
      </c>
    </row>
    <row r="4468" spans="7:8" x14ac:dyDescent="0.3">
      <c r="G4468" s="24">
        <v>4456</v>
      </c>
      <c r="H4468">
        <f t="shared" ca="1" si="72"/>
        <v>-5.8144907836944537E-2</v>
      </c>
    </row>
    <row r="4469" spans="7:8" x14ac:dyDescent="0.3">
      <c r="G4469" s="24">
        <v>4457</v>
      </c>
      <c r="H4469">
        <f t="shared" ca="1" si="72"/>
        <v>-2.5550611094340696E-2</v>
      </c>
    </row>
    <row r="4470" spans="7:8" x14ac:dyDescent="0.3">
      <c r="G4470" s="24">
        <v>4458</v>
      </c>
      <c r="H4470">
        <f t="shared" ca="1" si="72"/>
        <v>-7.2904283018847132E-2</v>
      </c>
    </row>
    <row r="4471" spans="7:8" x14ac:dyDescent="0.3">
      <c r="G4471" s="24">
        <v>4459</v>
      </c>
      <c r="H4471">
        <f t="shared" ca="1" si="72"/>
        <v>0.14703909306784707</v>
      </c>
    </row>
    <row r="4472" spans="7:8" x14ac:dyDescent="0.3">
      <c r="G4472" s="24">
        <v>4460</v>
      </c>
      <c r="H4472">
        <f t="shared" ca="1" si="72"/>
        <v>4.1360459363029289E-2</v>
      </c>
    </row>
    <row r="4473" spans="7:8" x14ac:dyDescent="0.3">
      <c r="G4473" s="24">
        <v>4461</v>
      </c>
      <c r="H4473">
        <f t="shared" ca="1" si="72"/>
        <v>3.2721324119058447E-2</v>
      </c>
    </row>
    <row r="4474" spans="7:8" x14ac:dyDescent="0.3">
      <c r="G4474" s="24">
        <v>4462</v>
      </c>
      <c r="H4474">
        <f t="shared" ca="1" si="72"/>
        <v>-6.749414343937675E-2</v>
      </c>
    </row>
    <row r="4475" spans="7:8" x14ac:dyDescent="0.3">
      <c r="G4475" s="24">
        <v>4463</v>
      </c>
      <c r="H4475">
        <f t="shared" ca="1" si="72"/>
        <v>5.067892215830763E-3</v>
      </c>
    </row>
    <row r="4476" spans="7:8" x14ac:dyDescent="0.3">
      <c r="G4476" s="24">
        <v>4464</v>
      </c>
      <c r="H4476">
        <f t="shared" ca="1" si="72"/>
        <v>2.4536183100210676E-2</v>
      </c>
    </row>
    <row r="4477" spans="7:8" x14ac:dyDescent="0.3">
      <c r="G4477" s="24">
        <v>4465</v>
      </c>
      <c r="H4477">
        <f t="shared" ca="1" si="72"/>
        <v>-7.9769063632643994E-2</v>
      </c>
    </row>
    <row r="4478" spans="7:8" x14ac:dyDescent="0.3">
      <c r="G4478" s="24">
        <v>4466</v>
      </c>
      <c r="H4478">
        <f t="shared" ca="1" si="72"/>
        <v>-8.477896749295287E-2</v>
      </c>
    </row>
    <row r="4479" spans="7:8" x14ac:dyDescent="0.3">
      <c r="G4479" s="24">
        <v>4467</v>
      </c>
      <c r="H4479">
        <f t="shared" ca="1" si="72"/>
        <v>0.12139252320039283</v>
      </c>
    </row>
    <row r="4480" spans="7:8" x14ac:dyDescent="0.3">
      <c r="G4480" s="24">
        <v>4468</v>
      </c>
      <c r="H4480">
        <f t="shared" ca="1" si="72"/>
        <v>-2.07785354432545E-2</v>
      </c>
    </row>
    <row r="4481" spans="7:8" x14ac:dyDescent="0.3">
      <c r="G4481" s="24">
        <v>4469</v>
      </c>
      <c r="H4481">
        <f t="shared" ca="1" si="72"/>
        <v>-2.4490995473652622E-2</v>
      </c>
    </row>
    <row r="4482" spans="7:8" x14ac:dyDescent="0.3">
      <c r="G4482" s="24">
        <v>4470</v>
      </c>
      <c r="H4482">
        <f t="shared" ca="1" si="72"/>
        <v>-6.7280053367500814E-2</v>
      </c>
    </row>
    <row r="4483" spans="7:8" x14ac:dyDescent="0.3">
      <c r="G4483" s="24">
        <v>4471</v>
      </c>
      <c r="H4483">
        <f t="shared" ca="1" si="72"/>
        <v>4.2899225181191859E-2</v>
      </c>
    </row>
    <row r="4484" spans="7:8" x14ac:dyDescent="0.3">
      <c r="G4484" s="24">
        <v>4472</v>
      </c>
      <c r="H4484">
        <f t="shared" ca="1" si="72"/>
        <v>2.842119247200714E-2</v>
      </c>
    </row>
    <row r="4485" spans="7:8" x14ac:dyDescent="0.3">
      <c r="G4485" s="24">
        <v>4473</v>
      </c>
      <c r="H4485">
        <f t="shared" ca="1" si="72"/>
        <v>3.1453151435642E-2</v>
      </c>
    </row>
    <row r="4486" spans="7:8" x14ac:dyDescent="0.3">
      <c r="G4486" s="24">
        <v>4474</v>
      </c>
      <c r="H4486">
        <f t="shared" ca="1" si="72"/>
        <v>2.1074682732801944E-3</v>
      </c>
    </row>
    <row r="4487" spans="7:8" x14ac:dyDescent="0.3">
      <c r="G4487" s="24">
        <v>4475</v>
      </c>
      <c r="H4487">
        <f t="shared" ca="1" si="72"/>
        <v>5.5690622803640727E-3</v>
      </c>
    </row>
    <row r="4488" spans="7:8" x14ac:dyDescent="0.3">
      <c r="G4488" s="24">
        <v>4476</v>
      </c>
      <c r="H4488">
        <f t="shared" ca="1" si="72"/>
        <v>-5.156100202091498E-2</v>
      </c>
    </row>
    <row r="4489" spans="7:8" x14ac:dyDescent="0.3">
      <c r="G4489" s="24">
        <v>4477</v>
      </c>
      <c r="H4489">
        <f t="shared" ca="1" si="72"/>
        <v>-5.5514260306796879E-3</v>
      </c>
    </row>
    <row r="4490" spans="7:8" x14ac:dyDescent="0.3">
      <c r="G4490" s="24">
        <v>4478</v>
      </c>
      <c r="H4490">
        <f t="shared" ca="1" si="72"/>
        <v>-7.5243865906450564E-3</v>
      </c>
    </row>
    <row r="4491" spans="7:8" x14ac:dyDescent="0.3">
      <c r="G4491" s="24">
        <v>4479</v>
      </c>
      <c r="H4491">
        <f t="shared" ca="1" si="72"/>
        <v>-1.4545151585687168E-2</v>
      </c>
    </row>
    <row r="4492" spans="7:8" x14ac:dyDescent="0.3">
      <c r="G4492" s="24">
        <v>4480</v>
      </c>
      <c r="H4492">
        <f t="shared" ca="1" si="72"/>
        <v>9.6911178915083246E-3</v>
      </c>
    </row>
    <row r="4493" spans="7:8" x14ac:dyDescent="0.3">
      <c r="G4493" s="24">
        <v>4481</v>
      </c>
      <c r="H4493">
        <f t="shared" ca="1" si="72"/>
        <v>-0.11244837206467206</v>
      </c>
    </row>
    <row r="4494" spans="7:8" x14ac:dyDescent="0.3">
      <c r="G4494" s="24">
        <v>4482</v>
      </c>
      <c r="H4494">
        <f t="shared" ref="H4494:H4557" ca="1" si="73">_xlfn.NORM.INV(RAND(),N$13,N$14)</f>
        <v>-2.2989205259491052E-2</v>
      </c>
    </row>
    <row r="4495" spans="7:8" x14ac:dyDescent="0.3">
      <c r="G4495" s="24">
        <v>4483</v>
      </c>
      <c r="H4495">
        <f t="shared" ca="1" si="73"/>
        <v>-7.7122002789253519E-2</v>
      </c>
    </row>
    <row r="4496" spans="7:8" x14ac:dyDescent="0.3">
      <c r="G4496" s="24">
        <v>4484</v>
      </c>
      <c r="H4496">
        <f t="shared" ca="1" si="73"/>
        <v>9.7542555811638825E-3</v>
      </c>
    </row>
    <row r="4497" spans="7:8" x14ac:dyDescent="0.3">
      <c r="G4497" s="24">
        <v>4485</v>
      </c>
      <c r="H4497">
        <f t="shared" ca="1" si="73"/>
        <v>-4.42080221543283E-2</v>
      </c>
    </row>
    <row r="4498" spans="7:8" x14ac:dyDescent="0.3">
      <c r="G4498" s="24">
        <v>4486</v>
      </c>
      <c r="H4498">
        <f t="shared" ca="1" si="73"/>
        <v>8.0046066228477944E-2</v>
      </c>
    </row>
    <row r="4499" spans="7:8" x14ac:dyDescent="0.3">
      <c r="G4499" s="24">
        <v>4487</v>
      </c>
      <c r="H4499">
        <f t="shared" ca="1" si="73"/>
        <v>4.0225037433889589E-2</v>
      </c>
    </row>
    <row r="4500" spans="7:8" x14ac:dyDescent="0.3">
      <c r="G4500" s="24">
        <v>4488</v>
      </c>
      <c r="H4500">
        <f t="shared" ca="1" si="73"/>
        <v>0.10465243374202446</v>
      </c>
    </row>
    <row r="4501" spans="7:8" x14ac:dyDescent="0.3">
      <c r="G4501" s="24">
        <v>4489</v>
      </c>
      <c r="H4501">
        <f t="shared" ca="1" si="73"/>
        <v>-8.7229390515654509E-2</v>
      </c>
    </row>
    <row r="4502" spans="7:8" x14ac:dyDescent="0.3">
      <c r="G4502" s="24">
        <v>4490</v>
      </c>
      <c r="H4502">
        <f t="shared" ca="1" si="73"/>
        <v>7.8263896990286505E-2</v>
      </c>
    </row>
    <row r="4503" spans="7:8" x14ac:dyDescent="0.3">
      <c r="G4503" s="24">
        <v>4491</v>
      </c>
      <c r="H4503">
        <f t="shared" ca="1" si="73"/>
        <v>-8.5578425162330551E-2</v>
      </c>
    </row>
    <row r="4504" spans="7:8" x14ac:dyDescent="0.3">
      <c r="G4504" s="24">
        <v>4492</v>
      </c>
      <c r="H4504">
        <f t="shared" ca="1" si="73"/>
        <v>8.4247010720811116E-2</v>
      </c>
    </row>
    <row r="4505" spans="7:8" x14ac:dyDescent="0.3">
      <c r="G4505" s="24">
        <v>4493</v>
      </c>
      <c r="H4505">
        <f t="shared" ca="1" si="73"/>
        <v>-2.1425176681819744E-2</v>
      </c>
    </row>
    <row r="4506" spans="7:8" x14ac:dyDescent="0.3">
      <c r="G4506" s="24">
        <v>4494</v>
      </c>
      <c r="H4506">
        <f t="shared" ca="1" si="73"/>
        <v>7.2091509584719707E-4</v>
      </c>
    </row>
    <row r="4507" spans="7:8" x14ac:dyDescent="0.3">
      <c r="G4507" s="24">
        <v>4495</v>
      </c>
      <c r="H4507">
        <f t="shared" ca="1" si="73"/>
        <v>-4.403593963326715E-2</v>
      </c>
    </row>
    <row r="4508" spans="7:8" x14ac:dyDescent="0.3">
      <c r="G4508" s="24">
        <v>4496</v>
      </c>
      <c r="H4508">
        <f t="shared" ca="1" si="73"/>
        <v>0.14105962127139612</v>
      </c>
    </row>
    <row r="4509" spans="7:8" x14ac:dyDescent="0.3">
      <c r="G4509" s="24">
        <v>4497</v>
      </c>
      <c r="H4509">
        <f t="shared" ca="1" si="73"/>
        <v>-5.2405836832771883E-2</v>
      </c>
    </row>
    <row r="4510" spans="7:8" x14ac:dyDescent="0.3">
      <c r="G4510" s="24">
        <v>4498</v>
      </c>
      <c r="H4510">
        <f t="shared" ca="1" si="73"/>
        <v>5.6348139309307453E-2</v>
      </c>
    </row>
    <row r="4511" spans="7:8" x14ac:dyDescent="0.3">
      <c r="G4511" s="24">
        <v>4499</v>
      </c>
      <c r="H4511">
        <f t="shared" ca="1" si="73"/>
        <v>-4.7412212811869761E-2</v>
      </c>
    </row>
    <row r="4512" spans="7:8" x14ac:dyDescent="0.3">
      <c r="G4512" s="24">
        <v>4500</v>
      </c>
      <c r="H4512">
        <f t="shared" ca="1" si="73"/>
        <v>8.0891639168590209E-3</v>
      </c>
    </row>
    <row r="4513" spans="7:8" x14ac:dyDescent="0.3">
      <c r="G4513" s="24">
        <v>4501</v>
      </c>
      <c r="H4513">
        <f t="shared" ca="1" si="73"/>
        <v>9.3183761976989351E-3</v>
      </c>
    </row>
    <row r="4514" spans="7:8" x14ac:dyDescent="0.3">
      <c r="G4514" s="24">
        <v>4502</v>
      </c>
      <c r="H4514">
        <f t="shared" ca="1" si="73"/>
        <v>-4.9729282506276222E-2</v>
      </c>
    </row>
    <row r="4515" spans="7:8" x14ac:dyDescent="0.3">
      <c r="G4515" s="24">
        <v>4503</v>
      </c>
      <c r="H4515">
        <f t="shared" ca="1" si="73"/>
        <v>7.2388742352302679E-2</v>
      </c>
    </row>
    <row r="4516" spans="7:8" x14ac:dyDescent="0.3">
      <c r="G4516" s="24">
        <v>4504</v>
      </c>
      <c r="H4516">
        <f t="shared" ca="1" si="73"/>
        <v>-2.1946954458645668E-2</v>
      </c>
    </row>
    <row r="4517" spans="7:8" x14ac:dyDescent="0.3">
      <c r="G4517" s="24">
        <v>4505</v>
      </c>
      <c r="H4517">
        <f t="shared" ca="1" si="73"/>
        <v>2.5488198279871681E-2</v>
      </c>
    </row>
    <row r="4518" spans="7:8" x14ac:dyDescent="0.3">
      <c r="G4518" s="24">
        <v>4506</v>
      </c>
      <c r="H4518">
        <f t="shared" ca="1" si="73"/>
        <v>-2.4095530351273934E-2</v>
      </c>
    </row>
    <row r="4519" spans="7:8" x14ac:dyDescent="0.3">
      <c r="G4519" s="24">
        <v>4507</v>
      </c>
      <c r="H4519">
        <f t="shared" ca="1" si="73"/>
        <v>2.9136747717936694E-2</v>
      </c>
    </row>
    <row r="4520" spans="7:8" x14ac:dyDescent="0.3">
      <c r="G4520" s="24">
        <v>4508</v>
      </c>
      <c r="H4520">
        <f t="shared" ca="1" si="73"/>
        <v>-5.9814207340124562E-2</v>
      </c>
    </row>
    <row r="4521" spans="7:8" x14ac:dyDescent="0.3">
      <c r="G4521" s="24">
        <v>4509</v>
      </c>
      <c r="H4521">
        <f t="shared" ca="1" si="73"/>
        <v>-5.737545941965231E-2</v>
      </c>
    </row>
    <row r="4522" spans="7:8" x14ac:dyDescent="0.3">
      <c r="G4522" s="24">
        <v>4510</v>
      </c>
      <c r="H4522">
        <f t="shared" ca="1" si="73"/>
        <v>8.5907409069579541E-2</v>
      </c>
    </row>
    <row r="4523" spans="7:8" x14ac:dyDescent="0.3">
      <c r="G4523" s="24">
        <v>4511</v>
      </c>
      <c r="H4523">
        <f t="shared" ca="1" si="73"/>
        <v>5.3897739670186282E-2</v>
      </c>
    </row>
    <row r="4524" spans="7:8" x14ac:dyDescent="0.3">
      <c r="G4524" s="24">
        <v>4512</v>
      </c>
      <c r="H4524">
        <f t="shared" ca="1" si="73"/>
        <v>-7.5997950589939897E-3</v>
      </c>
    </row>
    <row r="4525" spans="7:8" x14ac:dyDescent="0.3">
      <c r="G4525" s="24">
        <v>4513</v>
      </c>
      <c r="H4525">
        <f t="shared" ca="1" si="73"/>
        <v>-2.9397329622435197E-2</v>
      </c>
    </row>
    <row r="4526" spans="7:8" x14ac:dyDescent="0.3">
      <c r="G4526" s="24">
        <v>4514</v>
      </c>
      <c r="H4526">
        <f t="shared" ca="1" si="73"/>
        <v>8.4077903131413334E-2</v>
      </c>
    </row>
    <row r="4527" spans="7:8" x14ac:dyDescent="0.3">
      <c r="G4527" s="24">
        <v>4515</v>
      </c>
      <c r="H4527">
        <f t="shared" ca="1" si="73"/>
        <v>4.5224920373680567E-2</v>
      </c>
    </row>
    <row r="4528" spans="7:8" x14ac:dyDescent="0.3">
      <c r="G4528" s="24">
        <v>4516</v>
      </c>
      <c r="H4528">
        <f t="shared" ca="1" si="73"/>
        <v>-2.1587982111769065E-2</v>
      </c>
    </row>
    <row r="4529" spans="7:8" x14ac:dyDescent="0.3">
      <c r="G4529" s="24">
        <v>4517</v>
      </c>
      <c r="H4529">
        <f t="shared" ca="1" si="73"/>
        <v>-2.5601165030460053E-2</v>
      </c>
    </row>
    <row r="4530" spans="7:8" x14ac:dyDescent="0.3">
      <c r="G4530" s="24">
        <v>4518</v>
      </c>
      <c r="H4530">
        <f t="shared" ca="1" si="73"/>
        <v>-4.0381090853881599E-2</v>
      </c>
    </row>
    <row r="4531" spans="7:8" x14ac:dyDescent="0.3">
      <c r="G4531" s="24">
        <v>4519</v>
      </c>
      <c r="H4531">
        <f t="shared" ca="1" si="73"/>
        <v>0.10006330903263021</v>
      </c>
    </row>
    <row r="4532" spans="7:8" x14ac:dyDescent="0.3">
      <c r="G4532" s="24">
        <v>4520</v>
      </c>
      <c r="H4532">
        <f t="shared" ca="1" si="73"/>
        <v>0.11981305436843045</v>
      </c>
    </row>
    <row r="4533" spans="7:8" x14ac:dyDescent="0.3">
      <c r="G4533" s="24">
        <v>4521</v>
      </c>
      <c r="H4533">
        <f t="shared" ca="1" si="73"/>
        <v>7.0610588411954819E-2</v>
      </c>
    </row>
    <row r="4534" spans="7:8" x14ac:dyDescent="0.3">
      <c r="G4534" s="24">
        <v>4522</v>
      </c>
      <c r="H4534">
        <f t="shared" ca="1" si="73"/>
        <v>-5.6431183995134221E-2</v>
      </c>
    </row>
    <row r="4535" spans="7:8" x14ac:dyDescent="0.3">
      <c r="G4535" s="24">
        <v>4523</v>
      </c>
      <c r="H4535">
        <f t="shared" ca="1" si="73"/>
        <v>1.4202607183547379E-2</v>
      </c>
    </row>
    <row r="4536" spans="7:8" x14ac:dyDescent="0.3">
      <c r="G4536" s="24">
        <v>4524</v>
      </c>
      <c r="H4536">
        <f t="shared" ca="1" si="73"/>
        <v>-4.6394818667693863E-3</v>
      </c>
    </row>
    <row r="4537" spans="7:8" x14ac:dyDescent="0.3">
      <c r="G4537" s="24">
        <v>4525</v>
      </c>
      <c r="H4537">
        <f t="shared" ca="1" si="73"/>
        <v>7.4385390951401537E-2</v>
      </c>
    </row>
    <row r="4538" spans="7:8" x14ac:dyDescent="0.3">
      <c r="G4538" s="24">
        <v>4526</v>
      </c>
      <c r="H4538">
        <f t="shared" ca="1" si="73"/>
        <v>-1.9432593545518538E-2</v>
      </c>
    </row>
    <row r="4539" spans="7:8" x14ac:dyDescent="0.3">
      <c r="G4539" s="24">
        <v>4527</v>
      </c>
      <c r="H4539">
        <f t="shared" ca="1" si="73"/>
        <v>-9.7506746346226036E-3</v>
      </c>
    </row>
    <row r="4540" spans="7:8" x14ac:dyDescent="0.3">
      <c r="G4540" s="24">
        <v>4528</v>
      </c>
      <c r="H4540">
        <f t="shared" ca="1" si="73"/>
        <v>6.1929185522874304E-2</v>
      </c>
    </row>
    <row r="4541" spans="7:8" x14ac:dyDescent="0.3">
      <c r="G4541" s="24">
        <v>4529</v>
      </c>
      <c r="H4541">
        <f t="shared" ca="1" si="73"/>
        <v>7.2267637925802646E-4</v>
      </c>
    </row>
    <row r="4542" spans="7:8" x14ac:dyDescent="0.3">
      <c r="G4542" s="24">
        <v>4530</v>
      </c>
      <c r="H4542">
        <f t="shared" ca="1" si="73"/>
        <v>3.4210970100286155E-2</v>
      </c>
    </row>
    <row r="4543" spans="7:8" x14ac:dyDescent="0.3">
      <c r="G4543" s="24">
        <v>4531</v>
      </c>
      <c r="H4543">
        <f t="shared" ca="1" si="73"/>
        <v>2.1400860296014481E-2</v>
      </c>
    </row>
    <row r="4544" spans="7:8" x14ac:dyDescent="0.3">
      <c r="G4544" s="24">
        <v>4532</v>
      </c>
      <c r="H4544">
        <f t="shared" ca="1" si="73"/>
        <v>-7.9921838586039046E-2</v>
      </c>
    </row>
    <row r="4545" spans="7:8" x14ac:dyDescent="0.3">
      <c r="G4545" s="24">
        <v>4533</v>
      </c>
      <c r="H4545">
        <f t="shared" ca="1" si="73"/>
        <v>8.2623527941131838E-3</v>
      </c>
    </row>
    <row r="4546" spans="7:8" x14ac:dyDescent="0.3">
      <c r="G4546" s="24">
        <v>4534</v>
      </c>
      <c r="H4546">
        <f t="shared" ca="1" si="73"/>
        <v>4.7125803149161635E-2</v>
      </c>
    </row>
    <row r="4547" spans="7:8" x14ac:dyDescent="0.3">
      <c r="G4547" s="24">
        <v>4535</v>
      </c>
      <c r="H4547">
        <f t="shared" ca="1" si="73"/>
        <v>0.12958873150206146</v>
      </c>
    </row>
    <row r="4548" spans="7:8" x14ac:dyDescent="0.3">
      <c r="G4548" s="24">
        <v>4536</v>
      </c>
      <c r="H4548">
        <f t="shared" ca="1" si="73"/>
        <v>-2.8293628240470014E-3</v>
      </c>
    </row>
    <row r="4549" spans="7:8" x14ac:dyDescent="0.3">
      <c r="G4549" s="24">
        <v>4537</v>
      </c>
      <c r="H4549">
        <f t="shared" ca="1" si="73"/>
        <v>4.9838336621526536E-2</v>
      </c>
    </row>
    <row r="4550" spans="7:8" x14ac:dyDescent="0.3">
      <c r="G4550" s="24">
        <v>4538</v>
      </c>
      <c r="H4550">
        <f t="shared" ca="1" si="73"/>
        <v>6.0365068190990315E-2</v>
      </c>
    </row>
    <row r="4551" spans="7:8" x14ac:dyDescent="0.3">
      <c r="G4551" s="24">
        <v>4539</v>
      </c>
      <c r="H4551">
        <f t="shared" ca="1" si="73"/>
        <v>5.9526253601006746E-2</v>
      </c>
    </row>
    <row r="4552" spans="7:8" x14ac:dyDescent="0.3">
      <c r="G4552" s="24">
        <v>4540</v>
      </c>
      <c r="H4552">
        <f t="shared" ca="1" si="73"/>
        <v>-7.8522734388042761E-2</v>
      </c>
    </row>
    <row r="4553" spans="7:8" x14ac:dyDescent="0.3">
      <c r="G4553" s="24">
        <v>4541</v>
      </c>
      <c r="H4553">
        <f t="shared" ca="1" si="73"/>
        <v>7.3790416650974244E-2</v>
      </c>
    </row>
    <row r="4554" spans="7:8" x14ac:dyDescent="0.3">
      <c r="G4554" s="24">
        <v>4542</v>
      </c>
      <c r="H4554">
        <f t="shared" ca="1" si="73"/>
        <v>7.8274298884505281E-2</v>
      </c>
    </row>
    <row r="4555" spans="7:8" x14ac:dyDescent="0.3">
      <c r="G4555" s="24">
        <v>4543</v>
      </c>
      <c r="H4555">
        <f t="shared" ca="1" si="73"/>
        <v>-6.9555502973839625E-2</v>
      </c>
    </row>
    <row r="4556" spans="7:8" x14ac:dyDescent="0.3">
      <c r="G4556" s="24">
        <v>4544</v>
      </c>
      <c r="H4556">
        <f t="shared" ca="1" si="73"/>
        <v>-5.0837022890130923E-2</v>
      </c>
    </row>
    <row r="4557" spans="7:8" x14ac:dyDescent="0.3">
      <c r="G4557" s="24">
        <v>4545</v>
      </c>
      <c r="H4557">
        <f t="shared" ca="1" si="73"/>
        <v>6.8144308538394108E-2</v>
      </c>
    </row>
    <row r="4558" spans="7:8" x14ac:dyDescent="0.3">
      <c r="G4558" s="24">
        <v>4546</v>
      </c>
      <c r="H4558">
        <f t="shared" ref="H4558:H4621" ca="1" si="74">_xlfn.NORM.INV(RAND(),N$13,N$14)</f>
        <v>-3.5250445195694549E-2</v>
      </c>
    </row>
    <row r="4559" spans="7:8" x14ac:dyDescent="0.3">
      <c r="G4559" s="24">
        <v>4547</v>
      </c>
      <c r="H4559">
        <f t="shared" ca="1" si="74"/>
        <v>-4.6575054515410774E-2</v>
      </c>
    </row>
    <row r="4560" spans="7:8" x14ac:dyDescent="0.3">
      <c r="G4560" s="24">
        <v>4548</v>
      </c>
      <c r="H4560">
        <f t="shared" ca="1" si="74"/>
        <v>-3.0490773095130524E-2</v>
      </c>
    </row>
    <row r="4561" spans="7:8" x14ac:dyDescent="0.3">
      <c r="G4561" s="24">
        <v>4549</v>
      </c>
      <c r="H4561">
        <f t="shared" ca="1" si="74"/>
        <v>-1.1726191432157076E-2</v>
      </c>
    </row>
    <row r="4562" spans="7:8" x14ac:dyDescent="0.3">
      <c r="G4562" s="24">
        <v>4550</v>
      </c>
      <c r="H4562">
        <f t="shared" ca="1" si="74"/>
        <v>-1.7891772286981949E-2</v>
      </c>
    </row>
    <row r="4563" spans="7:8" x14ac:dyDescent="0.3">
      <c r="G4563" s="24">
        <v>4551</v>
      </c>
      <c r="H4563">
        <f t="shared" ca="1" si="74"/>
        <v>0.15592186038976222</v>
      </c>
    </row>
    <row r="4564" spans="7:8" x14ac:dyDescent="0.3">
      <c r="G4564" s="24">
        <v>4552</v>
      </c>
      <c r="H4564">
        <f t="shared" ca="1" si="74"/>
        <v>2.088434809974056E-2</v>
      </c>
    </row>
    <row r="4565" spans="7:8" x14ac:dyDescent="0.3">
      <c r="G4565" s="24">
        <v>4553</v>
      </c>
      <c r="H4565">
        <f t="shared" ca="1" si="74"/>
        <v>-0.11856987862388933</v>
      </c>
    </row>
    <row r="4566" spans="7:8" x14ac:dyDescent="0.3">
      <c r="G4566" s="24">
        <v>4554</v>
      </c>
      <c r="H4566">
        <f t="shared" ca="1" si="74"/>
        <v>-8.3230660657832786E-2</v>
      </c>
    </row>
    <row r="4567" spans="7:8" x14ac:dyDescent="0.3">
      <c r="G4567" s="24">
        <v>4555</v>
      </c>
      <c r="H4567">
        <f t="shared" ca="1" si="74"/>
        <v>-3.9566366103729322E-2</v>
      </c>
    </row>
    <row r="4568" spans="7:8" x14ac:dyDescent="0.3">
      <c r="G4568" s="24">
        <v>4556</v>
      </c>
      <c r="H4568">
        <f t="shared" ca="1" si="74"/>
        <v>-9.1155910843793084E-2</v>
      </c>
    </row>
    <row r="4569" spans="7:8" x14ac:dyDescent="0.3">
      <c r="G4569" s="24">
        <v>4557</v>
      </c>
      <c r="H4569">
        <f t="shared" ca="1" si="74"/>
        <v>7.5681741829071281E-2</v>
      </c>
    </row>
    <row r="4570" spans="7:8" x14ac:dyDescent="0.3">
      <c r="G4570" s="24">
        <v>4558</v>
      </c>
      <c r="H4570">
        <f t="shared" ca="1" si="74"/>
        <v>5.2240319828216912E-2</v>
      </c>
    </row>
    <row r="4571" spans="7:8" x14ac:dyDescent="0.3">
      <c r="G4571" s="24">
        <v>4559</v>
      </c>
      <c r="H4571">
        <f t="shared" ca="1" si="74"/>
        <v>3.735402139890617E-3</v>
      </c>
    </row>
    <row r="4572" spans="7:8" x14ac:dyDescent="0.3">
      <c r="G4572" s="24">
        <v>4560</v>
      </c>
      <c r="H4572">
        <f t="shared" ca="1" si="74"/>
        <v>-1.0595084276624436E-2</v>
      </c>
    </row>
    <row r="4573" spans="7:8" x14ac:dyDescent="0.3">
      <c r="G4573" s="24">
        <v>4561</v>
      </c>
      <c r="H4573">
        <f t="shared" ca="1" si="74"/>
        <v>0.19826290937733101</v>
      </c>
    </row>
    <row r="4574" spans="7:8" x14ac:dyDescent="0.3">
      <c r="G4574" s="24">
        <v>4562</v>
      </c>
      <c r="H4574">
        <f t="shared" ca="1" si="74"/>
        <v>2.6647992012864387E-4</v>
      </c>
    </row>
    <row r="4575" spans="7:8" x14ac:dyDescent="0.3">
      <c r="G4575" s="24">
        <v>4563</v>
      </c>
      <c r="H4575">
        <f t="shared" ca="1" si="74"/>
        <v>8.0368654245654411E-2</v>
      </c>
    </row>
    <row r="4576" spans="7:8" x14ac:dyDescent="0.3">
      <c r="G4576" s="24">
        <v>4564</v>
      </c>
      <c r="H4576">
        <f t="shared" ca="1" si="74"/>
        <v>-3.9362936231421203E-2</v>
      </c>
    </row>
    <row r="4577" spans="7:8" x14ac:dyDescent="0.3">
      <c r="G4577" s="24">
        <v>4565</v>
      </c>
      <c r="H4577">
        <f t="shared" ca="1" si="74"/>
        <v>-4.7051191380487703E-2</v>
      </c>
    </row>
    <row r="4578" spans="7:8" x14ac:dyDescent="0.3">
      <c r="G4578" s="24">
        <v>4566</v>
      </c>
      <c r="H4578">
        <f t="shared" ca="1" si="74"/>
        <v>9.1553785933803353E-2</v>
      </c>
    </row>
    <row r="4579" spans="7:8" x14ac:dyDescent="0.3">
      <c r="G4579" s="24">
        <v>4567</v>
      </c>
      <c r="H4579">
        <f t="shared" ca="1" si="74"/>
        <v>-3.8199082605253502E-2</v>
      </c>
    </row>
    <row r="4580" spans="7:8" x14ac:dyDescent="0.3">
      <c r="G4580" s="24">
        <v>4568</v>
      </c>
      <c r="H4580">
        <f t="shared" ca="1" si="74"/>
        <v>0.12407827901624707</v>
      </c>
    </row>
    <row r="4581" spans="7:8" x14ac:dyDescent="0.3">
      <c r="G4581" s="24">
        <v>4569</v>
      </c>
      <c r="H4581">
        <f t="shared" ca="1" si="74"/>
        <v>9.7333694956787092E-2</v>
      </c>
    </row>
    <row r="4582" spans="7:8" x14ac:dyDescent="0.3">
      <c r="G4582" s="24">
        <v>4570</v>
      </c>
      <c r="H4582">
        <f t="shared" ca="1" si="74"/>
        <v>-0.12656746924522558</v>
      </c>
    </row>
    <row r="4583" spans="7:8" x14ac:dyDescent="0.3">
      <c r="G4583" s="24">
        <v>4571</v>
      </c>
      <c r="H4583">
        <f t="shared" ca="1" si="74"/>
        <v>1.4802803556088789E-2</v>
      </c>
    </row>
    <row r="4584" spans="7:8" x14ac:dyDescent="0.3">
      <c r="G4584" s="24">
        <v>4572</v>
      </c>
      <c r="H4584">
        <f t="shared" ca="1" si="74"/>
        <v>2.2356428898815589E-2</v>
      </c>
    </row>
    <row r="4585" spans="7:8" x14ac:dyDescent="0.3">
      <c r="G4585" s="24">
        <v>4573</v>
      </c>
      <c r="H4585">
        <f t="shared" ca="1" si="74"/>
        <v>0.13668082900832024</v>
      </c>
    </row>
    <row r="4586" spans="7:8" x14ac:dyDescent="0.3">
      <c r="G4586" s="24">
        <v>4574</v>
      </c>
      <c r="H4586">
        <f t="shared" ca="1" si="74"/>
        <v>3.3682440768768619E-2</v>
      </c>
    </row>
    <row r="4587" spans="7:8" x14ac:dyDescent="0.3">
      <c r="G4587" s="24">
        <v>4575</v>
      </c>
      <c r="H4587">
        <f t="shared" ca="1" si="74"/>
        <v>7.1029672241191652E-2</v>
      </c>
    </row>
    <row r="4588" spans="7:8" x14ac:dyDescent="0.3">
      <c r="G4588" s="24">
        <v>4576</v>
      </c>
      <c r="H4588">
        <f t="shared" ca="1" si="74"/>
        <v>6.2517085954391843E-2</v>
      </c>
    </row>
    <row r="4589" spans="7:8" x14ac:dyDescent="0.3">
      <c r="G4589" s="24">
        <v>4577</v>
      </c>
      <c r="H4589">
        <f t="shared" ca="1" si="74"/>
        <v>7.3257382844223382E-2</v>
      </c>
    </row>
    <row r="4590" spans="7:8" x14ac:dyDescent="0.3">
      <c r="G4590" s="24">
        <v>4578</v>
      </c>
      <c r="H4590">
        <f t="shared" ca="1" si="74"/>
        <v>-0.1170190521248179</v>
      </c>
    </row>
    <row r="4591" spans="7:8" x14ac:dyDescent="0.3">
      <c r="G4591" s="24">
        <v>4579</v>
      </c>
      <c r="H4591">
        <f t="shared" ca="1" si="74"/>
        <v>-0.14585388899649387</v>
      </c>
    </row>
    <row r="4592" spans="7:8" x14ac:dyDescent="0.3">
      <c r="G4592" s="24">
        <v>4580</v>
      </c>
      <c r="H4592">
        <f t="shared" ca="1" si="74"/>
        <v>-6.5776657317013848E-2</v>
      </c>
    </row>
    <row r="4593" spans="7:8" x14ac:dyDescent="0.3">
      <c r="G4593" s="24">
        <v>4581</v>
      </c>
      <c r="H4593">
        <f t="shared" ca="1" si="74"/>
        <v>-0.11762309498381535</v>
      </c>
    </row>
    <row r="4594" spans="7:8" x14ac:dyDescent="0.3">
      <c r="G4594" s="24">
        <v>4582</v>
      </c>
      <c r="H4594">
        <f t="shared" ca="1" si="74"/>
        <v>-1.065167988697863E-2</v>
      </c>
    </row>
    <row r="4595" spans="7:8" x14ac:dyDescent="0.3">
      <c r="G4595" s="24">
        <v>4583</v>
      </c>
      <c r="H4595">
        <f t="shared" ca="1" si="74"/>
        <v>4.4167658900392072E-2</v>
      </c>
    </row>
    <row r="4596" spans="7:8" x14ac:dyDescent="0.3">
      <c r="G4596" s="24">
        <v>4584</v>
      </c>
      <c r="H4596">
        <f t="shared" ca="1" si="74"/>
        <v>3.2381259330690332E-2</v>
      </c>
    </row>
    <row r="4597" spans="7:8" x14ac:dyDescent="0.3">
      <c r="G4597" s="24">
        <v>4585</v>
      </c>
      <c r="H4597">
        <f t="shared" ca="1" si="74"/>
        <v>-5.8171784416862229E-2</v>
      </c>
    </row>
    <row r="4598" spans="7:8" x14ac:dyDescent="0.3">
      <c r="G4598" s="24">
        <v>4586</v>
      </c>
      <c r="H4598">
        <f t="shared" ca="1" si="74"/>
        <v>5.4903399654348019E-2</v>
      </c>
    </row>
    <row r="4599" spans="7:8" x14ac:dyDescent="0.3">
      <c r="G4599" s="24">
        <v>4587</v>
      </c>
      <c r="H4599">
        <f t="shared" ca="1" si="74"/>
        <v>-1.8069602726297432E-2</v>
      </c>
    </row>
    <row r="4600" spans="7:8" x14ac:dyDescent="0.3">
      <c r="G4600" s="24">
        <v>4588</v>
      </c>
      <c r="H4600">
        <f t="shared" ca="1" si="74"/>
        <v>5.4266034086507063E-2</v>
      </c>
    </row>
    <row r="4601" spans="7:8" x14ac:dyDescent="0.3">
      <c r="G4601" s="24">
        <v>4589</v>
      </c>
      <c r="H4601">
        <f t="shared" ca="1" si="74"/>
        <v>-6.4190104944492316E-2</v>
      </c>
    </row>
    <row r="4602" spans="7:8" x14ac:dyDescent="0.3">
      <c r="G4602" s="24">
        <v>4590</v>
      </c>
      <c r="H4602">
        <f t="shared" ca="1" si="74"/>
        <v>-3.690003909559382E-2</v>
      </c>
    </row>
    <row r="4603" spans="7:8" x14ac:dyDescent="0.3">
      <c r="G4603" s="24">
        <v>4591</v>
      </c>
      <c r="H4603">
        <f t="shared" ca="1" si="74"/>
        <v>-1.1538770114079739E-2</v>
      </c>
    </row>
    <row r="4604" spans="7:8" x14ac:dyDescent="0.3">
      <c r="G4604" s="24">
        <v>4592</v>
      </c>
      <c r="H4604">
        <f t="shared" ca="1" si="74"/>
        <v>2.8751574006636357E-2</v>
      </c>
    </row>
    <row r="4605" spans="7:8" x14ac:dyDescent="0.3">
      <c r="G4605" s="24">
        <v>4593</v>
      </c>
      <c r="H4605">
        <f t="shared" ca="1" si="74"/>
        <v>-2.2868125617569221E-2</v>
      </c>
    </row>
    <row r="4606" spans="7:8" x14ac:dyDescent="0.3">
      <c r="G4606" s="24">
        <v>4594</v>
      </c>
      <c r="H4606">
        <f t="shared" ca="1" si="74"/>
        <v>3.3759723389915335E-2</v>
      </c>
    </row>
    <row r="4607" spans="7:8" x14ac:dyDescent="0.3">
      <c r="G4607" s="24">
        <v>4595</v>
      </c>
      <c r="H4607">
        <f t="shared" ca="1" si="74"/>
        <v>-1.2593203562290208E-2</v>
      </c>
    </row>
    <row r="4608" spans="7:8" x14ac:dyDescent="0.3">
      <c r="G4608" s="24">
        <v>4596</v>
      </c>
      <c r="H4608">
        <f t="shared" ca="1" si="74"/>
        <v>6.6792017287840053E-2</v>
      </c>
    </row>
    <row r="4609" spans="7:8" x14ac:dyDescent="0.3">
      <c r="G4609" s="24">
        <v>4597</v>
      </c>
      <c r="H4609">
        <f t="shared" ca="1" si="74"/>
        <v>-5.7873729749365117E-2</v>
      </c>
    </row>
    <row r="4610" spans="7:8" x14ac:dyDescent="0.3">
      <c r="G4610" s="24">
        <v>4598</v>
      </c>
      <c r="H4610">
        <f t="shared" ca="1" si="74"/>
        <v>4.2632067793294738E-2</v>
      </c>
    </row>
    <row r="4611" spans="7:8" x14ac:dyDescent="0.3">
      <c r="G4611" s="24">
        <v>4599</v>
      </c>
      <c r="H4611">
        <f t="shared" ca="1" si="74"/>
        <v>4.5093831220608983E-2</v>
      </c>
    </row>
    <row r="4612" spans="7:8" x14ac:dyDescent="0.3">
      <c r="G4612" s="24">
        <v>4600</v>
      </c>
      <c r="H4612">
        <f t="shared" ca="1" si="74"/>
        <v>-3.0900382318082117E-2</v>
      </c>
    </row>
    <row r="4613" spans="7:8" x14ac:dyDescent="0.3">
      <c r="G4613" s="24">
        <v>4601</v>
      </c>
      <c r="H4613">
        <f t="shared" ca="1" si="74"/>
        <v>-0.1085088036046547</v>
      </c>
    </row>
    <row r="4614" spans="7:8" x14ac:dyDescent="0.3">
      <c r="G4614" s="24">
        <v>4602</v>
      </c>
      <c r="H4614">
        <f t="shared" ca="1" si="74"/>
        <v>-0.10075293002766499</v>
      </c>
    </row>
    <row r="4615" spans="7:8" x14ac:dyDescent="0.3">
      <c r="G4615" s="24">
        <v>4603</v>
      </c>
      <c r="H4615">
        <f t="shared" ca="1" si="74"/>
        <v>-6.4847128808593613E-2</v>
      </c>
    </row>
    <row r="4616" spans="7:8" x14ac:dyDescent="0.3">
      <c r="G4616" s="24">
        <v>4604</v>
      </c>
      <c r="H4616">
        <f t="shared" ca="1" si="74"/>
        <v>2.8908272421711029E-2</v>
      </c>
    </row>
    <row r="4617" spans="7:8" x14ac:dyDescent="0.3">
      <c r="G4617" s="24">
        <v>4605</v>
      </c>
      <c r="H4617">
        <f t="shared" ca="1" si="74"/>
        <v>2.8847129923455641E-2</v>
      </c>
    </row>
    <row r="4618" spans="7:8" x14ac:dyDescent="0.3">
      <c r="G4618" s="24">
        <v>4606</v>
      </c>
      <c r="H4618">
        <f t="shared" ca="1" si="74"/>
        <v>-1.8571998935504E-2</v>
      </c>
    </row>
    <row r="4619" spans="7:8" x14ac:dyDescent="0.3">
      <c r="G4619" s="24">
        <v>4607</v>
      </c>
      <c r="H4619">
        <f t="shared" ca="1" si="74"/>
        <v>-2.7555072164844999E-2</v>
      </c>
    </row>
    <row r="4620" spans="7:8" x14ac:dyDescent="0.3">
      <c r="G4620" s="24">
        <v>4608</v>
      </c>
      <c r="H4620">
        <f t="shared" ca="1" si="74"/>
        <v>-4.7435146002679042E-2</v>
      </c>
    </row>
    <row r="4621" spans="7:8" x14ac:dyDescent="0.3">
      <c r="G4621" s="24">
        <v>4609</v>
      </c>
      <c r="H4621">
        <f t="shared" ca="1" si="74"/>
        <v>-7.3590243410791054E-2</v>
      </c>
    </row>
    <row r="4622" spans="7:8" x14ac:dyDescent="0.3">
      <c r="G4622" s="24">
        <v>4610</v>
      </c>
      <c r="H4622">
        <f t="shared" ref="H4622:H4685" ca="1" si="75">_xlfn.NORM.INV(RAND(),N$13,N$14)</f>
        <v>-1.5150683001639312E-2</v>
      </c>
    </row>
    <row r="4623" spans="7:8" x14ac:dyDescent="0.3">
      <c r="G4623" s="24">
        <v>4611</v>
      </c>
      <c r="H4623">
        <f t="shared" ca="1" si="75"/>
        <v>-9.09435295713973E-2</v>
      </c>
    </row>
    <row r="4624" spans="7:8" x14ac:dyDescent="0.3">
      <c r="G4624" s="24">
        <v>4612</v>
      </c>
      <c r="H4624">
        <f t="shared" ca="1" si="75"/>
        <v>7.6465979556793989E-2</v>
      </c>
    </row>
    <row r="4625" spans="7:8" x14ac:dyDescent="0.3">
      <c r="G4625" s="24">
        <v>4613</v>
      </c>
      <c r="H4625">
        <f t="shared" ca="1" si="75"/>
        <v>-3.3510266429827976E-2</v>
      </c>
    </row>
    <row r="4626" spans="7:8" x14ac:dyDescent="0.3">
      <c r="G4626" s="24">
        <v>4614</v>
      </c>
      <c r="H4626">
        <f t="shared" ca="1" si="75"/>
        <v>3.4130274779882827E-2</v>
      </c>
    </row>
    <row r="4627" spans="7:8" x14ac:dyDescent="0.3">
      <c r="G4627" s="24">
        <v>4615</v>
      </c>
      <c r="H4627">
        <f t="shared" ca="1" si="75"/>
        <v>-4.6424619015633946E-2</v>
      </c>
    </row>
    <row r="4628" spans="7:8" x14ac:dyDescent="0.3">
      <c r="G4628" s="24">
        <v>4616</v>
      </c>
      <c r="H4628">
        <f t="shared" ca="1" si="75"/>
        <v>-4.9353119845950935E-2</v>
      </c>
    </row>
    <row r="4629" spans="7:8" x14ac:dyDescent="0.3">
      <c r="G4629" s="24">
        <v>4617</v>
      </c>
      <c r="H4629">
        <f t="shared" ca="1" si="75"/>
        <v>-2.6648209212516197E-3</v>
      </c>
    </row>
    <row r="4630" spans="7:8" x14ac:dyDescent="0.3">
      <c r="G4630" s="24">
        <v>4618</v>
      </c>
      <c r="H4630">
        <f t="shared" ca="1" si="75"/>
        <v>-0.10481835121735193</v>
      </c>
    </row>
    <row r="4631" spans="7:8" x14ac:dyDescent="0.3">
      <c r="G4631" s="24">
        <v>4619</v>
      </c>
      <c r="H4631">
        <f t="shared" ca="1" si="75"/>
        <v>2.7586147464498521E-2</v>
      </c>
    </row>
    <row r="4632" spans="7:8" x14ac:dyDescent="0.3">
      <c r="G4632" s="24">
        <v>4620</v>
      </c>
      <c r="H4632">
        <f t="shared" ca="1" si="75"/>
        <v>2.2482590030197949E-2</v>
      </c>
    </row>
    <row r="4633" spans="7:8" x14ac:dyDescent="0.3">
      <c r="G4633" s="24">
        <v>4621</v>
      </c>
      <c r="H4633">
        <f t="shared" ca="1" si="75"/>
        <v>-5.4830950524732795E-2</v>
      </c>
    </row>
    <row r="4634" spans="7:8" x14ac:dyDescent="0.3">
      <c r="G4634" s="24">
        <v>4622</v>
      </c>
      <c r="H4634">
        <f t="shared" ca="1" si="75"/>
        <v>5.3166243680005706E-2</v>
      </c>
    </row>
    <row r="4635" spans="7:8" x14ac:dyDescent="0.3">
      <c r="G4635" s="24">
        <v>4623</v>
      </c>
      <c r="H4635">
        <f t="shared" ca="1" si="75"/>
        <v>4.6502170428233472E-2</v>
      </c>
    </row>
    <row r="4636" spans="7:8" x14ac:dyDescent="0.3">
      <c r="G4636" s="24">
        <v>4624</v>
      </c>
      <c r="H4636">
        <f t="shared" ca="1" si="75"/>
        <v>3.1098366983726689E-2</v>
      </c>
    </row>
    <row r="4637" spans="7:8" x14ac:dyDescent="0.3">
      <c r="G4637" s="24">
        <v>4625</v>
      </c>
      <c r="H4637">
        <f t="shared" ca="1" si="75"/>
        <v>7.0795854582958159E-2</v>
      </c>
    </row>
    <row r="4638" spans="7:8" x14ac:dyDescent="0.3">
      <c r="G4638" s="24">
        <v>4626</v>
      </c>
      <c r="H4638">
        <f t="shared" ca="1" si="75"/>
        <v>4.2913801893187234E-2</v>
      </c>
    </row>
    <row r="4639" spans="7:8" x14ac:dyDescent="0.3">
      <c r="G4639" s="24">
        <v>4627</v>
      </c>
      <c r="H4639">
        <f t="shared" ca="1" si="75"/>
        <v>-4.9157286739014844E-3</v>
      </c>
    </row>
    <row r="4640" spans="7:8" x14ac:dyDescent="0.3">
      <c r="G4640" s="24">
        <v>4628</v>
      </c>
      <c r="H4640">
        <f t="shared" ca="1" si="75"/>
        <v>0.10273374687973899</v>
      </c>
    </row>
    <row r="4641" spans="7:8" x14ac:dyDescent="0.3">
      <c r="G4641" s="24">
        <v>4629</v>
      </c>
      <c r="H4641">
        <f t="shared" ca="1" si="75"/>
        <v>-7.2098282930856822E-2</v>
      </c>
    </row>
    <row r="4642" spans="7:8" x14ac:dyDescent="0.3">
      <c r="G4642" s="24">
        <v>4630</v>
      </c>
      <c r="H4642">
        <f t="shared" ca="1" si="75"/>
        <v>-5.3857749216435727E-2</v>
      </c>
    </row>
    <row r="4643" spans="7:8" x14ac:dyDescent="0.3">
      <c r="G4643" s="24">
        <v>4631</v>
      </c>
      <c r="H4643">
        <f t="shared" ca="1" si="75"/>
        <v>-4.9333231944866232E-2</v>
      </c>
    </row>
    <row r="4644" spans="7:8" x14ac:dyDescent="0.3">
      <c r="G4644" s="24">
        <v>4632</v>
      </c>
      <c r="H4644">
        <f t="shared" ca="1" si="75"/>
        <v>0.11995080263615562</v>
      </c>
    </row>
    <row r="4645" spans="7:8" x14ac:dyDescent="0.3">
      <c r="G4645" s="24">
        <v>4633</v>
      </c>
      <c r="H4645">
        <f t="shared" ca="1" si="75"/>
        <v>1.6573777418532047E-2</v>
      </c>
    </row>
    <row r="4646" spans="7:8" x14ac:dyDescent="0.3">
      <c r="G4646" s="24">
        <v>4634</v>
      </c>
      <c r="H4646">
        <f t="shared" ca="1" si="75"/>
        <v>4.6132217310072617E-2</v>
      </c>
    </row>
    <row r="4647" spans="7:8" x14ac:dyDescent="0.3">
      <c r="G4647" s="24">
        <v>4635</v>
      </c>
      <c r="H4647">
        <f t="shared" ca="1" si="75"/>
        <v>2.1635823695901325E-2</v>
      </c>
    </row>
    <row r="4648" spans="7:8" x14ac:dyDescent="0.3">
      <c r="G4648" s="24">
        <v>4636</v>
      </c>
      <c r="H4648">
        <f t="shared" ca="1" si="75"/>
        <v>-6.0152370516581594E-2</v>
      </c>
    </row>
    <row r="4649" spans="7:8" x14ac:dyDescent="0.3">
      <c r="G4649" s="24">
        <v>4637</v>
      </c>
      <c r="H4649">
        <f t="shared" ca="1" si="75"/>
        <v>-5.3467560129687244E-2</v>
      </c>
    </row>
    <row r="4650" spans="7:8" x14ac:dyDescent="0.3">
      <c r="G4650" s="24">
        <v>4638</v>
      </c>
      <c r="H4650">
        <f t="shared" ca="1" si="75"/>
        <v>7.9636703417867993E-2</v>
      </c>
    </row>
    <row r="4651" spans="7:8" x14ac:dyDescent="0.3">
      <c r="G4651" s="24">
        <v>4639</v>
      </c>
      <c r="H4651">
        <f t="shared" ca="1" si="75"/>
        <v>4.6571975956451336E-2</v>
      </c>
    </row>
    <row r="4652" spans="7:8" x14ac:dyDescent="0.3">
      <c r="G4652" s="24">
        <v>4640</v>
      </c>
      <c r="H4652">
        <f t="shared" ca="1" si="75"/>
        <v>0.10191808184849406</v>
      </c>
    </row>
    <row r="4653" spans="7:8" x14ac:dyDescent="0.3">
      <c r="G4653" s="24">
        <v>4641</v>
      </c>
      <c r="H4653">
        <f t="shared" ca="1" si="75"/>
        <v>8.3772303853162478E-2</v>
      </c>
    </row>
    <row r="4654" spans="7:8" x14ac:dyDescent="0.3">
      <c r="G4654" s="24">
        <v>4642</v>
      </c>
      <c r="H4654">
        <f t="shared" ca="1" si="75"/>
        <v>-4.0233616123984919E-2</v>
      </c>
    </row>
    <row r="4655" spans="7:8" x14ac:dyDescent="0.3">
      <c r="G4655" s="24">
        <v>4643</v>
      </c>
      <c r="H4655">
        <f t="shared" ca="1" si="75"/>
        <v>0.11835345109884579</v>
      </c>
    </row>
    <row r="4656" spans="7:8" x14ac:dyDescent="0.3">
      <c r="G4656" s="24">
        <v>4644</v>
      </c>
      <c r="H4656">
        <f t="shared" ca="1" si="75"/>
        <v>-0.11535860833336384</v>
      </c>
    </row>
    <row r="4657" spans="7:8" x14ac:dyDescent="0.3">
      <c r="G4657" s="24">
        <v>4645</v>
      </c>
      <c r="H4657">
        <f t="shared" ca="1" si="75"/>
        <v>7.5302744258651119E-2</v>
      </c>
    </row>
    <row r="4658" spans="7:8" x14ac:dyDescent="0.3">
      <c r="G4658" s="24">
        <v>4646</v>
      </c>
      <c r="H4658">
        <f t="shared" ca="1" si="75"/>
        <v>-0.14165309763333148</v>
      </c>
    </row>
    <row r="4659" spans="7:8" x14ac:dyDescent="0.3">
      <c r="G4659" s="24">
        <v>4647</v>
      </c>
      <c r="H4659">
        <f t="shared" ca="1" si="75"/>
        <v>6.7317250663607733E-2</v>
      </c>
    </row>
    <row r="4660" spans="7:8" x14ac:dyDescent="0.3">
      <c r="G4660" s="24">
        <v>4648</v>
      </c>
      <c r="H4660">
        <f t="shared" ca="1" si="75"/>
        <v>-7.5554332885694242E-2</v>
      </c>
    </row>
    <row r="4661" spans="7:8" x14ac:dyDescent="0.3">
      <c r="G4661" s="24">
        <v>4649</v>
      </c>
      <c r="H4661">
        <f t="shared" ca="1" si="75"/>
        <v>5.7249977186800347E-2</v>
      </c>
    </row>
    <row r="4662" spans="7:8" x14ac:dyDescent="0.3">
      <c r="G4662" s="24">
        <v>4650</v>
      </c>
      <c r="H4662">
        <f t="shared" ca="1" si="75"/>
        <v>3.5468354441495237E-2</v>
      </c>
    </row>
    <row r="4663" spans="7:8" x14ac:dyDescent="0.3">
      <c r="G4663" s="24">
        <v>4651</v>
      </c>
      <c r="H4663">
        <f t="shared" ca="1" si="75"/>
        <v>-7.8317602229769204E-2</v>
      </c>
    </row>
    <row r="4664" spans="7:8" x14ac:dyDescent="0.3">
      <c r="G4664" s="24">
        <v>4652</v>
      </c>
      <c r="H4664">
        <f t="shared" ca="1" si="75"/>
        <v>9.5316198857789164E-2</v>
      </c>
    </row>
    <row r="4665" spans="7:8" x14ac:dyDescent="0.3">
      <c r="G4665" s="24">
        <v>4653</v>
      </c>
      <c r="H4665">
        <f t="shared" ca="1" si="75"/>
        <v>-4.0827771203214493E-2</v>
      </c>
    </row>
    <row r="4666" spans="7:8" x14ac:dyDescent="0.3">
      <c r="G4666" s="24">
        <v>4654</v>
      </c>
      <c r="H4666">
        <f t="shared" ca="1" si="75"/>
        <v>7.2036818736103209E-2</v>
      </c>
    </row>
    <row r="4667" spans="7:8" x14ac:dyDescent="0.3">
      <c r="G4667" s="24">
        <v>4655</v>
      </c>
      <c r="H4667">
        <f t="shared" ca="1" si="75"/>
        <v>-3.2308044582938573E-2</v>
      </c>
    </row>
    <row r="4668" spans="7:8" x14ac:dyDescent="0.3">
      <c r="G4668" s="24">
        <v>4656</v>
      </c>
      <c r="H4668">
        <f t="shared" ca="1" si="75"/>
        <v>-0.19213710936270298</v>
      </c>
    </row>
    <row r="4669" spans="7:8" x14ac:dyDescent="0.3">
      <c r="G4669" s="24">
        <v>4657</v>
      </c>
      <c r="H4669">
        <f t="shared" ca="1" si="75"/>
        <v>-0.10872269983602036</v>
      </c>
    </row>
    <row r="4670" spans="7:8" x14ac:dyDescent="0.3">
      <c r="G4670" s="24">
        <v>4658</v>
      </c>
      <c r="H4670">
        <f t="shared" ca="1" si="75"/>
        <v>-0.11135991510692271</v>
      </c>
    </row>
    <row r="4671" spans="7:8" x14ac:dyDescent="0.3">
      <c r="G4671" s="24">
        <v>4659</v>
      </c>
      <c r="H4671">
        <f t="shared" ca="1" si="75"/>
        <v>-1.6431752643625588E-2</v>
      </c>
    </row>
    <row r="4672" spans="7:8" x14ac:dyDescent="0.3">
      <c r="G4672" s="24">
        <v>4660</v>
      </c>
      <c r="H4672">
        <f t="shared" ca="1" si="75"/>
        <v>-4.2805039244964406E-2</v>
      </c>
    </row>
    <row r="4673" spans="7:8" x14ac:dyDescent="0.3">
      <c r="G4673" s="24">
        <v>4661</v>
      </c>
      <c r="H4673">
        <f t="shared" ca="1" si="75"/>
        <v>-5.6711044324805837E-2</v>
      </c>
    </row>
    <row r="4674" spans="7:8" x14ac:dyDescent="0.3">
      <c r="G4674" s="24">
        <v>4662</v>
      </c>
      <c r="H4674">
        <f t="shared" ca="1" si="75"/>
        <v>1.2476973111332251E-2</v>
      </c>
    </row>
    <row r="4675" spans="7:8" x14ac:dyDescent="0.3">
      <c r="G4675" s="24">
        <v>4663</v>
      </c>
      <c r="H4675">
        <f t="shared" ca="1" si="75"/>
        <v>-5.9443841181960791E-2</v>
      </c>
    </row>
    <row r="4676" spans="7:8" x14ac:dyDescent="0.3">
      <c r="G4676" s="24">
        <v>4664</v>
      </c>
      <c r="H4676">
        <f t="shared" ca="1" si="75"/>
        <v>-7.8856853051513437E-2</v>
      </c>
    </row>
    <row r="4677" spans="7:8" x14ac:dyDescent="0.3">
      <c r="G4677" s="24">
        <v>4665</v>
      </c>
      <c r="H4677">
        <f t="shared" ca="1" si="75"/>
        <v>9.3015974803435625E-2</v>
      </c>
    </row>
    <row r="4678" spans="7:8" x14ac:dyDescent="0.3">
      <c r="G4678" s="24">
        <v>4666</v>
      </c>
      <c r="H4678">
        <f t="shared" ca="1" si="75"/>
        <v>-3.2650606755564422E-2</v>
      </c>
    </row>
    <row r="4679" spans="7:8" x14ac:dyDescent="0.3">
      <c r="G4679" s="24">
        <v>4667</v>
      </c>
      <c r="H4679">
        <f t="shared" ca="1" si="75"/>
        <v>-8.3010061561260437E-2</v>
      </c>
    </row>
    <row r="4680" spans="7:8" x14ac:dyDescent="0.3">
      <c r="G4680" s="24">
        <v>4668</v>
      </c>
      <c r="H4680">
        <f t="shared" ca="1" si="75"/>
        <v>0.16329005611418343</v>
      </c>
    </row>
    <row r="4681" spans="7:8" x14ac:dyDescent="0.3">
      <c r="G4681" s="24">
        <v>4669</v>
      </c>
      <c r="H4681">
        <f t="shared" ca="1" si="75"/>
        <v>-8.5674449639723399E-2</v>
      </c>
    </row>
    <row r="4682" spans="7:8" x14ac:dyDescent="0.3">
      <c r="G4682" s="24">
        <v>4670</v>
      </c>
      <c r="H4682">
        <f t="shared" ca="1" si="75"/>
        <v>8.9810417158802426E-3</v>
      </c>
    </row>
    <row r="4683" spans="7:8" x14ac:dyDescent="0.3">
      <c r="G4683" s="24">
        <v>4671</v>
      </c>
      <c r="H4683">
        <f t="shared" ca="1" si="75"/>
        <v>8.1432382954282449E-3</v>
      </c>
    </row>
    <row r="4684" spans="7:8" x14ac:dyDescent="0.3">
      <c r="G4684" s="24">
        <v>4672</v>
      </c>
      <c r="H4684">
        <f t="shared" ca="1" si="75"/>
        <v>-9.1716980601922599E-2</v>
      </c>
    </row>
    <row r="4685" spans="7:8" x14ac:dyDescent="0.3">
      <c r="G4685" s="24">
        <v>4673</v>
      </c>
      <c r="H4685">
        <f t="shared" ca="1" si="75"/>
        <v>-9.0536689330057749E-2</v>
      </c>
    </row>
    <row r="4686" spans="7:8" x14ac:dyDescent="0.3">
      <c r="G4686" s="24">
        <v>4674</v>
      </c>
      <c r="H4686">
        <f t="shared" ref="H4686:H4749" ca="1" si="76">_xlfn.NORM.INV(RAND(),N$13,N$14)</f>
        <v>3.4120090110285529E-2</v>
      </c>
    </row>
    <row r="4687" spans="7:8" x14ac:dyDescent="0.3">
      <c r="G4687" s="24">
        <v>4675</v>
      </c>
      <c r="H4687">
        <f t="shared" ca="1" si="76"/>
        <v>8.2042794908072814E-2</v>
      </c>
    </row>
    <row r="4688" spans="7:8" x14ac:dyDescent="0.3">
      <c r="G4688" s="24">
        <v>4676</v>
      </c>
      <c r="H4688">
        <f t="shared" ca="1" si="76"/>
        <v>4.6400706855779024E-2</v>
      </c>
    </row>
    <row r="4689" spans="7:8" x14ac:dyDescent="0.3">
      <c r="G4689" s="24">
        <v>4677</v>
      </c>
      <c r="H4689">
        <f t="shared" ca="1" si="76"/>
        <v>-5.8270007759505589E-2</v>
      </c>
    </row>
    <row r="4690" spans="7:8" x14ac:dyDescent="0.3">
      <c r="G4690" s="24">
        <v>4678</v>
      </c>
      <c r="H4690">
        <f t="shared" ca="1" si="76"/>
        <v>4.1428282068164721E-2</v>
      </c>
    </row>
    <row r="4691" spans="7:8" x14ac:dyDescent="0.3">
      <c r="G4691" s="24">
        <v>4679</v>
      </c>
      <c r="H4691">
        <f t="shared" ca="1" si="76"/>
        <v>3.2385316499930823E-2</v>
      </c>
    </row>
    <row r="4692" spans="7:8" x14ac:dyDescent="0.3">
      <c r="G4692" s="24">
        <v>4680</v>
      </c>
      <c r="H4692">
        <f t="shared" ca="1" si="76"/>
        <v>8.3501913554564888E-3</v>
      </c>
    </row>
    <row r="4693" spans="7:8" x14ac:dyDescent="0.3">
      <c r="G4693" s="24">
        <v>4681</v>
      </c>
      <c r="H4693">
        <f t="shared" ca="1" si="76"/>
        <v>-6.3642852740966357E-2</v>
      </c>
    </row>
    <row r="4694" spans="7:8" x14ac:dyDescent="0.3">
      <c r="G4694" s="24">
        <v>4682</v>
      </c>
      <c r="H4694">
        <f t="shared" ca="1" si="76"/>
        <v>-6.4595716632178571E-2</v>
      </c>
    </row>
    <row r="4695" spans="7:8" x14ac:dyDescent="0.3">
      <c r="G4695" s="24">
        <v>4683</v>
      </c>
      <c r="H4695">
        <f t="shared" ca="1" si="76"/>
        <v>6.3425175564210165E-2</v>
      </c>
    </row>
    <row r="4696" spans="7:8" x14ac:dyDescent="0.3">
      <c r="G4696" s="24">
        <v>4684</v>
      </c>
      <c r="H4696">
        <f t="shared" ca="1" si="76"/>
        <v>-2.9321959658303424E-2</v>
      </c>
    </row>
    <row r="4697" spans="7:8" x14ac:dyDescent="0.3">
      <c r="G4697" s="24">
        <v>4685</v>
      </c>
      <c r="H4697">
        <f t="shared" ca="1" si="76"/>
        <v>-5.5302152007421571E-2</v>
      </c>
    </row>
    <row r="4698" spans="7:8" x14ac:dyDescent="0.3">
      <c r="G4698" s="24">
        <v>4686</v>
      </c>
      <c r="H4698">
        <f t="shared" ca="1" si="76"/>
        <v>0.13760244057155621</v>
      </c>
    </row>
    <row r="4699" spans="7:8" x14ac:dyDescent="0.3">
      <c r="G4699" s="24">
        <v>4687</v>
      </c>
      <c r="H4699">
        <f t="shared" ca="1" si="76"/>
        <v>-5.3224831565879226E-2</v>
      </c>
    </row>
    <row r="4700" spans="7:8" x14ac:dyDescent="0.3">
      <c r="G4700" s="24">
        <v>4688</v>
      </c>
      <c r="H4700">
        <f t="shared" ca="1" si="76"/>
        <v>5.1066635102488385E-2</v>
      </c>
    </row>
    <row r="4701" spans="7:8" x14ac:dyDescent="0.3">
      <c r="G4701" s="24">
        <v>4689</v>
      </c>
      <c r="H4701">
        <f t="shared" ca="1" si="76"/>
        <v>-5.6762546025810851E-2</v>
      </c>
    </row>
    <row r="4702" spans="7:8" x14ac:dyDescent="0.3">
      <c r="G4702" s="24">
        <v>4690</v>
      </c>
      <c r="H4702">
        <f t="shared" ca="1" si="76"/>
        <v>6.8591944192260779E-2</v>
      </c>
    </row>
    <row r="4703" spans="7:8" x14ac:dyDescent="0.3">
      <c r="G4703" s="24">
        <v>4691</v>
      </c>
      <c r="H4703">
        <f t="shared" ca="1" si="76"/>
        <v>-8.4666423261066156E-3</v>
      </c>
    </row>
    <row r="4704" spans="7:8" x14ac:dyDescent="0.3">
      <c r="G4704" s="24">
        <v>4692</v>
      </c>
      <c r="H4704">
        <f t="shared" ca="1" si="76"/>
        <v>1.4087893132137694E-2</v>
      </c>
    </row>
    <row r="4705" spans="7:8" x14ac:dyDescent="0.3">
      <c r="G4705" s="24">
        <v>4693</v>
      </c>
      <c r="H4705">
        <f t="shared" ca="1" si="76"/>
        <v>8.251750712290716E-2</v>
      </c>
    </row>
    <row r="4706" spans="7:8" x14ac:dyDescent="0.3">
      <c r="G4706" s="24">
        <v>4694</v>
      </c>
      <c r="H4706">
        <f t="shared" ca="1" si="76"/>
        <v>7.8836746924445714E-2</v>
      </c>
    </row>
    <row r="4707" spans="7:8" x14ac:dyDescent="0.3">
      <c r="G4707" s="24">
        <v>4695</v>
      </c>
      <c r="H4707">
        <f t="shared" ca="1" si="76"/>
        <v>-9.2153659275258371E-2</v>
      </c>
    </row>
    <row r="4708" spans="7:8" x14ac:dyDescent="0.3">
      <c r="G4708" s="24">
        <v>4696</v>
      </c>
      <c r="H4708">
        <f t="shared" ca="1" si="76"/>
        <v>1.2902381042327746E-2</v>
      </c>
    </row>
    <row r="4709" spans="7:8" x14ac:dyDescent="0.3">
      <c r="G4709" s="24">
        <v>4697</v>
      </c>
      <c r="H4709">
        <f t="shared" ca="1" si="76"/>
        <v>-8.7827571224604217E-2</v>
      </c>
    </row>
    <row r="4710" spans="7:8" x14ac:dyDescent="0.3">
      <c r="G4710" s="24">
        <v>4698</v>
      </c>
      <c r="H4710">
        <f t="shared" ca="1" si="76"/>
        <v>9.7988334160627605E-3</v>
      </c>
    </row>
    <row r="4711" spans="7:8" x14ac:dyDescent="0.3">
      <c r="G4711" s="24">
        <v>4699</v>
      </c>
      <c r="H4711">
        <f t="shared" ca="1" si="76"/>
        <v>3.1868617112812608E-2</v>
      </c>
    </row>
    <row r="4712" spans="7:8" x14ac:dyDescent="0.3">
      <c r="G4712" s="24">
        <v>4700</v>
      </c>
      <c r="H4712">
        <f t="shared" ca="1" si="76"/>
        <v>-0.12922862942336172</v>
      </c>
    </row>
    <row r="4713" spans="7:8" x14ac:dyDescent="0.3">
      <c r="G4713" s="24">
        <v>4701</v>
      </c>
      <c r="H4713">
        <f t="shared" ca="1" si="76"/>
        <v>-2.7094010856884839E-2</v>
      </c>
    </row>
    <row r="4714" spans="7:8" x14ac:dyDescent="0.3">
      <c r="G4714" s="24">
        <v>4702</v>
      </c>
      <c r="H4714">
        <f t="shared" ca="1" si="76"/>
        <v>-0.20421289096186801</v>
      </c>
    </row>
    <row r="4715" spans="7:8" x14ac:dyDescent="0.3">
      <c r="G4715" s="24">
        <v>4703</v>
      </c>
      <c r="H4715">
        <f t="shared" ca="1" si="76"/>
        <v>0.10559309879558985</v>
      </c>
    </row>
    <row r="4716" spans="7:8" x14ac:dyDescent="0.3">
      <c r="G4716" s="24">
        <v>4704</v>
      </c>
      <c r="H4716">
        <f t="shared" ca="1" si="76"/>
        <v>-3.5662657556074129E-3</v>
      </c>
    </row>
    <row r="4717" spans="7:8" x14ac:dyDescent="0.3">
      <c r="G4717" s="24">
        <v>4705</v>
      </c>
      <c r="H4717">
        <f t="shared" ca="1" si="76"/>
        <v>9.1664198667043423E-2</v>
      </c>
    </row>
    <row r="4718" spans="7:8" x14ac:dyDescent="0.3">
      <c r="G4718" s="24">
        <v>4706</v>
      </c>
      <c r="H4718">
        <f t="shared" ca="1" si="76"/>
        <v>-0.10482701892410051</v>
      </c>
    </row>
    <row r="4719" spans="7:8" x14ac:dyDescent="0.3">
      <c r="G4719" s="24">
        <v>4707</v>
      </c>
      <c r="H4719">
        <f t="shared" ca="1" si="76"/>
        <v>-5.7325150276390617E-2</v>
      </c>
    </row>
    <row r="4720" spans="7:8" x14ac:dyDescent="0.3">
      <c r="G4720" s="24">
        <v>4708</v>
      </c>
      <c r="H4720">
        <f t="shared" ca="1" si="76"/>
        <v>4.6128391482989965E-2</v>
      </c>
    </row>
    <row r="4721" spans="7:8" x14ac:dyDescent="0.3">
      <c r="G4721" s="24">
        <v>4709</v>
      </c>
      <c r="H4721">
        <f t="shared" ca="1" si="76"/>
        <v>5.6745975068396792E-2</v>
      </c>
    </row>
    <row r="4722" spans="7:8" x14ac:dyDescent="0.3">
      <c r="G4722" s="24">
        <v>4710</v>
      </c>
      <c r="H4722">
        <f t="shared" ca="1" si="76"/>
        <v>8.0255836812200082E-2</v>
      </c>
    </row>
    <row r="4723" spans="7:8" x14ac:dyDescent="0.3">
      <c r="G4723" s="24">
        <v>4711</v>
      </c>
      <c r="H4723">
        <f t="shared" ca="1" si="76"/>
        <v>-5.1284858499115196E-2</v>
      </c>
    </row>
    <row r="4724" spans="7:8" x14ac:dyDescent="0.3">
      <c r="G4724" s="24">
        <v>4712</v>
      </c>
      <c r="H4724">
        <f t="shared" ca="1" si="76"/>
        <v>-3.8341649729061733E-2</v>
      </c>
    </row>
    <row r="4725" spans="7:8" x14ac:dyDescent="0.3">
      <c r="G4725" s="24">
        <v>4713</v>
      </c>
      <c r="H4725">
        <f t="shared" ca="1" si="76"/>
        <v>9.4948186186194199E-3</v>
      </c>
    </row>
    <row r="4726" spans="7:8" x14ac:dyDescent="0.3">
      <c r="G4726" s="24">
        <v>4714</v>
      </c>
      <c r="H4726">
        <f t="shared" ca="1" si="76"/>
        <v>-8.3228439127973439E-2</v>
      </c>
    </row>
    <row r="4727" spans="7:8" x14ac:dyDescent="0.3">
      <c r="G4727" s="24">
        <v>4715</v>
      </c>
      <c r="H4727">
        <f t="shared" ca="1" si="76"/>
        <v>9.5918237379029034E-2</v>
      </c>
    </row>
    <row r="4728" spans="7:8" x14ac:dyDescent="0.3">
      <c r="G4728" s="24">
        <v>4716</v>
      </c>
      <c r="H4728">
        <f t="shared" ca="1" si="76"/>
        <v>-9.397023813021238E-2</v>
      </c>
    </row>
    <row r="4729" spans="7:8" x14ac:dyDescent="0.3">
      <c r="G4729" s="24">
        <v>4717</v>
      </c>
      <c r="H4729">
        <f t="shared" ca="1" si="76"/>
        <v>-7.9015339707568175E-2</v>
      </c>
    </row>
    <row r="4730" spans="7:8" x14ac:dyDescent="0.3">
      <c r="G4730" s="24">
        <v>4718</v>
      </c>
      <c r="H4730">
        <f t="shared" ca="1" si="76"/>
        <v>-3.9761157472170128E-2</v>
      </c>
    </row>
    <row r="4731" spans="7:8" x14ac:dyDescent="0.3">
      <c r="G4731" s="24">
        <v>4719</v>
      </c>
      <c r="H4731">
        <f t="shared" ca="1" si="76"/>
        <v>3.9761885114875471E-3</v>
      </c>
    </row>
    <row r="4732" spans="7:8" x14ac:dyDescent="0.3">
      <c r="G4732" s="24">
        <v>4720</v>
      </c>
      <c r="H4732">
        <f t="shared" ca="1" si="76"/>
        <v>6.0332075866764111E-2</v>
      </c>
    </row>
    <row r="4733" spans="7:8" x14ac:dyDescent="0.3">
      <c r="G4733" s="24">
        <v>4721</v>
      </c>
      <c r="H4733">
        <f t="shared" ca="1" si="76"/>
        <v>-1.4005996658970614E-2</v>
      </c>
    </row>
    <row r="4734" spans="7:8" x14ac:dyDescent="0.3">
      <c r="G4734" s="24">
        <v>4722</v>
      </c>
      <c r="H4734">
        <f t="shared" ca="1" si="76"/>
        <v>6.6316286995826788E-3</v>
      </c>
    </row>
    <row r="4735" spans="7:8" x14ac:dyDescent="0.3">
      <c r="G4735" s="24">
        <v>4723</v>
      </c>
      <c r="H4735">
        <f t="shared" ca="1" si="76"/>
        <v>-1.2557220728880727E-2</v>
      </c>
    </row>
    <row r="4736" spans="7:8" x14ac:dyDescent="0.3">
      <c r="G4736" s="24">
        <v>4724</v>
      </c>
      <c r="H4736">
        <f t="shared" ca="1" si="76"/>
        <v>5.4973587992094793E-2</v>
      </c>
    </row>
    <row r="4737" spans="7:8" x14ac:dyDescent="0.3">
      <c r="G4737" s="24">
        <v>4725</v>
      </c>
      <c r="H4737">
        <f t="shared" ca="1" si="76"/>
        <v>1.8245615619072678E-2</v>
      </c>
    </row>
    <row r="4738" spans="7:8" x14ac:dyDescent="0.3">
      <c r="G4738" s="24">
        <v>4726</v>
      </c>
      <c r="H4738">
        <f t="shared" ca="1" si="76"/>
        <v>-6.4855892666646625E-2</v>
      </c>
    </row>
    <row r="4739" spans="7:8" x14ac:dyDescent="0.3">
      <c r="G4739" s="24">
        <v>4727</v>
      </c>
      <c r="H4739">
        <f t="shared" ca="1" si="76"/>
        <v>4.8248055885761042E-3</v>
      </c>
    </row>
    <row r="4740" spans="7:8" x14ac:dyDescent="0.3">
      <c r="G4740" s="24">
        <v>4728</v>
      </c>
      <c r="H4740">
        <f t="shared" ca="1" si="76"/>
        <v>0.13713013630714763</v>
      </c>
    </row>
    <row r="4741" spans="7:8" x14ac:dyDescent="0.3">
      <c r="G4741" s="24">
        <v>4729</v>
      </c>
      <c r="H4741">
        <f t="shared" ca="1" si="76"/>
        <v>0.14633288544468701</v>
      </c>
    </row>
    <row r="4742" spans="7:8" x14ac:dyDescent="0.3">
      <c r="G4742" s="24">
        <v>4730</v>
      </c>
      <c r="H4742">
        <f t="shared" ca="1" si="76"/>
        <v>-3.6310370222907028E-2</v>
      </c>
    </row>
    <row r="4743" spans="7:8" x14ac:dyDescent="0.3">
      <c r="G4743" s="24">
        <v>4731</v>
      </c>
      <c r="H4743">
        <f t="shared" ca="1" si="76"/>
        <v>6.2175004105704056E-2</v>
      </c>
    </row>
    <row r="4744" spans="7:8" x14ac:dyDescent="0.3">
      <c r="G4744" s="24">
        <v>4732</v>
      </c>
      <c r="H4744">
        <f t="shared" ca="1" si="76"/>
        <v>-4.1296442399576111E-2</v>
      </c>
    </row>
    <row r="4745" spans="7:8" x14ac:dyDescent="0.3">
      <c r="G4745" s="24">
        <v>4733</v>
      </c>
      <c r="H4745">
        <f t="shared" ca="1" si="76"/>
        <v>-3.2399129341658273E-5</v>
      </c>
    </row>
    <row r="4746" spans="7:8" x14ac:dyDescent="0.3">
      <c r="G4746" s="24">
        <v>4734</v>
      </c>
      <c r="H4746">
        <f t="shared" ca="1" si="76"/>
        <v>-6.1586148367611983E-2</v>
      </c>
    </row>
    <row r="4747" spans="7:8" x14ac:dyDescent="0.3">
      <c r="G4747" s="24">
        <v>4735</v>
      </c>
      <c r="H4747">
        <f t="shared" ca="1" si="76"/>
        <v>-1.5899344069825124E-2</v>
      </c>
    </row>
    <row r="4748" spans="7:8" x14ac:dyDescent="0.3">
      <c r="G4748" s="24">
        <v>4736</v>
      </c>
      <c r="H4748">
        <f t="shared" ca="1" si="76"/>
        <v>3.808369314043538E-2</v>
      </c>
    </row>
    <row r="4749" spans="7:8" x14ac:dyDescent="0.3">
      <c r="G4749" s="24">
        <v>4737</v>
      </c>
      <c r="H4749">
        <f t="shared" ca="1" si="76"/>
        <v>-5.2439787476146235E-2</v>
      </c>
    </row>
    <row r="4750" spans="7:8" x14ac:dyDescent="0.3">
      <c r="G4750" s="24">
        <v>4738</v>
      </c>
      <c r="H4750">
        <f t="shared" ref="H4750:H4813" ca="1" si="77">_xlfn.NORM.INV(RAND(),N$13,N$14)</f>
        <v>-6.6245590952112424E-2</v>
      </c>
    </row>
    <row r="4751" spans="7:8" x14ac:dyDescent="0.3">
      <c r="G4751" s="24">
        <v>4739</v>
      </c>
      <c r="H4751">
        <f t="shared" ca="1" si="77"/>
        <v>-8.6354464942472772E-2</v>
      </c>
    </row>
    <row r="4752" spans="7:8" x14ac:dyDescent="0.3">
      <c r="G4752" s="24">
        <v>4740</v>
      </c>
      <c r="H4752">
        <f t="shared" ca="1" si="77"/>
        <v>-6.951860316742528E-2</v>
      </c>
    </row>
    <row r="4753" spans="7:8" x14ac:dyDescent="0.3">
      <c r="G4753" s="24">
        <v>4741</v>
      </c>
      <c r="H4753">
        <f t="shared" ca="1" si="77"/>
        <v>3.0725389156050952E-2</v>
      </c>
    </row>
    <row r="4754" spans="7:8" x14ac:dyDescent="0.3">
      <c r="G4754" s="24">
        <v>4742</v>
      </c>
      <c r="H4754">
        <f t="shared" ca="1" si="77"/>
        <v>6.5106615244513152E-2</v>
      </c>
    </row>
    <row r="4755" spans="7:8" x14ac:dyDescent="0.3">
      <c r="G4755" s="24">
        <v>4743</v>
      </c>
      <c r="H4755">
        <f t="shared" ca="1" si="77"/>
        <v>2.0980297245721313E-2</v>
      </c>
    </row>
    <row r="4756" spans="7:8" x14ac:dyDescent="0.3">
      <c r="G4756" s="24">
        <v>4744</v>
      </c>
      <c r="H4756">
        <f t="shared" ca="1" si="77"/>
        <v>-7.3633765973985577E-2</v>
      </c>
    </row>
    <row r="4757" spans="7:8" x14ac:dyDescent="0.3">
      <c r="G4757" s="24">
        <v>4745</v>
      </c>
      <c r="H4757">
        <f t="shared" ca="1" si="77"/>
        <v>0.14284934499638416</v>
      </c>
    </row>
    <row r="4758" spans="7:8" x14ac:dyDescent="0.3">
      <c r="G4758" s="24">
        <v>4746</v>
      </c>
      <c r="H4758">
        <f t="shared" ca="1" si="77"/>
        <v>-4.9302549779234567E-2</v>
      </c>
    </row>
    <row r="4759" spans="7:8" x14ac:dyDescent="0.3">
      <c r="G4759" s="24">
        <v>4747</v>
      </c>
      <c r="H4759">
        <f t="shared" ca="1" si="77"/>
        <v>4.9836500488333955E-2</v>
      </c>
    </row>
    <row r="4760" spans="7:8" x14ac:dyDescent="0.3">
      <c r="G4760" s="24">
        <v>4748</v>
      </c>
      <c r="H4760">
        <f t="shared" ca="1" si="77"/>
        <v>-1.0098175082682504E-2</v>
      </c>
    </row>
    <row r="4761" spans="7:8" x14ac:dyDescent="0.3">
      <c r="G4761" s="24">
        <v>4749</v>
      </c>
      <c r="H4761">
        <f t="shared" ca="1" si="77"/>
        <v>-0.14363033198417657</v>
      </c>
    </row>
    <row r="4762" spans="7:8" x14ac:dyDescent="0.3">
      <c r="G4762" s="24">
        <v>4750</v>
      </c>
      <c r="H4762">
        <f t="shared" ca="1" si="77"/>
        <v>-2.6760295331701909E-2</v>
      </c>
    </row>
    <row r="4763" spans="7:8" x14ac:dyDescent="0.3">
      <c r="G4763" s="24">
        <v>4751</v>
      </c>
      <c r="H4763">
        <f t="shared" ca="1" si="77"/>
        <v>-5.0481321386747359E-2</v>
      </c>
    </row>
    <row r="4764" spans="7:8" x14ac:dyDescent="0.3">
      <c r="G4764" s="24">
        <v>4752</v>
      </c>
      <c r="H4764">
        <f t="shared" ca="1" si="77"/>
        <v>9.723661490591802E-2</v>
      </c>
    </row>
    <row r="4765" spans="7:8" x14ac:dyDescent="0.3">
      <c r="G4765" s="24">
        <v>4753</v>
      </c>
      <c r="H4765">
        <f t="shared" ca="1" si="77"/>
        <v>-0.11299645794085957</v>
      </c>
    </row>
    <row r="4766" spans="7:8" x14ac:dyDescent="0.3">
      <c r="G4766" s="24">
        <v>4754</v>
      </c>
      <c r="H4766">
        <f t="shared" ca="1" si="77"/>
        <v>9.2064751298443062E-2</v>
      </c>
    </row>
    <row r="4767" spans="7:8" x14ac:dyDescent="0.3">
      <c r="G4767" s="24">
        <v>4755</v>
      </c>
      <c r="H4767">
        <f t="shared" ca="1" si="77"/>
        <v>0.11521008327736054</v>
      </c>
    </row>
    <row r="4768" spans="7:8" x14ac:dyDescent="0.3">
      <c r="G4768" s="24">
        <v>4756</v>
      </c>
      <c r="H4768">
        <f t="shared" ca="1" si="77"/>
        <v>-4.5828274731587737E-2</v>
      </c>
    </row>
    <row r="4769" spans="7:8" x14ac:dyDescent="0.3">
      <c r="G4769" s="24">
        <v>4757</v>
      </c>
      <c r="H4769">
        <f t="shared" ca="1" si="77"/>
        <v>-3.2004674431222936E-2</v>
      </c>
    </row>
    <row r="4770" spans="7:8" x14ac:dyDescent="0.3">
      <c r="G4770" s="24">
        <v>4758</v>
      </c>
      <c r="H4770">
        <f t="shared" ca="1" si="77"/>
        <v>6.7926889834600667E-3</v>
      </c>
    </row>
    <row r="4771" spans="7:8" x14ac:dyDescent="0.3">
      <c r="G4771" s="24">
        <v>4759</v>
      </c>
      <c r="H4771">
        <f t="shared" ca="1" si="77"/>
        <v>1.3218553191763367E-3</v>
      </c>
    </row>
    <row r="4772" spans="7:8" x14ac:dyDescent="0.3">
      <c r="G4772" s="24">
        <v>4760</v>
      </c>
      <c r="H4772">
        <f t="shared" ca="1" si="77"/>
        <v>3.7366039788799661E-2</v>
      </c>
    </row>
    <row r="4773" spans="7:8" x14ac:dyDescent="0.3">
      <c r="G4773" s="24">
        <v>4761</v>
      </c>
      <c r="H4773">
        <f t="shared" ca="1" si="77"/>
        <v>0.14623812295060842</v>
      </c>
    </row>
    <row r="4774" spans="7:8" x14ac:dyDescent="0.3">
      <c r="G4774" s="24">
        <v>4762</v>
      </c>
      <c r="H4774">
        <f t="shared" ca="1" si="77"/>
        <v>1.1719629775362655E-2</v>
      </c>
    </row>
    <row r="4775" spans="7:8" x14ac:dyDescent="0.3">
      <c r="G4775" s="24">
        <v>4763</v>
      </c>
      <c r="H4775">
        <f t="shared" ca="1" si="77"/>
        <v>-0.13905837933595111</v>
      </c>
    </row>
    <row r="4776" spans="7:8" x14ac:dyDescent="0.3">
      <c r="G4776" s="24">
        <v>4764</v>
      </c>
      <c r="H4776">
        <f t="shared" ca="1" si="77"/>
        <v>2.6380721426303464E-2</v>
      </c>
    </row>
    <row r="4777" spans="7:8" x14ac:dyDescent="0.3">
      <c r="G4777" s="24">
        <v>4765</v>
      </c>
      <c r="H4777">
        <f t="shared" ca="1" si="77"/>
        <v>8.7792760427877939E-2</v>
      </c>
    </row>
    <row r="4778" spans="7:8" x14ac:dyDescent="0.3">
      <c r="G4778" s="24">
        <v>4766</v>
      </c>
      <c r="H4778">
        <f t="shared" ca="1" si="77"/>
        <v>4.7864817841977395E-2</v>
      </c>
    </row>
    <row r="4779" spans="7:8" x14ac:dyDescent="0.3">
      <c r="G4779" s="24">
        <v>4767</v>
      </c>
      <c r="H4779">
        <f t="shared" ca="1" si="77"/>
        <v>7.5196934564423584E-2</v>
      </c>
    </row>
    <row r="4780" spans="7:8" x14ac:dyDescent="0.3">
      <c r="G4780" s="24">
        <v>4768</v>
      </c>
      <c r="H4780">
        <f t="shared" ca="1" si="77"/>
        <v>5.2737354838241109E-2</v>
      </c>
    </row>
    <row r="4781" spans="7:8" x14ac:dyDescent="0.3">
      <c r="G4781" s="24">
        <v>4769</v>
      </c>
      <c r="H4781">
        <f t="shared" ca="1" si="77"/>
        <v>4.7651245700714967E-2</v>
      </c>
    </row>
    <row r="4782" spans="7:8" x14ac:dyDescent="0.3">
      <c r="G4782" s="24">
        <v>4770</v>
      </c>
      <c r="H4782">
        <f t="shared" ca="1" si="77"/>
        <v>7.8708670751222315E-2</v>
      </c>
    </row>
    <row r="4783" spans="7:8" x14ac:dyDescent="0.3">
      <c r="G4783" s="24">
        <v>4771</v>
      </c>
      <c r="H4783">
        <f t="shared" ca="1" si="77"/>
        <v>-3.893695973622429E-2</v>
      </c>
    </row>
    <row r="4784" spans="7:8" x14ac:dyDescent="0.3">
      <c r="G4784" s="24">
        <v>4772</v>
      </c>
      <c r="H4784">
        <f t="shared" ca="1" si="77"/>
        <v>0.14635193470239083</v>
      </c>
    </row>
    <row r="4785" spans="7:8" x14ac:dyDescent="0.3">
      <c r="G4785" s="24">
        <v>4773</v>
      </c>
      <c r="H4785">
        <f t="shared" ca="1" si="77"/>
        <v>9.7236198107828159E-2</v>
      </c>
    </row>
    <row r="4786" spans="7:8" x14ac:dyDescent="0.3">
      <c r="G4786" s="24">
        <v>4774</v>
      </c>
      <c r="H4786">
        <f t="shared" ca="1" si="77"/>
        <v>-6.6972737740006505E-2</v>
      </c>
    </row>
    <row r="4787" spans="7:8" x14ac:dyDescent="0.3">
      <c r="G4787" s="24">
        <v>4775</v>
      </c>
      <c r="H4787">
        <f t="shared" ca="1" si="77"/>
        <v>2.7143743241081826E-2</v>
      </c>
    </row>
    <row r="4788" spans="7:8" x14ac:dyDescent="0.3">
      <c r="G4788" s="24">
        <v>4776</v>
      </c>
      <c r="H4788">
        <f t="shared" ca="1" si="77"/>
        <v>-0.10038607533753348</v>
      </c>
    </row>
    <row r="4789" spans="7:8" x14ac:dyDescent="0.3">
      <c r="G4789" s="24">
        <v>4777</v>
      </c>
      <c r="H4789">
        <f t="shared" ca="1" si="77"/>
        <v>7.250209367637904E-2</v>
      </c>
    </row>
    <row r="4790" spans="7:8" x14ac:dyDescent="0.3">
      <c r="G4790" s="24">
        <v>4778</v>
      </c>
      <c r="H4790">
        <f t="shared" ca="1" si="77"/>
        <v>9.2092840277297437E-3</v>
      </c>
    </row>
    <row r="4791" spans="7:8" x14ac:dyDescent="0.3">
      <c r="G4791" s="24">
        <v>4779</v>
      </c>
      <c r="H4791">
        <f t="shared" ca="1" si="77"/>
        <v>4.4206502713880803E-2</v>
      </c>
    </row>
    <row r="4792" spans="7:8" x14ac:dyDescent="0.3">
      <c r="G4792" s="24">
        <v>4780</v>
      </c>
      <c r="H4792">
        <f t="shared" ca="1" si="77"/>
        <v>-0.16417973501123026</v>
      </c>
    </row>
    <row r="4793" spans="7:8" x14ac:dyDescent="0.3">
      <c r="G4793" s="24">
        <v>4781</v>
      </c>
      <c r="H4793">
        <f t="shared" ca="1" si="77"/>
        <v>-1.1061886285264963E-2</v>
      </c>
    </row>
    <row r="4794" spans="7:8" x14ac:dyDescent="0.3">
      <c r="G4794" s="24">
        <v>4782</v>
      </c>
      <c r="H4794">
        <f t="shared" ca="1" si="77"/>
        <v>-3.894098962900195E-2</v>
      </c>
    </row>
    <row r="4795" spans="7:8" x14ac:dyDescent="0.3">
      <c r="G4795" s="24">
        <v>4783</v>
      </c>
      <c r="H4795">
        <f t="shared" ca="1" si="77"/>
        <v>-5.7829025876810998E-2</v>
      </c>
    </row>
    <row r="4796" spans="7:8" x14ac:dyDescent="0.3">
      <c r="G4796" s="24">
        <v>4784</v>
      </c>
      <c r="H4796">
        <f t="shared" ca="1" si="77"/>
        <v>-2.2468508864853853E-2</v>
      </c>
    </row>
    <row r="4797" spans="7:8" x14ac:dyDescent="0.3">
      <c r="G4797" s="24">
        <v>4785</v>
      </c>
      <c r="H4797">
        <f t="shared" ca="1" si="77"/>
        <v>-2.0783594100130979E-2</v>
      </c>
    </row>
    <row r="4798" spans="7:8" x14ac:dyDescent="0.3">
      <c r="G4798" s="24">
        <v>4786</v>
      </c>
      <c r="H4798">
        <f t="shared" ca="1" si="77"/>
        <v>-1.5193137772751546E-2</v>
      </c>
    </row>
    <row r="4799" spans="7:8" x14ac:dyDescent="0.3">
      <c r="G4799" s="24">
        <v>4787</v>
      </c>
      <c r="H4799">
        <f t="shared" ca="1" si="77"/>
        <v>6.5364368352216831E-2</v>
      </c>
    </row>
    <row r="4800" spans="7:8" x14ac:dyDescent="0.3">
      <c r="G4800" s="24">
        <v>4788</v>
      </c>
      <c r="H4800">
        <f t="shared" ca="1" si="77"/>
        <v>-3.469153000452399E-2</v>
      </c>
    </row>
    <row r="4801" spans="7:8" x14ac:dyDescent="0.3">
      <c r="G4801" s="24">
        <v>4789</v>
      </c>
      <c r="H4801">
        <f t="shared" ca="1" si="77"/>
        <v>2.6245820309904119E-2</v>
      </c>
    </row>
    <row r="4802" spans="7:8" x14ac:dyDescent="0.3">
      <c r="G4802" s="24">
        <v>4790</v>
      </c>
      <c r="H4802">
        <f t="shared" ca="1" si="77"/>
        <v>6.4519083295401514E-3</v>
      </c>
    </row>
    <row r="4803" spans="7:8" x14ac:dyDescent="0.3">
      <c r="G4803" s="24">
        <v>4791</v>
      </c>
      <c r="H4803">
        <f t="shared" ca="1" si="77"/>
        <v>5.4292702455985858E-2</v>
      </c>
    </row>
    <row r="4804" spans="7:8" x14ac:dyDescent="0.3">
      <c r="G4804" s="24">
        <v>4792</v>
      </c>
      <c r="H4804">
        <f t="shared" ca="1" si="77"/>
        <v>0.12392327303726849</v>
      </c>
    </row>
    <row r="4805" spans="7:8" x14ac:dyDescent="0.3">
      <c r="G4805" s="24">
        <v>4793</v>
      </c>
      <c r="H4805">
        <f t="shared" ca="1" si="77"/>
        <v>7.8772157279418178E-3</v>
      </c>
    </row>
    <row r="4806" spans="7:8" x14ac:dyDescent="0.3">
      <c r="G4806" s="24">
        <v>4794</v>
      </c>
      <c r="H4806">
        <f t="shared" ca="1" si="77"/>
        <v>-8.8480157813514204E-2</v>
      </c>
    </row>
    <row r="4807" spans="7:8" x14ac:dyDescent="0.3">
      <c r="G4807" s="24">
        <v>4795</v>
      </c>
      <c r="H4807">
        <f t="shared" ca="1" si="77"/>
        <v>-6.7780045136332664E-2</v>
      </c>
    </row>
    <row r="4808" spans="7:8" x14ac:dyDescent="0.3">
      <c r="G4808" s="24">
        <v>4796</v>
      </c>
      <c r="H4808">
        <f t="shared" ca="1" si="77"/>
        <v>5.0626012515426339E-2</v>
      </c>
    </row>
    <row r="4809" spans="7:8" x14ac:dyDescent="0.3">
      <c r="G4809" s="24">
        <v>4797</v>
      </c>
      <c r="H4809">
        <f t="shared" ca="1" si="77"/>
        <v>2.8416456364924191E-2</v>
      </c>
    </row>
    <row r="4810" spans="7:8" x14ac:dyDescent="0.3">
      <c r="G4810" s="24">
        <v>4798</v>
      </c>
      <c r="H4810">
        <f t="shared" ca="1" si="77"/>
        <v>-0.10159333814354328</v>
      </c>
    </row>
    <row r="4811" spans="7:8" x14ac:dyDescent="0.3">
      <c r="G4811" s="24">
        <v>4799</v>
      </c>
      <c r="H4811">
        <f t="shared" ca="1" si="77"/>
        <v>0.10614022603004428</v>
      </c>
    </row>
    <row r="4812" spans="7:8" x14ac:dyDescent="0.3">
      <c r="G4812" s="24">
        <v>4800</v>
      </c>
      <c r="H4812">
        <f t="shared" ca="1" si="77"/>
        <v>4.8243781077433052E-2</v>
      </c>
    </row>
    <row r="4813" spans="7:8" x14ac:dyDescent="0.3">
      <c r="G4813" s="24">
        <v>4801</v>
      </c>
      <c r="H4813">
        <f t="shared" ca="1" si="77"/>
        <v>-2.5018621541540463E-2</v>
      </c>
    </row>
    <row r="4814" spans="7:8" x14ac:dyDescent="0.3">
      <c r="G4814" s="24">
        <v>4802</v>
      </c>
      <c r="H4814">
        <f t="shared" ref="H4814:H4877" ca="1" si="78">_xlfn.NORM.INV(RAND(),N$13,N$14)</f>
        <v>8.8367605180785083E-2</v>
      </c>
    </row>
    <row r="4815" spans="7:8" x14ac:dyDescent="0.3">
      <c r="G4815" s="24">
        <v>4803</v>
      </c>
      <c r="H4815">
        <f t="shared" ca="1" si="78"/>
        <v>-3.3112572709122157E-2</v>
      </c>
    </row>
    <row r="4816" spans="7:8" x14ac:dyDescent="0.3">
      <c r="G4816" s="24">
        <v>4804</v>
      </c>
      <c r="H4816">
        <f t="shared" ca="1" si="78"/>
        <v>-5.8690874189267703E-2</v>
      </c>
    </row>
    <row r="4817" spans="7:8" x14ac:dyDescent="0.3">
      <c r="G4817" s="24">
        <v>4805</v>
      </c>
      <c r="H4817">
        <f t="shared" ca="1" si="78"/>
        <v>-0.11243783367344198</v>
      </c>
    </row>
    <row r="4818" spans="7:8" x14ac:dyDescent="0.3">
      <c r="G4818" s="24">
        <v>4806</v>
      </c>
      <c r="H4818">
        <f t="shared" ca="1" si="78"/>
        <v>2.4895428169324083E-2</v>
      </c>
    </row>
    <row r="4819" spans="7:8" x14ac:dyDescent="0.3">
      <c r="G4819" s="24">
        <v>4807</v>
      </c>
      <c r="H4819">
        <f t="shared" ca="1" si="78"/>
        <v>6.4551090860806001E-2</v>
      </c>
    </row>
    <row r="4820" spans="7:8" x14ac:dyDescent="0.3">
      <c r="G4820" s="24">
        <v>4808</v>
      </c>
      <c r="H4820">
        <f t="shared" ca="1" si="78"/>
        <v>4.2525318360111371E-2</v>
      </c>
    </row>
    <row r="4821" spans="7:8" x14ac:dyDescent="0.3">
      <c r="G4821" s="24">
        <v>4809</v>
      </c>
      <c r="H4821">
        <f t="shared" ca="1" si="78"/>
        <v>-0.10672422056227858</v>
      </c>
    </row>
    <row r="4822" spans="7:8" x14ac:dyDescent="0.3">
      <c r="G4822" s="24">
        <v>4810</v>
      </c>
      <c r="H4822">
        <f t="shared" ca="1" si="78"/>
        <v>3.221690091114135E-2</v>
      </c>
    </row>
    <row r="4823" spans="7:8" x14ac:dyDescent="0.3">
      <c r="G4823" s="24">
        <v>4811</v>
      </c>
      <c r="H4823">
        <f t="shared" ca="1" si="78"/>
        <v>-5.9837538180007338E-2</v>
      </c>
    </row>
    <row r="4824" spans="7:8" x14ac:dyDescent="0.3">
      <c r="G4824" s="24">
        <v>4812</v>
      </c>
      <c r="H4824">
        <f t="shared" ca="1" si="78"/>
        <v>-6.6227627414078089E-2</v>
      </c>
    </row>
    <row r="4825" spans="7:8" x14ac:dyDescent="0.3">
      <c r="G4825" s="24">
        <v>4813</v>
      </c>
      <c r="H4825">
        <f t="shared" ca="1" si="78"/>
        <v>5.3472314645197569E-2</v>
      </c>
    </row>
    <row r="4826" spans="7:8" x14ac:dyDescent="0.3">
      <c r="G4826" s="24">
        <v>4814</v>
      </c>
      <c r="H4826">
        <f t="shared" ca="1" si="78"/>
        <v>4.2638213223274518E-2</v>
      </c>
    </row>
    <row r="4827" spans="7:8" x14ac:dyDescent="0.3">
      <c r="G4827" s="24">
        <v>4815</v>
      </c>
      <c r="H4827">
        <f t="shared" ca="1" si="78"/>
        <v>9.8202542297881654E-2</v>
      </c>
    </row>
    <row r="4828" spans="7:8" x14ac:dyDescent="0.3">
      <c r="G4828" s="24">
        <v>4816</v>
      </c>
      <c r="H4828">
        <f t="shared" ca="1" si="78"/>
        <v>-3.8375155019899299E-2</v>
      </c>
    </row>
    <row r="4829" spans="7:8" x14ac:dyDescent="0.3">
      <c r="G4829" s="24">
        <v>4817</v>
      </c>
      <c r="H4829">
        <f t="shared" ca="1" si="78"/>
        <v>0.10326351984662344</v>
      </c>
    </row>
    <row r="4830" spans="7:8" x14ac:dyDescent="0.3">
      <c r="G4830" s="24">
        <v>4818</v>
      </c>
      <c r="H4830">
        <f t="shared" ca="1" si="78"/>
        <v>3.2694270172168319E-2</v>
      </c>
    </row>
    <row r="4831" spans="7:8" x14ac:dyDescent="0.3">
      <c r="G4831" s="24">
        <v>4819</v>
      </c>
      <c r="H4831">
        <f t="shared" ca="1" si="78"/>
        <v>1.0140288545072132E-2</v>
      </c>
    </row>
    <row r="4832" spans="7:8" x14ac:dyDescent="0.3">
      <c r="G4832" s="24">
        <v>4820</v>
      </c>
      <c r="H4832">
        <f t="shared" ca="1" si="78"/>
        <v>3.583565921980051E-2</v>
      </c>
    </row>
    <row r="4833" spans="7:8" x14ac:dyDescent="0.3">
      <c r="G4833" s="24">
        <v>4821</v>
      </c>
      <c r="H4833">
        <f t="shared" ca="1" si="78"/>
        <v>2.9806795010243772E-2</v>
      </c>
    </row>
    <row r="4834" spans="7:8" x14ac:dyDescent="0.3">
      <c r="G4834" s="24">
        <v>4822</v>
      </c>
      <c r="H4834">
        <f t="shared" ca="1" si="78"/>
        <v>3.2204619363580482E-2</v>
      </c>
    </row>
    <row r="4835" spans="7:8" x14ac:dyDescent="0.3">
      <c r="G4835" s="24">
        <v>4823</v>
      </c>
      <c r="H4835">
        <f t="shared" ca="1" si="78"/>
        <v>2.1701300628065186E-2</v>
      </c>
    </row>
    <row r="4836" spans="7:8" x14ac:dyDescent="0.3">
      <c r="G4836" s="24">
        <v>4824</v>
      </c>
      <c r="H4836">
        <f t="shared" ca="1" si="78"/>
        <v>3.0006665028670731E-2</v>
      </c>
    </row>
    <row r="4837" spans="7:8" x14ac:dyDescent="0.3">
      <c r="G4837" s="24">
        <v>4825</v>
      </c>
      <c r="H4837">
        <f t="shared" ca="1" si="78"/>
        <v>-0.10993145911008091</v>
      </c>
    </row>
    <row r="4838" spans="7:8" x14ac:dyDescent="0.3">
      <c r="G4838" s="24">
        <v>4826</v>
      </c>
      <c r="H4838">
        <f t="shared" ca="1" si="78"/>
        <v>0.11834731843579772</v>
      </c>
    </row>
    <row r="4839" spans="7:8" x14ac:dyDescent="0.3">
      <c r="G4839" s="24">
        <v>4827</v>
      </c>
      <c r="H4839">
        <f t="shared" ca="1" si="78"/>
        <v>9.5806915611247826E-3</v>
      </c>
    </row>
    <row r="4840" spans="7:8" x14ac:dyDescent="0.3">
      <c r="G4840" s="24">
        <v>4828</v>
      </c>
      <c r="H4840">
        <f t="shared" ca="1" si="78"/>
        <v>-1.0607058257920311E-2</v>
      </c>
    </row>
    <row r="4841" spans="7:8" x14ac:dyDescent="0.3">
      <c r="G4841" s="24">
        <v>4829</v>
      </c>
      <c r="H4841">
        <f t="shared" ca="1" si="78"/>
        <v>1.0139682221537091E-2</v>
      </c>
    </row>
    <row r="4842" spans="7:8" x14ac:dyDescent="0.3">
      <c r="G4842" s="24">
        <v>4830</v>
      </c>
      <c r="H4842">
        <f t="shared" ca="1" si="78"/>
        <v>-3.9804533519241077E-2</v>
      </c>
    </row>
    <row r="4843" spans="7:8" x14ac:dyDescent="0.3">
      <c r="G4843" s="24">
        <v>4831</v>
      </c>
      <c r="H4843">
        <f t="shared" ca="1" si="78"/>
        <v>-1.4013371611676095E-2</v>
      </c>
    </row>
    <row r="4844" spans="7:8" x14ac:dyDescent="0.3">
      <c r="G4844" s="24">
        <v>4832</v>
      </c>
      <c r="H4844">
        <f t="shared" ca="1" si="78"/>
        <v>1.4080366659002506E-2</v>
      </c>
    </row>
    <row r="4845" spans="7:8" x14ac:dyDescent="0.3">
      <c r="G4845" s="24">
        <v>4833</v>
      </c>
      <c r="H4845">
        <f t="shared" ca="1" si="78"/>
        <v>9.0038378332861532E-2</v>
      </c>
    </row>
    <row r="4846" spans="7:8" x14ac:dyDescent="0.3">
      <c r="G4846" s="24">
        <v>4834</v>
      </c>
      <c r="H4846">
        <f t="shared" ca="1" si="78"/>
        <v>2.7396957747099979E-2</v>
      </c>
    </row>
    <row r="4847" spans="7:8" x14ac:dyDescent="0.3">
      <c r="G4847" s="24">
        <v>4835</v>
      </c>
      <c r="H4847">
        <f t="shared" ca="1" si="78"/>
        <v>7.6644238801202857E-2</v>
      </c>
    </row>
    <row r="4848" spans="7:8" x14ac:dyDescent="0.3">
      <c r="G4848" s="24">
        <v>4836</v>
      </c>
      <c r="H4848">
        <f t="shared" ca="1" si="78"/>
        <v>-3.2491681509823921E-2</v>
      </c>
    </row>
    <row r="4849" spans="7:8" x14ac:dyDescent="0.3">
      <c r="G4849" s="24">
        <v>4837</v>
      </c>
      <c r="H4849">
        <f t="shared" ca="1" si="78"/>
        <v>0.10169622969414699</v>
      </c>
    </row>
    <row r="4850" spans="7:8" x14ac:dyDescent="0.3">
      <c r="G4850" s="24">
        <v>4838</v>
      </c>
      <c r="H4850">
        <f t="shared" ca="1" si="78"/>
        <v>0.1149738951722553</v>
      </c>
    </row>
    <row r="4851" spans="7:8" x14ac:dyDescent="0.3">
      <c r="G4851" s="24">
        <v>4839</v>
      </c>
      <c r="H4851">
        <f t="shared" ca="1" si="78"/>
        <v>-2.2447551921769841E-2</v>
      </c>
    </row>
    <row r="4852" spans="7:8" x14ac:dyDescent="0.3">
      <c r="G4852" s="24">
        <v>4840</v>
      </c>
      <c r="H4852">
        <f t="shared" ca="1" si="78"/>
        <v>0.14757714891012888</v>
      </c>
    </row>
    <row r="4853" spans="7:8" x14ac:dyDescent="0.3">
      <c r="G4853" s="24">
        <v>4841</v>
      </c>
      <c r="H4853">
        <f t="shared" ca="1" si="78"/>
        <v>5.5353716036732805E-3</v>
      </c>
    </row>
    <row r="4854" spans="7:8" x14ac:dyDescent="0.3">
      <c r="G4854" s="24">
        <v>4842</v>
      </c>
      <c r="H4854">
        <f t="shared" ca="1" si="78"/>
        <v>-5.8546829369267868E-2</v>
      </c>
    </row>
    <row r="4855" spans="7:8" x14ac:dyDescent="0.3">
      <c r="G4855" s="24">
        <v>4843</v>
      </c>
      <c r="H4855">
        <f t="shared" ca="1" si="78"/>
        <v>1.9497384677286528E-2</v>
      </c>
    </row>
    <row r="4856" spans="7:8" x14ac:dyDescent="0.3">
      <c r="G4856" s="24">
        <v>4844</v>
      </c>
      <c r="H4856">
        <f t="shared" ca="1" si="78"/>
        <v>-8.1982827633094613E-2</v>
      </c>
    </row>
    <row r="4857" spans="7:8" x14ac:dyDescent="0.3">
      <c r="G4857" s="24">
        <v>4845</v>
      </c>
      <c r="H4857">
        <f t="shared" ca="1" si="78"/>
        <v>-7.9424589639317603E-2</v>
      </c>
    </row>
    <row r="4858" spans="7:8" x14ac:dyDescent="0.3">
      <c r="G4858" s="24">
        <v>4846</v>
      </c>
      <c r="H4858">
        <f t="shared" ca="1" si="78"/>
        <v>-9.4999041363710943E-2</v>
      </c>
    </row>
    <row r="4859" spans="7:8" x14ac:dyDescent="0.3">
      <c r="G4859" s="24">
        <v>4847</v>
      </c>
      <c r="H4859">
        <f t="shared" ca="1" si="78"/>
        <v>-2.4324410803089176E-2</v>
      </c>
    </row>
    <row r="4860" spans="7:8" x14ac:dyDescent="0.3">
      <c r="G4860" s="24">
        <v>4848</v>
      </c>
      <c r="H4860">
        <f t="shared" ca="1" si="78"/>
        <v>-3.1885516775268317E-2</v>
      </c>
    </row>
    <row r="4861" spans="7:8" x14ac:dyDescent="0.3">
      <c r="G4861" s="24">
        <v>4849</v>
      </c>
      <c r="H4861">
        <f t="shared" ca="1" si="78"/>
        <v>-1.1994997514403923E-2</v>
      </c>
    </row>
    <row r="4862" spans="7:8" x14ac:dyDescent="0.3">
      <c r="G4862" s="24">
        <v>4850</v>
      </c>
      <c r="H4862">
        <f t="shared" ca="1" si="78"/>
        <v>8.2107358215384799E-2</v>
      </c>
    </row>
    <row r="4863" spans="7:8" x14ac:dyDescent="0.3">
      <c r="G4863" s="24">
        <v>4851</v>
      </c>
      <c r="H4863">
        <f t="shared" ca="1" si="78"/>
        <v>8.5397452981728975E-2</v>
      </c>
    </row>
    <row r="4864" spans="7:8" x14ac:dyDescent="0.3">
      <c r="G4864" s="24">
        <v>4852</v>
      </c>
      <c r="H4864">
        <f t="shared" ca="1" si="78"/>
        <v>-3.5966882466039081E-4</v>
      </c>
    </row>
    <row r="4865" spans="7:8" x14ac:dyDescent="0.3">
      <c r="G4865" s="24">
        <v>4853</v>
      </c>
      <c r="H4865">
        <f t="shared" ca="1" si="78"/>
        <v>-1.7995378908250556E-4</v>
      </c>
    </row>
    <row r="4866" spans="7:8" x14ac:dyDescent="0.3">
      <c r="G4866" s="24">
        <v>4854</v>
      </c>
      <c r="H4866">
        <f t="shared" ca="1" si="78"/>
        <v>-3.1345229650458176E-2</v>
      </c>
    </row>
    <row r="4867" spans="7:8" x14ac:dyDescent="0.3">
      <c r="G4867" s="24">
        <v>4855</v>
      </c>
      <c r="H4867">
        <f t="shared" ca="1" si="78"/>
        <v>2.4098891023993384E-2</v>
      </c>
    </row>
    <row r="4868" spans="7:8" x14ac:dyDescent="0.3">
      <c r="G4868" s="24">
        <v>4856</v>
      </c>
      <c r="H4868">
        <f t="shared" ca="1" si="78"/>
        <v>4.1117282408766567E-2</v>
      </c>
    </row>
    <row r="4869" spans="7:8" x14ac:dyDescent="0.3">
      <c r="G4869" s="24">
        <v>4857</v>
      </c>
      <c r="H4869">
        <f t="shared" ca="1" si="78"/>
        <v>-8.5424424062662582E-2</v>
      </c>
    </row>
    <row r="4870" spans="7:8" x14ac:dyDescent="0.3">
      <c r="G4870" s="24">
        <v>4858</v>
      </c>
      <c r="H4870">
        <f t="shared" ca="1" si="78"/>
        <v>-7.9856358136892971E-2</v>
      </c>
    </row>
    <row r="4871" spans="7:8" x14ac:dyDescent="0.3">
      <c r="G4871" s="24">
        <v>4859</v>
      </c>
      <c r="H4871">
        <f t="shared" ca="1" si="78"/>
        <v>-4.1073623586067025E-2</v>
      </c>
    </row>
    <row r="4872" spans="7:8" x14ac:dyDescent="0.3">
      <c r="G4872" s="24">
        <v>4860</v>
      </c>
      <c r="H4872">
        <f t="shared" ca="1" si="78"/>
        <v>2.5600904115037071E-2</v>
      </c>
    </row>
    <row r="4873" spans="7:8" x14ac:dyDescent="0.3">
      <c r="G4873" s="24">
        <v>4861</v>
      </c>
      <c r="H4873">
        <f t="shared" ca="1" si="78"/>
        <v>1.5916219673544986E-2</v>
      </c>
    </row>
    <row r="4874" spans="7:8" x14ac:dyDescent="0.3">
      <c r="G4874" s="24">
        <v>4862</v>
      </c>
      <c r="H4874">
        <f t="shared" ca="1" si="78"/>
        <v>4.4404977794750361E-2</v>
      </c>
    </row>
    <row r="4875" spans="7:8" x14ac:dyDescent="0.3">
      <c r="G4875" s="24">
        <v>4863</v>
      </c>
      <c r="H4875">
        <f t="shared" ca="1" si="78"/>
        <v>0.12245182765506803</v>
      </c>
    </row>
    <row r="4876" spans="7:8" x14ac:dyDescent="0.3">
      <c r="G4876" s="24">
        <v>4864</v>
      </c>
      <c r="H4876">
        <f t="shared" ca="1" si="78"/>
        <v>-0.18511771749363326</v>
      </c>
    </row>
    <row r="4877" spans="7:8" x14ac:dyDescent="0.3">
      <c r="G4877" s="24">
        <v>4865</v>
      </c>
      <c r="H4877">
        <f t="shared" ca="1" si="78"/>
        <v>7.5304245123465133E-2</v>
      </c>
    </row>
    <row r="4878" spans="7:8" x14ac:dyDescent="0.3">
      <c r="G4878" s="24">
        <v>4866</v>
      </c>
      <c r="H4878">
        <f t="shared" ref="H4878:H4941" ca="1" si="79">_xlfn.NORM.INV(RAND(),N$13,N$14)</f>
        <v>5.6347630802770089E-2</v>
      </c>
    </row>
    <row r="4879" spans="7:8" x14ac:dyDescent="0.3">
      <c r="G4879" s="24">
        <v>4867</v>
      </c>
      <c r="H4879">
        <f t="shared" ca="1" si="79"/>
        <v>0.18015076642312902</v>
      </c>
    </row>
    <row r="4880" spans="7:8" x14ac:dyDescent="0.3">
      <c r="G4880" s="24">
        <v>4868</v>
      </c>
      <c r="H4880">
        <f t="shared" ca="1" si="79"/>
        <v>3.1291917639873289E-2</v>
      </c>
    </row>
    <row r="4881" spans="7:8" x14ac:dyDescent="0.3">
      <c r="G4881" s="24">
        <v>4869</v>
      </c>
      <c r="H4881">
        <f t="shared" ca="1" si="79"/>
        <v>6.2599847978016751E-2</v>
      </c>
    </row>
    <row r="4882" spans="7:8" x14ac:dyDescent="0.3">
      <c r="G4882" s="24">
        <v>4870</v>
      </c>
      <c r="H4882">
        <f t="shared" ca="1" si="79"/>
        <v>-4.3950429618591393E-2</v>
      </c>
    </row>
    <row r="4883" spans="7:8" x14ac:dyDescent="0.3">
      <c r="G4883" s="24">
        <v>4871</v>
      </c>
      <c r="H4883">
        <f t="shared" ca="1" si="79"/>
        <v>2.19542945106549E-2</v>
      </c>
    </row>
    <row r="4884" spans="7:8" x14ac:dyDescent="0.3">
      <c r="G4884" s="24">
        <v>4872</v>
      </c>
      <c r="H4884">
        <f t="shared" ca="1" si="79"/>
        <v>0.13734457948036366</v>
      </c>
    </row>
    <row r="4885" spans="7:8" x14ac:dyDescent="0.3">
      <c r="G4885" s="24">
        <v>4873</v>
      </c>
      <c r="H4885">
        <f t="shared" ca="1" si="79"/>
        <v>-9.6411141383187016E-2</v>
      </c>
    </row>
    <row r="4886" spans="7:8" x14ac:dyDescent="0.3">
      <c r="G4886" s="24">
        <v>4874</v>
      </c>
      <c r="H4886">
        <f t="shared" ca="1" si="79"/>
        <v>-0.10962348836891227</v>
      </c>
    </row>
    <row r="4887" spans="7:8" x14ac:dyDescent="0.3">
      <c r="G4887" s="24">
        <v>4875</v>
      </c>
      <c r="H4887">
        <f t="shared" ca="1" si="79"/>
        <v>0.10871567100212776</v>
      </c>
    </row>
    <row r="4888" spans="7:8" x14ac:dyDescent="0.3">
      <c r="G4888" s="24">
        <v>4876</v>
      </c>
      <c r="H4888">
        <f t="shared" ca="1" si="79"/>
        <v>8.5600798890567403E-2</v>
      </c>
    </row>
    <row r="4889" spans="7:8" x14ac:dyDescent="0.3">
      <c r="G4889" s="24">
        <v>4877</v>
      </c>
      <c r="H4889">
        <f t="shared" ca="1" si="79"/>
        <v>4.1405887827046302E-2</v>
      </c>
    </row>
    <row r="4890" spans="7:8" x14ac:dyDescent="0.3">
      <c r="G4890" s="24">
        <v>4878</v>
      </c>
      <c r="H4890">
        <f t="shared" ca="1" si="79"/>
        <v>6.1519058185178048E-3</v>
      </c>
    </row>
    <row r="4891" spans="7:8" x14ac:dyDescent="0.3">
      <c r="G4891" s="24">
        <v>4879</v>
      </c>
      <c r="H4891">
        <f t="shared" ca="1" si="79"/>
        <v>2.6086761994534705E-3</v>
      </c>
    </row>
    <row r="4892" spans="7:8" x14ac:dyDescent="0.3">
      <c r="G4892" s="24">
        <v>4880</v>
      </c>
      <c r="H4892">
        <f t="shared" ca="1" si="79"/>
        <v>1.6435820152669854E-3</v>
      </c>
    </row>
    <row r="4893" spans="7:8" x14ac:dyDescent="0.3">
      <c r="G4893" s="24">
        <v>4881</v>
      </c>
      <c r="H4893">
        <f t="shared" ca="1" si="79"/>
        <v>7.6921243251916113E-2</v>
      </c>
    </row>
    <row r="4894" spans="7:8" x14ac:dyDescent="0.3">
      <c r="G4894" s="24">
        <v>4882</v>
      </c>
      <c r="H4894">
        <f t="shared" ca="1" si="79"/>
        <v>5.310032547478262E-2</v>
      </c>
    </row>
    <row r="4895" spans="7:8" x14ac:dyDescent="0.3">
      <c r="G4895" s="24">
        <v>4883</v>
      </c>
      <c r="H4895">
        <f t="shared" ca="1" si="79"/>
        <v>6.8668446403853917E-2</v>
      </c>
    </row>
    <row r="4896" spans="7:8" x14ac:dyDescent="0.3">
      <c r="G4896" s="24">
        <v>4884</v>
      </c>
      <c r="H4896">
        <f t="shared" ca="1" si="79"/>
        <v>-2.9493139133003544E-2</v>
      </c>
    </row>
    <row r="4897" spans="7:8" x14ac:dyDescent="0.3">
      <c r="G4897" s="24">
        <v>4885</v>
      </c>
      <c r="H4897">
        <f t="shared" ca="1" si="79"/>
        <v>-4.9588245305315866E-2</v>
      </c>
    </row>
    <row r="4898" spans="7:8" x14ac:dyDescent="0.3">
      <c r="G4898" s="24">
        <v>4886</v>
      </c>
      <c r="H4898">
        <f t="shared" ca="1" si="79"/>
        <v>6.3862156145277852E-3</v>
      </c>
    </row>
    <row r="4899" spans="7:8" x14ac:dyDescent="0.3">
      <c r="G4899" s="24">
        <v>4887</v>
      </c>
      <c r="H4899">
        <f t="shared" ca="1" si="79"/>
        <v>-4.4536830604708227E-2</v>
      </c>
    </row>
    <row r="4900" spans="7:8" x14ac:dyDescent="0.3">
      <c r="G4900" s="24">
        <v>4888</v>
      </c>
      <c r="H4900">
        <f t="shared" ca="1" si="79"/>
        <v>1.4362186093584103E-2</v>
      </c>
    </row>
    <row r="4901" spans="7:8" x14ac:dyDescent="0.3">
      <c r="G4901" s="24">
        <v>4889</v>
      </c>
      <c r="H4901">
        <f t="shared" ca="1" si="79"/>
        <v>6.4603889756266353E-2</v>
      </c>
    </row>
    <row r="4902" spans="7:8" x14ac:dyDescent="0.3">
      <c r="G4902" s="24">
        <v>4890</v>
      </c>
      <c r="H4902">
        <f t="shared" ca="1" si="79"/>
        <v>2.7977046477097164E-3</v>
      </c>
    </row>
    <row r="4903" spans="7:8" x14ac:dyDescent="0.3">
      <c r="G4903" s="24">
        <v>4891</v>
      </c>
      <c r="H4903">
        <f t="shared" ca="1" si="79"/>
        <v>3.331318632260015E-2</v>
      </c>
    </row>
    <row r="4904" spans="7:8" x14ac:dyDescent="0.3">
      <c r="G4904" s="24">
        <v>4892</v>
      </c>
      <c r="H4904">
        <f t="shared" ca="1" si="79"/>
        <v>-2.1562547509470145E-2</v>
      </c>
    </row>
    <row r="4905" spans="7:8" x14ac:dyDescent="0.3">
      <c r="G4905" s="24">
        <v>4893</v>
      </c>
      <c r="H4905">
        <f t="shared" ca="1" si="79"/>
        <v>4.3150797752673005E-2</v>
      </c>
    </row>
    <row r="4906" spans="7:8" x14ac:dyDescent="0.3">
      <c r="G4906" s="24">
        <v>4894</v>
      </c>
      <c r="H4906">
        <f t="shared" ca="1" si="79"/>
        <v>0.10687257774097149</v>
      </c>
    </row>
    <row r="4907" spans="7:8" x14ac:dyDescent="0.3">
      <c r="G4907" s="24">
        <v>4895</v>
      </c>
      <c r="H4907">
        <f t="shared" ca="1" si="79"/>
        <v>0.10013922999158037</v>
      </c>
    </row>
    <row r="4908" spans="7:8" x14ac:dyDescent="0.3">
      <c r="G4908" s="24">
        <v>4896</v>
      </c>
      <c r="H4908">
        <f t="shared" ca="1" si="79"/>
        <v>-3.8818912634457109E-2</v>
      </c>
    </row>
    <row r="4909" spans="7:8" x14ac:dyDescent="0.3">
      <c r="G4909" s="24">
        <v>4897</v>
      </c>
      <c r="H4909">
        <f t="shared" ca="1" si="79"/>
        <v>-0.13926917186379198</v>
      </c>
    </row>
    <row r="4910" spans="7:8" x14ac:dyDescent="0.3">
      <c r="G4910" s="24">
        <v>4898</v>
      </c>
      <c r="H4910">
        <f t="shared" ca="1" si="79"/>
        <v>1.2018626087078795E-2</v>
      </c>
    </row>
    <row r="4911" spans="7:8" x14ac:dyDescent="0.3">
      <c r="G4911" s="24">
        <v>4899</v>
      </c>
      <c r="H4911">
        <f t="shared" ca="1" si="79"/>
        <v>7.9891409623684267E-3</v>
      </c>
    </row>
    <row r="4912" spans="7:8" x14ac:dyDescent="0.3">
      <c r="G4912" s="24">
        <v>4900</v>
      </c>
      <c r="H4912">
        <f t="shared" ca="1" si="79"/>
        <v>4.0349813966104486E-2</v>
      </c>
    </row>
    <row r="4913" spans="7:8" x14ac:dyDescent="0.3">
      <c r="G4913" s="24">
        <v>4901</v>
      </c>
      <c r="H4913">
        <f t="shared" ca="1" si="79"/>
        <v>-1.8153035285083035E-2</v>
      </c>
    </row>
    <row r="4914" spans="7:8" x14ac:dyDescent="0.3">
      <c r="G4914" s="24">
        <v>4902</v>
      </c>
      <c r="H4914">
        <f t="shared" ca="1" si="79"/>
        <v>-4.5972298459281857E-2</v>
      </c>
    </row>
    <row r="4915" spans="7:8" x14ac:dyDescent="0.3">
      <c r="G4915" s="24">
        <v>4903</v>
      </c>
      <c r="H4915">
        <f t="shared" ca="1" si="79"/>
        <v>-5.8642066538863481E-2</v>
      </c>
    </row>
    <row r="4916" spans="7:8" x14ac:dyDescent="0.3">
      <c r="G4916" s="24">
        <v>4904</v>
      </c>
      <c r="H4916">
        <f t="shared" ca="1" si="79"/>
        <v>-9.8050058671971266E-2</v>
      </c>
    </row>
    <row r="4917" spans="7:8" x14ac:dyDescent="0.3">
      <c r="G4917" s="24">
        <v>4905</v>
      </c>
      <c r="H4917">
        <f t="shared" ca="1" si="79"/>
        <v>8.5204036198712668E-2</v>
      </c>
    </row>
    <row r="4918" spans="7:8" x14ac:dyDescent="0.3">
      <c r="G4918" s="24">
        <v>4906</v>
      </c>
      <c r="H4918">
        <f t="shared" ca="1" si="79"/>
        <v>4.0280668515217444E-2</v>
      </c>
    </row>
    <row r="4919" spans="7:8" x14ac:dyDescent="0.3">
      <c r="G4919" s="24">
        <v>4907</v>
      </c>
      <c r="H4919">
        <f t="shared" ca="1" si="79"/>
        <v>6.8449114984439688E-2</v>
      </c>
    </row>
    <row r="4920" spans="7:8" x14ac:dyDescent="0.3">
      <c r="G4920" s="24">
        <v>4908</v>
      </c>
      <c r="H4920">
        <f t="shared" ca="1" si="79"/>
        <v>6.5895170861882943E-2</v>
      </c>
    </row>
    <row r="4921" spans="7:8" x14ac:dyDescent="0.3">
      <c r="G4921" s="24">
        <v>4909</v>
      </c>
      <c r="H4921">
        <f t="shared" ca="1" si="79"/>
        <v>-1.9538193763487297E-2</v>
      </c>
    </row>
    <row r="4922" spans="7:8" x14ac:dyDescent="0.3">
      <c r="G4922" s="24">
        <v>4910</v>
      </c>
      <c r="H4922">
        <f t="shared" ca="1" si="79"/>
        <v>-6.1605180468987698E-2</v>
      </c>
    </row>
    <row r="4923" spans="7:8" x14ac:dyDescent="0.3">
      <c r="G4923" s="24">
        <v>4911</v>
      </c>
      <c r="H4923">
        <f t="shared" ca="1" si="79"/>
        <v>-0.11185463180526896</v>
      </c>
    </row>
    <row r="4924" spans="7:8" x14ac:dyDescent="0.3">
      <c r="G4924" s="24">
        <v>4912</v>
      </c>
      <c r="H4924">
        <f t="shared" ca="1" si="79"/>
        <v>-6.6040830223725366E-2</v>
      </c>
    </row>
    <row r="4925" spans="7:8" x14ac:dyDescent="0.3">
      <c r="G4925" s="24">
        <v>4913</v>
      </c>
      <c r="H4925">
        <f t="shared" ca="1" si="79"/>
        <v>0.16181147359671022</v>
      </c>
    </row>
    <row r="4926" spans="7:8" x14ac:dyDescent="0.3">
      <c r="G4926" s="24">
        <v>4914</v>
      </c>
      <c r="H4926">
        <f t="shared" ca="1" si="79"/>
        <v>-1.6358452344260876E-2</v>
      </c>
    </row>
    <row r="4927" spans="7:8" x14ac:dyDescent="0.3">
      <c r="G4927" s="24">
        <v>4915</v>
      </c>
      <c r="H4927">
        <f t="shared" ca="1" si="79"/>
        <v>-0.17874246846783384</v>
      </c>
    </row>
    <row r="4928" spans="7:8" x14ac:dyDescent="0.3">
      <c r="G4928" s="24">
        <v>4916</v>
      </c>
      <c r="H4928">
        <f t="shared" ca="1" si="79"/>
        <v>-2.2583707544110414E-2</v>
      </c>
    </row>
    <row r="4929" spans="7:8" x14ac:dyDescent="0.3">
      <c r="G4929" s="24">
        <v>4917</v>
      </c>
      <c r="H4929">
        <f t="shared" ca="1" si="79"/>
        <v>0.17948038424603757</v>
      </c>
    </row>
    <row r="4930" spans="7:8" x14ac:dyDescent="0.3">
      <c r="G4930" s="24">
        <v>4918</v>
      </c>
      <c r="H4930">
        <f t="shared" ca="1" si="79"/>
        <v>-4.4629364951517501E-2</v>
      </c>
    </row>
    <row r="4931" spans="7:8" x14ac:dyDescent="0.3">
      <c r="G4931" s="24">
        <v>4919</v>
      </c>
      <c r="H4931">
        <f t="shared" ca="1" si="79"/>
        <v>-8.5454972038428556E-2</v>
      </c>
    </row>
    <row r="4932" spans="7:8" x14ac:dyDescent="0.3">
      <c r="G4932" s="24">
        <v>4920</v>
      </c>
      <c r="H4932">
        <f t="shared" ca="1" si="79"/>
        <v>0.13565419242365079</v>
      </c>
    </row>
    <row r="4933" spans="7:8" x14ac:dyDescent="0.3">
      <c r="G4933" s="24">
        <v>4921</v>
      </c>
      <c r="H4933">
        <f t="shared" ca="1" si="79"/>
        <v>0.14856438885956089</v>
      </c>
    </row>
    <row r="4934" spans="7:8" x14ac:dyDescent="0.3">
      <c r="G4934" s="24">
        <v>4922</v>
      </c>
      <c r="H4934">
        <f t="shared" ca="1" si="79"/>
        <v>-3.5292073462753058E-2</v>
      </c>
    </row>
    <row r="4935" spans="7:8" x14ac:dyDescent="0.3">
      <c r="G4935" s="24">
        <v>4923</v>
      </c>
      <c r="H4935">
        <f t="shared" ca="1" si="79"/>
        <v>5.1776927060444795E-2</v>
      </c>
    </row>
    <row r="4936" spans="7:8" x14ac:dyDescent="0.3">
      <c r="G4936" s="24">
        <v>4924</v>
      </c>
      <c r="H4936">
        <f t="shared" ca="1" si="79"/>
        <v>-6.7082860776853062E-2</v>
      </c>
    </row>
    <row r="4937" spans="7:8" x14ac:dyDescent="0.3">
      <c r="G4937" s="24">
        <v>4925</v>
      </c>
      <c r="H4937">
        <f t="shared" ca="1" si="79"/>
        <v>3.9633838777024012E-2</v>
      </c>
    </row>
    <row r="4938" spans="7:8" x14ac:dyDescent="0.3">
      <c r="G4938" s="24">
        <v>4926</v>
      </c>
      <c r="H4938">
        <f t="shared" ca="1" si="79"/>
        <v>4.7701385049390775E-2</v>
      </c>
    </row>
    <row r="4939" spans="7:8" x14ac:dyDescent="0.3">
      <c r="G4939" s="24">
        <v>4927</v>
      </c>
      <c r="H4939">
        <f t="shared" ca="1" si="79"/>
        <v>-1.5681980885668845E-2</v>
      </c>
    </row>
    <row r="4940" spans="7:8" x14ac:dyDescent="0.3">
      <c r="G4940" s="24">
        <v>4928</v>
      </c>
      <c r="H4940">
        <f t="shared" ca="1" si="79"/>
        <v>1.8096667772391811E-2</v>
      </c>
    </row>
    <row r="4941" spans="7:8" x14ac:dyDescent="0.3">
      <c r="G4941" s="24">
        <v>4929</v>
      </c>
      <c r="H4941">
        <f t="shared" ca="1" si="79"/>
        <v>-8.1305084779938946E-2</v>
      </c>
    </row>
    <row r="4942" spans="7:8" x14ac:dyDescent="0.3">
      <c r="G4942" s="24">
        <v>4930</v>
      </c>
      <c r="H4942">
        <f t="shared" ref="H4942:H5005" ca="1" si="80">_xlfn.NORM.INV(RAND(),N$13,N$14)</f>
        <v>0.14577659936523385</v>
      </c>
    </row>
    <row r="4943" spans="7:8" x14ac:dyDescent="0.3">
      <c r="G4943" s="24">
        <v>4931</v>
      </c>
      <c r="H4943">
        <f t="shared" ca="1" si="80"/>
        <v>5.9888194621411289E-2</v>
      </c>
    </row>
    <row r="4944" spans="7:8" x14ac:dyDescent="0.3">
      <c r="G4944" s="24">
        <v>4932</v>
      </c>
      <c r="H4944">
        <f t="shared" ca="1" si="80"/>
        <v>-1.9528869063178668E-2</v>
      </c>
    </row>
    <row r="4945" spans="7:8" x14ac:dyDescent="0.3">
      <c r="G4945" s="24">
        <v>4933</v>
      </c>
      <c r="H4945">
        <f t="shared" ca="1" si="80"/>
        <v>-9.1049849849005937E-2</v>
      </c>
    </row>
    <row r="4946" spans="7:8" x14ac:dyDescent="0.3">
      <c r="G4946" s="24">
        <v>4934</v>
      </c>
      <c r="H4946">
        <f t="shared" ca="1" si="80"/>
        <v>3.8918898630641054E-2</v>
      </c>
    </row>
    <row r="4947" spans="7:8" x14ac:dyDescent="0.3">
      <c r="G4947" s="24">
        <v>4935</v>
      </c>
      <c r="H4947">
        <f t="shared" ca="1" si="80"/>
        <v>-8.876179207052845E-2</v>
      </c>
    </row>
    <row r="4948" spans="7:8" x14ac:dyDescent="0.3">
      <c r="G4948" s="24">
        <v>4936</v>
      </c>
      <c r="H4948">
        <f t="shared" ca="1" si="80"/>
        <v>1.3560005573930563E-2</v>
      </c>
    </row>
    <row r="4949" spans="7:8" x14ac:dyDescent="0.3">
      <c r="G4949" s="24">
        <v>4937</v>
      </c>
      <c r="H4949">
        <f t="shared" ca="1" si="80"/>
        <v>5.035826133860883E-2</v>
      </c>
    </row>
    <row r="4950" spans="7:8" x14ac:dyDescent="0.3">
      <c r="G4950" s="24">
        <v>4938</v>
      </c>
      <c r="H4950">
        <f t="shared" ca="1" si="80"/>
        <v>-4.2313274570859663E-2</v>
      </c>
    </row>
    <row r="4951" spans="7:8" x14ac:dyDescent="0.3">
      <c r="G4951" s="24">
        <v>4939</v>
      </c>
      <c r="H4951">
        <f t="shared" ca="1" si="80"/>
        <v>-8.6062042150355927E-2</v>
      </c>
    </row>
    <row r="4952" spans="7:8" x14ac:dyDescent="0.3">
      <c r="G4952" s="24">
        <v>4940</v>
      </c>
      <c r="H4952">
        <f t="shared" ca="1" si="80"/>
        <v>0.1040481889657006</v>
      </c>
    </row>
    <row r="4953" spans="7:8" x14ac:dyDescent="0.3">
      <c r="G4953" s="24">
        <v>4941</v>
      </c>
      <c r="H4953">
        <f t="shared" ca="1" si="80"/>
        <v>-0.13969906760784478</v>
      </c>
    </row>
    <row r="4954" spans="7:8" x14ac:dyDescent="0.3">
      <c r="G4954" s="24">
        <v>4942</v>
      </c>
      <c r="H4954">
        <f t="shared" ca="1" si="80"/>
        <v>-3.1024019376882147E-2</v>
      </c>
    </row>
    <row r="4955" spans="7:8" x14ac:dyDescent="0.3">
      <c r="G4955" s="24">
        <v>4943</v>
      </c>
      <c r="H4955">
        <f t="shared" ca="1" si="80"/>
        <v>-3.0141141155844643E-2</v>
      </c>
    </row>
    <row r="4956" spans="7:8" x14ac:dyDescent="0.3">
      <c r="G4956" s="24">
        <v>4944</v>
      </c>
      <c r="H4956">
        <f t="shared" ca="1" si="80"/>
        <v>-5.0910305745455343E-3</v>
      </c>
    </row>
    <row r="4957" spans="7:8" x14ac:dyDescent="0.3">
      <c r="G4957" s="24">
        <v>4945</v>
      </c>
      <c r="H4957">
        <f t="shared" ca="1" si="80"/>
        <v>-4.3959373517552046E-2</v>
      </c>
    </row>
    <row r="4958" spans="7:8" x14ac:dyDescent="0.3">
      <c r="G4958" s="24">
        <v>4946</v>
      </c>
      <c r="H4958">
        <f t="shared" ca="1" si="80"/>
        <v>-1.7929205279463675E-2</v>
      </c>
    </row>
    <row r="4959" spans="7:8" x14ac:dyDescent="0.3">
      <c r="G4959" s="24">
        <v>4947</v>
      </c>
      <c r="H4959">
        <f t="shared" ca="1" si="80"/>
        <v>4.1102772524800414E-2</v>
      </c>
    </row>
    <row r="4960" spans="7:8" x14ac:dyDescent="0.3">
      <c r="G4960" s="24">
        <v>4948</v>
      </c>
      <c r="H4960">
        <f t="shared" ca="1" si="80"/>
        <v>-2.4376420571675119E-3</v>
      </c>
    </row>
    <row r="4961" spans="7:8" x14ac:dyDescent="0.3">
      <c r="G4961" s="24">
        <v>4949</v>
      </c>
      <c r="H4961">
        <f t="shared" ca="1" si="80"/>
        <v>9.0584107424431584E-2</v>
      </c>
    </row>
    <row r="4962" spans="7:8" x14ac:dyDescent="0.3">
      <c r="G4962" s="24">
        <v>4950</v>
      </c>
      <c r="H4962">
        <f t="shared" ca="1" si="80"/>
        <v>0.13446634820880174</v>
      </c>
    </row>
    <row r="4963" spans="7:8" x14ac:dyDescent="0.3">
      <c r="G4963" s="24">
        <v>4951</v>
      </c>
      <c r="H4963">
        <f t="shared" ca="1" si="80"/>
        <v>-2.1327267746629988E-3</v>
      </c>
    </row>
    <row r="4964" spans="7:8" x14ac:dyDescent="0.3">
      <c r="G4964" s="24">
        <v>4952</v>
      </c>
      <c r="H4964">
        <f t="shared" ca="1" si="80"/>
        <v>-7.2864971920774315E-3</v>
      </c>
    </row>
    <row r="4965" spans="7:8" x14ac:dyDescent="0.3">
      <c r="G4965" s="24">
        <v>4953</v>
      </c>
      <c r="H4965">
        <f t="shared" ca="1" si="80"/>
        <v>-5.6902992796494592E-2</v>
      </c>
    </row>
    <row r="4966" spans="7:8" x14ac:dyDescent="0.3">
      <c r="G4966" s="24">
        <v>4954</v>
      </c>
      <c r="H4966">
        <f t="shared" ca="1" si="80"/>
        <v>5.3833093210445493E-2</v>
      </c>
    </row>
    <row r="4967" spans="7:8" x14ac:dyDescent="0.3">
      <c r="G4967" s="24">
        <v>4955</v>
      </c>
      <c r="H4967">
        <f t="shared" ca="1" si="80"/>
        <v>-7.2351687952194196E-2</v>
      </c>
    </row>
    <row r="4968" spans="7:8" x14ac:dyDescent="0.3">
      <c r="G4968" s="24">
        <v>4956</v>
      </c>
      <c r="H4968">
        <f t="shared" ca="1" si="80"/>
        <v>-0.10887221014927373</v>
      </c>
    </row>
    <row r="4969" spans="7:8" x14ac:dyDescent="0.3">
      <c r="G4969" s="24">
        <v>4957</v>
      </c>
      <c r="H4969">
        <f t="shared" ca="1" si="80"/>
        <v>8.5695813610693367E-2</v>
      </c>
    </row>
    <row r="4970" spans="7:8" x14ac:dyDescent="0.3">
      <c r="G4970" s="24">
        <v>4958</v>
      </c>
      <c r="H4970">
        <f t="shared" ca="1" si="80"/>
        <v>7.5559980584985004E-2</v>
      </c>
    </row>
    <row r="4971" spans="7:8" x14ac:dyDescent="0.3">
      <c r="G4971" s="24">
        <v>4959</v>
      </c>
      <c r="H4971">
        <f t="shared" ca="1" si="80"/>
        <v>-2.5757802658792215E-2</v>
      </c>
    </row>
    <row r="4972" spans="7:8" x14ac:dyDescent="0.3">
      <c r="G4972" s="24">
        <v>4960</v>
      </c>
      <c r="H4972">
        <f t="shared" ca="1" si="80"/>
        <v>2.5302891252287057E-2</v>
      </c>
    </row>
    <row r="4973" spans="7:8" x14ac:dyDescent="0.3">
      <c r="G4973" s="24">
        <v>4961</v>
      </c>
      <c r="H4973">
        <f t="shared" ca="1" si="80"/>
        <v>-2.7434821628898546E-2</v>
      </c>
    </row>
    <row r="4974" spans="7:8" x14ac:dyDescent="0.3">
      <c r="G4974" s="24">
        <v>4962</v>
      </c>
      <c r="H4974">
        <f t="shared" ca="1" si="80"/>
        <v>-3.9545959878750647E-2</v>
      </c>
    </row>
    <row r="4975" spans="7:8" x14ac:dyDescent="0.3">
      <c r="G4975" s="24">
        <v>4963</v>
      </c>
      <c r="H4975">
        <f t="shared" ca="1" si="80"/>
        <v>-3.2330098242622327E-2</v>
      </c>
    </row>
    <row r="4976" spans="7:8" x14ac:dyDescent="0.3">
      <c r="G4976" s="24">
        <v>4964</v>
      </c>
      <c r="H4976">
        <f t="shared" ca="1" si="80"/>
        <v>6.6603493640214825E-2</v>
      </c>
    </row>
    <row r="4977" spans="7:8" x14ac:dyDescent="0.3">
      <c r="G4977" s="24">
        <v>4965</v>
      </c>
      <c r="H4977">
        <f t="shared" ca="1" si="80"/>
        <v>-5.6401287000918607E-2</v>
      </c>
    </row>
    <row r="4978" spans="7:8" x14ac:dyDescent="0.3">
      <c r="G4978" s="24">
        <v>4966</v>
      </c>
      <c r="H4978">
        <f t="shared" ca="1" si="80"/>
        <v>-1.1473039375263025E-2</v>
      </c>
    </row>
    <row r="4979" spans="7:8" x14ac:dyDescent="0.3">
      <c r="G4979" s="24">
        <v>4967</v>
      </c>
      <c r="H4979">
        <f t="shared" ca="1" si="80"/>
        <v>1.266871726071811E-2</v>
      </c>
    </row>
    <row r="4980" spans="7:8" x14ac:dyDescent="0.3">
      <c r="G4980" s="24">
        <v>4968</v>
      </c>
      <c r="H4980">
        <f t="shared" ca="1" si="80"/>
        <v>8.6655521258997642E-2</v>
      </c>
    </row>
    <row r="4981" spans="7:8" x14ac:dyDescent="0.3">
      <c r="G4981" s="24">
        <v>4969</v>
      </c>
      <c r="H4981">
        <f t="shared" ca="1" si="80"/>
        <v>-1.7568897942846669E-2</v>
      </c>
    </row>
    <row r="4982" spans="7:8" x14ac:dyDescent="0.3">
      <c r="G4982" s="24">
        <v>4970</v>
      </c>
      <c r="H4982">
        <f t="shared" ca="1" si="80"/>
        <v>-7.2573036128706706E-2</v>
      </c>
    </row>
    <row r="4983" spans="7:8" x14ac:dyDescent="0.3">
      <c r="G4983" s="24">
        <v>4971</v>
      </c>
      <c r="H4983">
        <f t="shared" ca="1" si="80"/>
        <v>3.8680075691519709E-3</v>
      </c>
    </row>
    <row r="4984" spans="7:8" x14ac:dyDescent="0.3">
      <c r="G4984" s="24">
        <v>4972</v>
      </c>
      <c r="H4984">
        <f t="shared" ca="1" si="80"/>
        <v>1.9939621218554332E-2</v>
      </c>
    </row>
    <row r="4985" spans="7:8" x14ac:dyDescent="0.3">
      <c r="G4985" s="24">
        <v>4973</v>
      </c>
      <c r="H4985">
        <f t="shared" ca="1" si="80"/>
        <v>0.11587337785974926</v>
      </c>
    </row>
    <row r="4986" spans="7:8" x14ac:dyDescent="0.3">
      <c r="G4986" s="24">
        <v>4974</v>
      </c>
      <c r="H4986">
        <f t="shared" ca="1" si="80"/>
        <v>-2.4115488629553209E-2</v>
      </c>
    </row>
    <row r="4987" spans="7:8" x14ac:dyDescent="0.3">
      <c r="G4987" s="24">
        <v>4975</v>
      </c>
      <c r="H4987">
        <f t="shared" ca="1" si="80"/>
        <v>2.2285084360025461E-2</v>
      </c>
    </row>
    <row r="4988" spans="7:8" x14ac:dyDescent="0.3">
      <c r="G4988" s="24">
        <v>4976</v>
      </c>
      <c r="H4988">
        <f t="shared" ca="1" si="80"/>
        <v>-1.0514103422772302E-2</v>
      </c>
    </row>
    <row r="4989" spans="7:8" x14ac:dyDescent="0.3">
      <c r="G4989" s="24">
        <v>4977</v>
      </c>
      <c r="H4989">
        <f t="shared" ca="1" si="80"/>
        <v>7.8458082627339498E-2</v>
      </c>
    </row>
    <row r="4990" spans="7:8" x14ac:dyDescent="0.3">
      <c r="G4990" s="24">
        <v>4978</v>
      </c>
      <c r="H4990">
        <f t="shared" ca="1" si="80"/>
        <v>-7.9714168870683444E-3</v>
      </c>
    </row>
    <row r="4991" spans="7:8" x14ac:dyDescent="0.3">
      <c r="G4991" s="24">
        <v>4979</v>
      </c>
      <c r="H4991">
        <f t="shared" ca="1" si="80"/>
        <v>4.0948205562065724E-4</v>
      </c>
    </row>
    <row r="4992" spans="7:8" x14ac:dyDescent="0.3">
      <c r="G4992" s="24">
        <v>4980</v>
      </c>
      <c r="H4992">
        <f t="shared" ca="1" si="80"/>
        <v>0.17013781815357396</v>
      </c>
    </row>
    <row r="4993" spans="7:8" x14ac:dyDescent="0.3">
      <c r="G4993" s="24">
        <v>4981</v>
      </c>
      <c r="H4993">
        <f t="shared" ca="1" si="80"/>
        <v>-7.7871536405093866E-2</v>
      </c>
    </row>
    <row r="4994" spans="7:8" x14ac:dyDescent="0.3">
      <c r="G4994" s="24">
        <v>4982</v>
      </c>
      <c r="H4994">
        <f t="shared" ca="1" si="80"/>
        <v>-6.7527316610107843E-2</v>
      </c>
    </row>
    <row r="4995" spans="7:8" x14ac:dyDescent="0.3">
      <c r="G4995" s="24">
        <v>4983</v>
      </c>
      <c r="H4995">
        <f t="shared" ca="1" si="80"/>
        <v>0.12183693601553891</v>
      </c>
    </row>
    <row r="4996" spans="7:8" x14ac:dyDescent="0.3">
      <c r="G4996" s="24">
        <v>4984</v>
      </c>
      <c r="H4996">
        <f t="shared" ca="1" si="80"/>
        <v>-2.2505872881575184E-2</v>
      </c>
    </row>
    <row r="4997" spans="7:8" x14ac:dyDescent="0.3">
      <c r="G4997" s="24">
        <v>4985</v>
      </c>
      <c r="H4997">
        <f t="shared" ca="1" si="80"/>
        <v>-4.8151366012507683E-2</v>
      </c>
    </row>
    <row r="4998" spans="7:8" x14ac:dyDescent="0.3">
      <c r="G4998" s="24">
        <v>4986</v>
      </c>
      <c r="H4998">
        <f t="shared" ca="1" si="80"/>
        <v>-5.1756247914706094E-2</v>
      </c>
    </row>
    <row r="4999" spans="7:8" x14ac:dyDescent="0.3">
      <c r="G4999" s="24">
        <v>4987</v>
      </c>
      <c r="H4999">
        <f t="shared" ca="1" si="80"/>
        <v>-9.5754701707053719E-2</v>
      </c>
    </row>
    <row r="5000" spans="7:8" x14ac:dyDescent="0.3">
      <c r="G5000" s="24">
        <v>4988</v>
      </c>
      <c r="H5000">
        <f t="shared" ca="1" si="80"/>
        <v>3.2789882466576208E-2</v>
      </c>
    </row>
    <row r="5001" spans="7:8" x14ac:dyDescent="0.3">
      <c r="G5001" s="24">
        <v>4989</v>
      </c>
      <c r="H5001">
        <f t="shared" ca="1" si="80"/>
        <v>-3.2451435292152442E-2</v>
      </c>
    </row>
    <row r="5002" spans="7:8" x14ac:dyDescent="0.3">
      <c r="G5002" s="24">
        <v>4990</v>
      </c>
      <c r="H5002">
        <f t="shared" ca="1" si="80"/>
        <v>5.5951442747490122E-2</v>
      </c>
    </row>
    <row r="5003" spans="7:8" x14ac:dyDescent="0.3">
      <c r="G5003" s="24">
        <v>4991</v>
      </c>
      <c r="H5003">
        <f t="shared" ca="1" si="80"/>
        <v>-2.58698011627683E-2</v>
      </c>
    </row>
    <row r="5004" spans="7:8" x14ac:dyDescent="0.3">
      <c r="G5004" s="24">
        <v>4992</v>
      </c>
      <c r="H5004">
        <f t="shared" ca="1" si="80"/>
        <v>7.4997194389021318E-2</v>
      </c>
    </row>
    <row r="5005" spans="7:8" x14ac:dyDescent="0.3">
      <c r="G5005" s="24">
        <v>4993</v>
      </c>
      <c r="H5005">
        <f t="shared" ca="1" si="80"/>
        <v>-5.3342351016019487E-2</v>
      </c>
    </row>
    <row r="5006" spans="7:8" x14ac:dyDescent="0.3">
      <c r="G5006" s="24">
        <v>4994</v>
      </c>
      <c r="H5006">
        <f t="shared" ref="H5006:H5012" ca="1" si="81">_xlfn.NORM.INV(RAND(),N$13,N$14)</f>
        <v>-9.6074760687242397E-2</v>
      </c>
    </row>
    <row r="5007" spans="7:8" x14ac:dyDescent="0.3">
      <c r="G5007" s="24">
        <v>4995</v>
      </c>
      <c r="H5007">
        <f t="shared" ca="1" si="81"/>
        <v>3.1849129035765054E-2</v>
      </c>
    </row>
    <row r="5008" spans="7:8" x14ac:dyDescent="0.3">
      <c r="G5008" s="24">
        <v>4996</v>
      </c>
      <c r="H5008">
        <f t="shared" ca="1" si="81"/>
        <v>4.0582825793894883E-2</v>
      </c>
    </row>
    <row r="5009" spans="7:8" x14ac:dyDescent="0.3">
      <c r="G5009" s="24">
        <v>4997</v>
      </c>
      <c r="H5009">
        <f t="shared" ca="1" si="81"/>
        <v>6.1301407017657704E-2</v>
      </c>
    </row>
    <row r="5010" spans="7:8" x14ac:dyDescent="0.3">
      <c r="G5010" s="24">
        <v>4998</v>
      </c>
      <c r="H5010">
        <f t="shared" ca="1" si="81"/>
        <v>-1.171605502541212E-2</v>
      </c>
    </row>
    <row r="5011" spans="7:8" x14ac:dyDescent="0.3">
      <c r="G5011" s="24">
        <v>4999</v>
      </c>
      <c r="H5011">
        <f t="shared" ca="1" si="81"/>
        <v>4.7500004427748002E-2</v>
      </c>
    </row>
    <row r="5012" spans="7:8" x14ac:dyDescent="0.3">
      <c r="G5012" s="24">
        <v>5000</v>
      </c>
      <c r="H5012">
        <f t="shared" ca="1" si="81"/>
        <v>-5.9765949537495158E-2</v>
      </c>
    </row>
  </sheetData>
  <mergeCells count="5">
    <mergeCell ref="B10:N10"/>
    <mergeCell ref="J14:K14"/>
    <mergeCell ref="J21:K21"/>
    <mergeCell ref="J19:N19"/>
    <mergeCell ref="J12:N12"/>
  </mergeCells>
  <pageMargins left="0.5" right="0.3" top="0.4" bottom="0.3" header="0.3" footer="0.3"/>
  <pageSetup scale="83" orientation="landscape" r:id="rId1"/>
  <ignoredErrors>
    <ignoredError sqref="D47" evalError="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A931-9624-4535-A97C-66054B0FF9E1}">
  <dimension ref="B2:P35"/>
  <sheetViews>
    <sheetView showGridLines="0" topLeftCell="A7" zoomScaleNormal="100" workbookViewId="0">
      <selection activeCell="O1" sqref="O1"/>
    </sheetView>
  </sheetViews>
  <sheetFormatPr defaultRowHeight="14.4" x14ac:dyDescent="0.3"/>
  <cols>
    <col min="1" max="1" width="2.33203125" customWidth="1"/>
    <col min="2" max="2" width="10.21875" customWidth="1"/>
    <col min="13" max="16" width="10" customWidth="1"/>
  </cols>
  <sheetData>
    <row r="2" spans="2:16" ht="9" customHeight="1" x14ac:dyDescent="0.3">
      <c r="B2" s="121"/>
      <c r="C2" s="121"/>
      <c r="D2" s="121"/>
      <c r="E2" s="121"/>
      <c r="F2" s="121"/>
      <c r="G2" s="121"/>
      <c r="H2" s="121"/>
      <c r="I2" s="121"/>
      <c r="J2" s="121"/>
      <c r="K2" s="121"/>
      <c r="L2" s="121"/>
      <c r="M2" s="184"/>
      <c r="N2" s="185"/>
      <c r="O2" s="185"/>
      <c r="P2" s="185"/>
    </row>
    <row r="3" spans="2:16" ht="3.6" customHeight="1" x14ac:dyDescent="0.3">
      <c r="M3" s="2"/>
      <c r="N3" s="24"/>
      <c r="O3" s="24"/>
    </row>
    <row r="4" spans="2:16" ht="23.4" x14ac:dyDescent="0.45">
      <c r="B4" s="181" t="str">
        <f>'Data Sheet'!$B$1</f>
        <v>INFOSYS LTD</v>
      </c>
      <c r="M4" s="2"/>
      <c r="N4" s="24"/>
      <c r="O4" s="24"/>
    </row>
    <row r="5" spans="2:16" x14ac:dyDescent="0.3">
      <c r="B5" t="s">
        <v>393</v>
      </c>
      <c r="M5" s="2"/>
      <c r="N5" s="24"/>
      <c r="O5" s="24"/>
    </row>
    <row r="6" spans="2:16" ht="15.6" x14ac:dyDescent="0.3">
      <c r="B6" s="228">
        <v>1250</v>
      </c>
      <c r="M6" s="2"/>
      <c r="N6" s="24"/>
      <c r="O6" s="24"/>
    </row>
    <row r="7" spans="2:16" x14ac:dyDescent="0.3">
      <c r="B7" t="s">
        <v>394</v>
      </c>
      <c r="M7" s="2"/>
      <c r="N7" s="24"/>
      <c r="O7" s="24"/>
    </row>
    <row r="8" spans="2:16" ht="3.6" customHeight="1" thickBot="1" x14ac:dyDescent="0.35">
      <c r="B8" s="189"/>
      <c r="C8" s="189"/>
      <c r="D8" s="189"/>
      <c r="E8" s="189"/>
      <c r="F8" s="189"/>
      <c r="G8" s="189"/>
      <c r="H8" s="189"/>
      <c r="I8" s="189"/>
      <c r="J8" s="189"/>
      <c r="K8" s="189"/>
      <c r="L8" s="189"/>
      <c r="M8" s="190"/>
      <c r="N8" s="191"/>
      <c r="O8" s="191"/>
      <c r="P8" s="191"/>
    </row>
    <row r="10" spans="2:16" x14ac:dyDescent="0.3">
      <c r="B10" s="281" t="str">
        <f xml:space="preserve"> "Football Field Analysis"</f>
        <v>Football Field Analysis</v>
      </c>
      <c r="C10" s="281"/>
      <c r="D10" s="281"/>
      <c r="E10" s="281"/>
      <c r="F10" s="281"/>
      <c r="G10" s="281"/>
      <c r="H10" s="281"/>
      <c r="I10" s="281"/>
      <c r="J10" s="281"/>
      <c r="K10" s="281"/>
      <c r="L10" s="281"/>
      <c r="M10" s="281"/>
      <c r="N10" s="281"/>
      <c r="O10" s="281"/>
      <c r="P10" s="281"/>
    </row>
    <row r="12" spans="2:16" x14ac:dyDescent="0.3">
      <c r="L12" s="281" t="s">
        <v>410</v>
      </c>
      <c r="M12" s="281"/>
      <c r="N12" s="281"/>
      <c r="O12" s="281"/>
      <c r="P12" s="281"/>
    </row>
    <row r="13" spans="2:16" x14ac:dyDescent="0.3">
      <c r="M13" s="24" t="s">
        <v>323</v>
      </c>
      <c r="N13" s="24" t="s">
        <v>307</v>
      </c>
      <c r="O13" s="24" t="s">
        <v>322</v>
      </c>
      <c r="P13" s="24" t="s">
        <v>306</v>
      </c>
    </row>
    <row r="14" spans="2:16" x14ac:dyDescent="0.3">
      <c r="L14" s="235" t="s">
        <v>324</v>
      </c>
      <c r="M14" s="235">
        <v>1517</v>
      </c>
      <c r="N14" s="235">
        <v>1517</v>
      </c>
      <c r="O14" s="235">
        <v>2537</v>
      </c>
      <c r="P14" s="235">
        <v>2537</v>
      </c>
    </row>
    <row r="15" spans="2:16" x14ac:dyDescent="0.3">
      <c r="L15" s="200" t="s">
        <v>325</v>
      </c>
      <c r="M15" s="200">
        <v>654</v>
      </c>
      <c r="N15" s="200">
        <v>654</v>
      </c>
      <c r="O15" s="200">
        <v>859</v>
      </c>
      <c r="P15" s="200">
        <v>859</v>
      </c>
    </row>
    <row r="16" spans="2:16" x14ac:dyDescent="0.3">
      <c r="L16" s="200" t="s">
        <v>326</v>
      </c>
      <c r="M16" s="200">
        <v>701</v>
      </c>
      <c r="N16" s="200">
        <v>701</v>
      </c>
      <c r="O16" s="200">
        <v>962</v>
      </c>
      <c r="P16" s="200">
        <v>962</v>
      </c>
    </row>
    <row r="17" spans="12:16" x14ac:dyDescent="0.3">
      <c r="L17" s="200" t="s">
        <v>327</v>
      </c>
      <c r="M17" s="200">
        <v>793</v>
      </c>
      <c r="N17" s="200">
        <v>793</v>
      </c>
      <c r="O17" s="200">
        <v>1193</v>
      </c>
      <c r="P17" s="200">
        <v>1193</v>
      </c>
    </row>
    <row r="18" spans="12:16" x14ac:dyDescent="0.3">
      <c r="L18" s="200" t="s">
        <v>328</v>
      </c>
      <c r="M18" s="200">
        <v>1215</v>
      </c>
      <c r="N18" s="200">
        <v>1215</v>
      </c>
      <c r="O18" s="200">
        <v>1728</v>
      </c>
      <c r="P18" s="200">
        <v>1728</v>
      </c>
    </row>
    <row r="35" spans="2:16" ht="9" customHeight="1" x14ac:dyDescent="0.3">
      <c r="B35" s="215"/>
      <c r="C35" s="215"/>
      <c r="D35" s="215"/>
      <c r="E35" s="215"/>
      <c r="F35" s="215"/>
      <c r="G35" s="215"/>
      <c r="H35" s="215"/>
      <c r="I35" s="215"/>
      <c r="J35" s="215"/>
      <c r="K35" s="215"/>
      <c r="L35" s="215"/>
      <c r="M35" s="215"/>
      <c r="N35" s="215"/>
      <c r="O35" s="215"/>
      <c r="P35" s="215"/>
    </row>
  </sheetData>
  <mergeCells count="2">
    <mergeCell ref="B10:P10"/>
    <mergeCell ref="L12:P12"/>
  </mergeCells>
  <pageMargins left="0.4" right="0.4" top="0.5" bottom="0.5" header="0.3" footer="0.3"/>
  <pageSetup scale="9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0B0A-3FE2-4301-83C5-F528E1684CEF}">
  <dimension ref="A2:R107"/>
  <sheetViews>
    <sheetView showGridLines="0" tabSelected="1" zoomScale="99" zoomScaleNormal="99" zoomScaleSheetLayoutView="138" workbookViewId="0">
      <selection activeCell="K54" sqref="K54"/>
    </sheetView>
  </sheetViews>
  <sheetFormatPr defaultRowHeight="14.4" x14ac:dyDescent="0.3"/>
  <cols>
    <col min="1" max="1" width="2.33203125" customWidth="1"/>
    <col min="2" max="2" width="30.6640625" customWidth="1"/>
    <col min="3" max="9" width="13.33203125" customWidth="1"/>
    <col min="10" max="10" width="8.88671875" customWidth="1"/>
    <col min="11" max="11" width="12.109375" bestFit="1" customWidth="1"/>
  </cols>
  <sheetData>
    <row r="2" spans="2:18" ht="9" customHeight="1" x14ac:dyDescent="0.3">
      <c r="B2" s="121"/>
      <c r="C2" s="121"/>
      <c r="D2" s="121"/>
      <c r="E2" s="121"/>
      <c r="F2" s="121"/>
      <c r="G2" s="121"/>
      <c r="H2" s="121"/>
      <c r="I2" s="121"/>
    </row>
    <row r="3" spans="2:18" ht="3.6" customHeight="1" x14ac:dyDescent="0.3"/>
    <row r="4" spans="2:18" ht="21.6" customHeight="1" x14ac:dyDescent="0.45">
      <c r="B4" s="181" t="str">
        <f>'Data Sheet'!$B$1</f>
        <v>INFOSYS LTD</v>
      </c>
    </row>
    <row r="5" spans="2:18" x14ac:dyDescent="0.3">
      <c r="B5" t="s">
        <v>393</v>
      </c>
    </row>
    <row r="6" spans="2:18" ht="15.6" x14ac:dyDescent="0.3">
      <c r="B6" s="228">
        <v>1250</v>
      </c>
    </row>
    <row r="7" spans="2:18" x14ac:dyDescent="0.3">
      <c r="B7" t="s">
        <v>394</v>
      </c>
    </row>
    <row r="8" spans="2:18" ht="3.6" customHeight="1" thickBot="1" x14ac:dyDescent="0.35">
      <c r="B8" s="182"/>
      <c r="C8" s="182"/>
      <c r="D8" s="182"/>
      <c r="E8" s="182"/>
      <c r="F8" s="182"/>
      <c r="G8" s="182"/>
      <c r="H8" s="182"/>
      <c r="I8" s="182"/>
    </row>
    <row r="9" spans="2:18" ht="21" x14ac:dyDescent="0.4">
      <c r="B9" s="193" t="s">
        <v>341</v>
      </c>
    </row>
    <row r="10" spans="2:18" ht="3.6" customHeight="1" x14ac:dyDescent="0.4">
      <c r="B10" s="193"/>
    </row>
    <row r="11" spans="2:18" s="195" customFormat="1" ht="51.6" customHeight="1" x14ac:dyDescent="0.3">
      <c r="B11" s="307" t="s">
        <v>373</v>
      </c>
      <c r="C11" s="307"/>
      <c r="D11" s="307"/>
      <c r="E11" s="307"/>
      <c r="F11" s="307"/>
      <c r="G11" s="307"/>
      <c r="H11" s="307"/>
      <c r="I11" s="307"/>
      <c r="K11" s="307"/>
      <c r="L11" s="307"/>
      <c r="M11" s="307"/>
      <c r="N11" s="307"/>
      <c r="O11" s="307"/>
      <c r="P11" s="307"/>
      <c r="Q11" s="307"/>
      <c r="R11" s="307"/>
    </row>
    <row r="12" spans="2:18" ht="9" customHeight="1" x14ac:dyDescent="0.3"/>
    <row r="13" spans="2:18" ht="17.399999999999999" customHeight="1" x14ac:dyDescent="0.4">
      <c r="B13" s="192" t="s">
        <v>342</v>
      </c>
    </row>
    <row r="34" spans="2:9" ht="9" customHeight="1" x14ac:dyDescent="0.3"/>
    <row r="35" spans="2:9" ht="9" customHeight="1" x14ac:dyDescent="0.3"/>
    <row r="36" spans="2:9" ht="21" x14ac:dyDescent="0.3">
      <c r="B36" s="194" t="s">
        <v>344</v>
      </c>
    </row>
    <row r="46" spans="2:9" ht="9" customHeight="1" x14ac:dyDescent="0.3">
      <c r="B46" s="121"/>
      <c r="C46" s="121"/>
      <c r="D46" s="121"/>
      <c r="E46" s="121"/>
      <c r="F46" s="121"/>
      <c r="G46" s="121"/>
      <c r="H46" s="121"/>
      <c r="I46" s="121"/>
    </row>
    <row r="47" spans="2:9" ht="14.4" customHeight="1" x14ac:dyDescent="0.3"/>
    <row r="49" spans="1:9" ht="9" customHeight="1" x14ac:dyDescent="0.3">
      <c r="B49" s="121"/>
      <c r="C49" s="121"/>
      <c r="D49" s="121"/>
      <c r="E49" s="121"/>
      <c r="F49" s="121"/>
      <c r="G49" s="121"/>
      <c r="H49" s="121"/>
      <c r="I49" s="121"/>
    </row>
    <row r="50" spans="1:9" ht="9" customHeight="1" x14ac:dyDescent="0.3"/>
    <row r="51" spans="1:9" ht="23.4" x14ac:dyDescent="0.45">
      <c r="A51" t="s">
        <v>200</v>
      </c>
      <c r="B51" s="306" t="s">
        <v>1227</v>
      </c>
      <c r="C51" s="306"/>
      <c r="D51" s="306"/>
      <c r="E51" s="306"/>
      <c r="F51" s="306"/>
      <c r="G51" s="306"/>
      <c r="H51" s="306"/>
      <c r="I51" s="306"/>
    </row>
    <row r="52" spans="1:9" ht="9" customHeight="1" x14ac:dyDescent="0.3"/>
    <row r="53" spans="1:9" x14ac:dyDescent="0.3">
      <c r="B53" s="281" t="s">
        <v>329</v>
      </c>
      <c r="C53" s="281"/>
      <c r="D53" s="281"/>
      <c r="E53" s="281"/>
      <c r="F53" s="281"/>
      <c r="G53" s="281"/>
      <c r="H53" s="281"/>
      <c r="I53" s="281"/>
    </row>
    <row r="54" spans="1:9" x14ac:dyDescent="0.3">
      <c r="C54" s="183">
        <f>'Data Sheet'!E56</f>
        <v>43555</v>
      </c>
      <c r="D54" s="183">
        <f>'Data Sheet'!F56</f>
        <v>43921</v>
      </c>
      <c r="E54" s="183">
        <f>'Data Sheet'!G56</f>
        <v>44286</v>
      </c>
      <c r="F54" s="183">
        <f>'Data Sheet'!H56</f>
        <v>44651</v>
      </c>
      <c r="G54" s="183">
        <f>'Data Sheet'!I56</f>
        <v>45016</v>
      </c>
      <c r="H54" s="183">
        <f>'Data Sheet'!J56</f>
        <v>45382</v>
      </c>
      <c r="I54" s="183">
        <f>'Data Sheet'!K56</f>
        <v>45747</v>
      </c>
    </row>
    <row r="55" spans="1:9" x14ac:dyDescent="0.3">
      <c r="B55" t="s">
        <v>70</v>
      </c>
      <c r="C55" s="60">
        <f>'Historical FS'!F47</f>
        <v>15410</v>
      </c>
      <c r="D55" s="60">
        <f>'Historical FS'!G47</f>
        <v>16639</v>
      </c>
      <c r="E55" s="60">
        <f>'Historical FS'!H47</f>
        <v>19423</v>
      </c>
      <c r="F55" s="60">
        <f>'Historical FS'!I47</f>
        <v>22146</v>
      </c>
      <c r="G55" s="60">
        <f>'Historical FS'!J47</f>
        <v>24108</v>
      </c>
      <c r="H55" s="60">
        <f>'Historical FS'!K47</f>
        <v>26248</v>
      </c>
      <c r="I55" s="60">
        <f>'Historical FS'!L47</f>
        <v>26750</v>
      </c>
    </row>
    <row r="56" spans="1:9" ht="15" thickBot="1" x14ac:dyDescent="0.35">
      <c r="B56" t="s">
        <v>330</v>
      </c>
      <c r="C56" s="60">
        <f>(('Historical FS'!F64+'Historical FS'!F65)+('Historical FS'!E64+'Historical FS'!E65))/2</f>
        <v>64935.5</v>
      </c>
      <c r="D56" s="60">
        <f>(('Historical FS'!G64+'Historical FS'!G65)+('Historical FS'!F64+'Historical FS'!F65))/2</f>
        <v>65199</v>
      </c>
      <c r="E56" s="60">
        <f>(('Historical FS'!H64+'Historical FS'!H65)+('Historical FS'!G64+'Historical FS'!G65))/2</f>
        <v>70900.5</v>
      </c>
      <c r="F56" s="60">
        <f>(('Historical FS'!I64+'Historical FS'!I65)+('Historical FS'!H64+'Historical FS'!H65))/2</f>
        <v>75850.5</v>
      </c>
      <c r="G56" s="60">
        <f>(('Historical FS'!J64+'Historical FS'!J65)+('Historical FS'!I64+'Historical FS'!I65))/2</f>
        <v>75378.5</v>
      </c>
      <c r="H56" s="60">
        <f>(('Historical FS'!K64+'Historical FS'!K65)+('Historical FS'!J64+'Historical FS'!J65))/2</f>
        <v>81761.5</v>
      </c>
      <c r="I56" s="60">
        <f>(('Historical FS'!L64+'Historical FS'!L65)+('Historical FS'!K64+'Historical FS'!K65))/2</f>
        <v>91967</v>
      </c>
    </row>
    <row r="57" spans="1:9" x14ac:dyDescent="0.3">
      <c r="B57" s="70" t="s">
        <v>331</v>
      </c>
      <c r="C57" s="122">
        <f>C55/C56</f>
        <v>0.23731241000685296</v>
      </c>
      <c r="D57" s="122">
        <f t="shared" ref="D57:I57" si="0">D55/D56</f>
        <v>0.25520330066412061</v>
      </c>
      <c r="E57" s="122">
        <f t="shared" si="0"/>
        <v>0.27394729233221204</v>
      </c>
      <c r="F57" s="122">
        <f t="shared" si="0"/>
        <v>0.29196907073783296</v>
      </c>
      <c r="G57" s="122">
        <f t="shared" si="0"/>
        <v>0.31982594506391082</v>
      </c>
      <c r="H57" s="122">
        <f t="shared" si="0"/>
        <v>0.32103129223411997</v>
      </c>
      <c r="I57" s="122">
        <f t="shared" si="0"/>
        <v>0.29086520164841739</v>
      </c>
    </row>
    <row r="59" spans="1:9" x14ac:dyDescent="0.3">
      <c r="B59" s="281" t="s">
        <v>332</v>
      </c>
      <c r="C59" s="281"/>
      <c r="D59" s="281"/>
      <c r="E59" s="281"/>
      <c r="F59" s="281"/>
      <c r="G59" s="281"/>
      <c r="H59" s="281"/>
      <c r="I59" s="281"/>
    </row>
    <row r="60" spans="1:9" x14ac:dyDescent="0.3">
      <c r="C60" s="183">
        <f>C54</f>
        <v>43555</v>
      </c>
      <c r="D60" s="183">
        <f t="shared" ref="D60:I60" si="1">D54</f>
        <v>43921</v>
      </c>
      <c r="E60" s="183">
        <f t="shared" si="1"/>
        <v>44286</v>
      </c>
      <c r="F60" s="183">
        <f t="shared" si="1"/>
        <v>44651</v>
      </c>
      <c r="G60" s="183">
        <f t="shared" si="1"/>
        <v>45016</v>
      </c>
      <c r="H60" s="183">
        <f t="shared" si="1"/>
        <v>45382</v>
      </c>
      <c r="I60" s="183">
        <f t="shared" si="1"/>
        <v>45747</v>
      </c>
    </row>
    <row r="61" spans="1:9" x14ac:dyDescent="0.3">
      <c r="B61" t="str">
        <f>B55</f>
        <v>Net Profit</v>
      </c>
      <c r="C61" s="60">
        <f t="shared" ref="C61:I61" si="2">C55</f>
        <v>15410</v>
      </c>
      <c r="D61" s="60">
        <f t="shared" si="2"/>
        <v>16639</v>
      </c>
      <c r="E61" s="60">
        <f t="shared" si="2"/>
        <v>19423</v>
      </c>
      <c r="F61" s="60">
        <f t="shared" si="2"/>
        <v>22146</v>
      </c>
      <c r="G61" s="60">
        <f t="shared" si="2"/>
        <v>24108</v>
      </c>
      <c r="H61" s="60">
        <f t="shared" si="2"/>
        <v>26248</v>
      </c>
      <c r="I61" s="60">
        <f t="shared" si="2"/>
        <v>26750</v>
      </c>
    </row>
    <row r="62" spans="1:9" ht="15" thickBot="1" x14ac:dyDescent="0.35">
      <c r="B62" t="s">
        <v>284</v>
      </c>
      <c r="C62" s="60">
        <f>'Historical FS'!F14</f>
        <v>82675</v>
      </c>
      <c r="D62" s="60">
        <f>'Historical FS'!G14</f>
        <v>90791</v>
      </c>
      <c r="E62" s="60">
        <f>'Historical FS'!H14</f>
        <v>100472</v>
      </c>
      <c r="F62" s="60">
        <f>'Historical FS'!I14</f>
        <v>121641</v>
      </c>
      <c r="G62" s="60">
        <f>'Historical FS'!J14</f>
        <v>146767</v>
      </c>
      <c r="H62" s="60">
        <f>'Historical FS'!K14</f>
        <v>153670</v>
      </c>
      <c r="I62" s="60">
        <f>'Historical FS'!L14</f>
        <v>162990</v>
      </c>
    </row>
    <row r="63" spans="1:9" x14ac:dyDescent="0.3">
      <c r="B63" s="70" t="s">
        <v>333</v>
      </c>
      <c r="C63" s="122">
        <f t="shared" ref="C63:H63" si="3">C61/C62</f>
        <v>0.18639250075597219</v>
      </c>
      <c r="D63" s="122">
        <f t="shared" si="3"/>
        <v>0.18326706391602693</v>
      </c>
      <c r="E63" s="122">
        <f t="shared" si="3"/>
        <v>0.19331754120550998</v>
      </c>
      <c r="F63" s="122">
        <f t="shared" si="3"/>
        <v>0.1820603250548746</v>
      </c>
      <c r="G63" s="122">
        <f t="shared" si="3"/>
        <v>0.16426035825492105</v>
      </c>
      <c r="H63" s="122">
        <f t="shared" si="3"/>
        <v>0.17080757467300059</v>
      </c>
      <c r="I63" s="122">
        <f>I61/I62</f>
        <v>0.16412049819007302</v>
      </c>
    </row>
    <row r="65" spans="2:11" x14ac:dyDescent="0.3">
      <c r="B65" t="s">
        <v>284</v>
      </c>
      <c r="C65" s="60">
        <f>C62</f>
        <v>82675</v>
      </c>
      <c r="D65" s="60">
        <f t="shared" ref="D65:I65" si="4">D62</f>
        <v>90791</v>
      </c>
      <c r="E65" s="60">
        <f t="shared" si="4"/>
        <v>100472</v>
      </c>
      <c r="F65" s="60">
        <f t="shared" si="4"/>
        <v>121641</v>
      </c>
      <c r="G65" s="60">
        <f t="shared" si="4"/>
        <v>146767</v>
      </c>
      <c r="H65" s="60">
        <f t="shared" si="4"/>
        <v>153670</v>
      </c>
      <c r="I65" s="60">
        <f t="shared" si="4"/>
        <v>162990</v>
      </c>
    </row>
    <row r="66" spans="2:11" ht="15" thickBot="1" x14ac:dyDescent="0.35">
      <c r="B66" t="s">
        <v>334</v>
      </c>
      <c r="C66" s="60">
        <f>('Historical FS'!F81+'Historical FS'!E81)/2</f>
        <v>81707.5</v>
      </c>
      <c r="D66" s="60">
        <f>('Historical FS'!G81+'Historical FS'!F81)/2</f>
        <v>87933</v>
      </c>
      <c r="E66" s="60">
        <f>('Historical FS'!H81+'Historical FS'!G81)/2</f>
        <v>99655.5</v>
      </c>
      <c r="F66" s="60">
        <f>('Historical FS'!I81+'Historical FS'!H81)/2</f>
        <v>112120</v>
      </c>
      <c r="G66" s="60">
        <f>('Historical FS'!J81+'Historical FS'!I81)/2</f>
        <v>120662.5</v>
      </c>
      <c r="H66" s="60">
        <f>('Historical FS'!K81+'Historical FS'!J81)/2</f>
        <v>130978</v>
      </c>
      <c r="I66" s="60">
        <f>('Historical FS'!L81+'Historical FS'!K81)/2</f>
        <v>142577.5</v>
      </c>
    </row>
    <row r="67" spans="2:11" x14ac:dyDescent="0.3">
      <c r="B67" s="70" t="s">
        <v>336</v>
      </c>
      <c r="C67" s="209">
        <f t="shared" ref="C67" si="5">C65/C66</f>
        <v>1.0118410182663771</v>
      </c>
      <c r="D67" s="209">
        <f t="shared" ref="D67" si="6">D65/D66</f>
        <v>1.0325020185823297</v>
      </c>
      <c r="E67" s="209">
        <f t="shared" ref="E67" si="7">E65/E66</f>
        <v>1.0081932256624071</v>
      </c>
      <c r="F67" s="209">
        <f t="shared" ref="F67" si="8">F65/F66</f>
        <v>1.0849179450588655</v>
      </c>
      <c r="G67" s="209">
        <f t="shared" ref="G67" si="9">G65/G66</f>
        <v>1.216343105770227</v>
      </c>
      <c r="H67" s="209">
        <f t="shared" ref="H67" si="10">H65/H66</f>
        <v>1.1732504695445036</v>
      </c>
      <c r="I67" s="209">
        <f>I65/I66</f>
        <v>1.1431677508723326</v>
      </c>
    </row>
    <row r="68" spans="2:11" x14ac:dyDescent="0.3">
      <c r="D68" s="66"/>
      <c r="E68" s="66"/>
      <c r="F68" s="66"/>
      <c r="G68" s="66"/>
      <c r="H68" s="66"/>
      <c r="I68" s="66"/>
      <c r="J68" s="66"/>
    </row>
    <row r="69" spans="2:11" x14ac:dyDescent="0.3">
      <c r="B69" t="str">
        <f>B66</f>
        <v>Average Total Assets</v>
      </c>
      <c r="C69" s="60">
        <f>C66</f>
        <v>81707.5</v>
      </c>
      <c r="D69" s="60">
        <f t="shared" ref="D69:I69" si="11">D66</f>
        <v>87933</v>
      </c>
      <c r="E69" s="60">
        <f t="shared" si="11"/>
        <v>99655.5</v>
      </c>
      <c r="F69" s="60">
        <f t="shared" si="11"/>
        <v>112120</v>
      </c>
      <c r="G69" s="60">
        <f t="shared" si="11"/>
        <v>120662.5</v>
      </c>
      <c r="H69" s="60">
        <f t="shared" si="11"/>
        <v>130978</v>
      </c>
      <c r="I69" s="60">
        <f t="shared" si="11"/>
        <v>142577.5</v>
      </c>
    </row>
    <row r="70" spans="2:11" ht="15" thickBot="1" x14ac:dyDescent="0.35">
      <c r="B70" t="str">
        <f>B56</f>
        <v>Average Shareholder Equity</v>
      </c>
      <c r="C70" s="60">
        <f>C56</f>
        <v>64935.5</v>
      </c>
      <c r="D70" s="60">
        <f t="shared" ref="D70:I70" si="12">D56</f>
        <v>65199</v>
      </c>
      <c r="E70" s="60">
        <f t="shared" si="12"/>
        <v>70900.5</v>
      </c>
      <c r="F70" s="60">
        <f t="shared" si="12"/>
        <v>75850.5</v>
      </c>
      <c r="G70" s="60">
        <f t="shared" si="12"/>
        <v>75378.5</v>
      </c>
      <c r="H70" s="60">
        <f t="shared" si="12"/>
        <v>81761.5</v>
      </c>
      <c r="I70" s="60">
        <f t="shared" si="12"/>
        <v>91967</v>
      </c>
      <c r="J70" s="60"/>
    </row>
    <row r="71" spans="2:11" x14ac:dyDescent="0.3">
      <c r="B71" s="70" t="s">
        <v>335</v>
      </c>
      <c r="C71" s="209">
        <f>C69/C70</f>
        <v>1.2582870694766346</v>
      </c>
      <c r="D71" s="209">
        <f t="shared" ref="D71" si="13">D69/D70</f>
        <v>1.3486863295449316</v>
      </c>
      <c r="E71" s="209">
        <f t="shared" ref="E71" si="14">E69/E70</f>
        <v>1.4055683669367636</v>
      </c>
      <c r="F71" s="209">
        <f t="shared" ref="F71" si="15">F69/F70</f>
        <v>1.4781708756039842</v>
      </c>
      <c r="G71" s="209">
        <f t="shared" ref="G71" si="16">G69/G70</f>
        <v>1.6007548571542283</v>
      </c>
      <c r="H71" s="209">
        <f t="shared" ref="H71" si="17">H69/H70</f>
        <v>1.6019520189820393</v>
      </c>
      <c r="I71" s="209">
        <f>I69/I70</f>
        <v>1.5503115247860646</v>
      </c>
    </row>
    <row r="72" spans="2:11" ht="15" thickBot="1" x14ac:dyDescent="0.35"/>
    <row r="73" spans="2:11" x14ac:dyDescent="0.3">
      <c r="B73" s="70" t="s">
        <v>337</v>
      </c>
      <c r="C73" s="122">
        <f>C63*C67*C71</f>
        <v>0.23731241000685302</v>
      </c>
      <c r="D73" s="122">
        <f t="shared" ref="D73:H73" si="18">D63*D67*D71</f>
        <v>0.25520330066412061</v>
      </c>
      <c r="E73" s="122">
        <f t="shared" si="18"/>
        <v>0.27394729233221204</v>
      </c>
      <c r="F73" s="122">
        <f t="shared" si="18"/>
        <v>0.29196907073783301</v>
      </c>
      <c r="G73" s="122">
        <f t="shared" si="18"/>
        <v>0.31982594506391077</v>
      </c>
      <c r="H73" s="122">
        <f t="shared" si="18"/>
        <v>0.32103129223411997</v>
      </c>
      <c r="I73" s="122">
        <f>I63*I67*I71</f>
        <v>0.29086520164841739</v>
      </c>
      <c r="K73" s="58"/>
    </row>
    <row r="75" spans="2:11" x14ac:dyDescent="0.3">
      <c r="B75" s="281" t="s">
        <v>338</v>
      </c>
      <c r="C75" s="281"/>
      <c r="D75" s="281"/>
      <c r="E75" s="281"/>
      <c r="F75" s="281"/>
      <c r="G75" s="281"/>
      <c r="H75" s="281"/>
      <c r="I75" s="281"/>
    </row>
    <row r="76" spans="2:11" x14ac:dyDescent="0.3">
      <c r="C76" s="183">
        <f t="shared" ref="C76:H76" si="19">C54</f>
        <v>43555</v>
      </c>
      <c r="D76" s="183">
        <f t="shared" si="19"/>
        <v>43921</v>
      </c>
      <c r="E76" s="183">
        <f t="shared" si="19"/>
        <v>44286</v>
      </c>
      <c r="F76" s="183">
        <f t="shared" si="19"/>
        <v>44651</v>
      </c>
      <c r="G76" s="183">
        <f t="shared" si="19"/>
        <v>45016</v>
      </c>
      <c r="H76" s="183">
        <f t="shared" si="19"/>
        <v>45382</v>
      </c>
      <c r="I76" s="183">
        <f>I54</f>
        <v>45747</v>
      </c>
    </row>
    <row r="77" spans="2:11" x14ac:dyDescent="0.3">
      <c r="B77" t="str">
        <f>B55</f>
        <v>Net Profit</v>
      </c>
      <c r="C77" s="60">
        <f t="shared" ref="C77:H77" si="20">C55</f>
        <v>15410</v>
      </c>
      <c r="D77" s="60">
        <f t="shared" si="20"/>
        <v>16639</v>
      </c>
      <c r="E77" s="60">
        <f t="shared" si="20"/>
        <v>19423</v>
      </c>
      <c r="F77" s="60">
        <f t="shared" si="20"/>
        <v>22146</v>
      </c>
      <c r="G77" s="60">
        <f t="shared" si="20"/>
        <v>24108</v>
      </c>
      <c r="H77" s="60">
        <f t="shared" si="20"/>
        <v>26248</v>
      </c>
      <c r="I77" s="60">
        <f>I55</f>
        <v>26750</v>
      </c>
    </row>
    <row r="78" spans="2:11" ht="15" thickBot="1" x14ac:dyDescent="0.35">
      <c r="B78" t="str">
        <f>B66</f>
        <v>Average Total Assets</v>
      </c>
      <c r="C78" s="60">
        <f t="shared" ref="C78:H78" si="21">C66</f>
        <v>81707.5</v>
      </c>
      <c r="D78" s="60">
        <f t="shared" si="21"/>
        <v>87933</v>
      </c>
      <c r="E78" s="60">
        <f t="shared" si="21"/>
        <v>99655.5</v>
      </c>
      <c r="F78" s="60">
        <f t="shared" si="21"/>
        <v>112120</v>
      </c>
      <c r="G78" s="60">
        <f t="shared" si="21"/>
        <v>120662.5</v>
      </c>
      <c r="H78" s="60">
        <f t="shared" si="21"/>
        <v>130978</v>
      </c>
      <c r="I78" s="60">
        <f>I66</f>
        <v>142577.5</v>
      </c>
    </row>
    <row r="79" spans="2:11" x14ac:dyDescent="0.3">
      <c r="B79" s="70" t="s">
        <v>340</v>
      </c>
      <c r="C79" s="122">
        <f>C77/C78</f>
        <v>0.18859957776213934</v>
      </c>
      <c r="D79" s="122">
        <f t="shared" ref="D79" si="22">D77/D78</f>
        <v>0.18922361343295463</v>
      </c>
      <c r="E79" s="122">
        <f t="shared" ref="E79" si="23">E77/E78</f>
        <v>0.19490143544510841</v>
      </c>
      <c r="F79" s="122">
        <f t="shared" ref="F79" si="24">F77/F78</f>
        <v>0.19752051373528362</v>
      </c>
      <c r="G79" s="122">
        <f t="shared" ref="G79" si="25">G77/G78</f>
        <v>0.1997969543147208</v>
      </c>
      <c r="H79" s="122">
        <f t="shared" ref="H79" si="26">H77/H78</f>
        <v>0.2004000671868558</v>
      </c>
      <c r="I79" s="122">
        <f t="shared" ref="I79" si="27">I77/I78</f>
        <v>0.18761726078799248</v>
      </c>
    </row>
    <row r="81" spans="2:9" x14ac:dyDescent="0.3">
      <c r="B81" s="281" t="s">
        <v>339</v>
      </c>
      <c r="C81" s="281"/>
      <c r="D81" s="281"/>
      <c r="E81" s="281"/>
      <c r="F81" s="281"/>
      <c r="G81" s="281"/>
      <c r="H81" s="281"/>
      <c r="I81" s="281"/>
    </row>
    <row r="82" spans="2:9" x14ac:dyDescent="0.3">
      <c r="C82" s="183">
        <f>C76</f>
        <v>43555</v>
      </c>
      <c r="D82" s="183">
        <f t="shared" ref="D82:I82" si="28">D76</f>
        <v>43921</v>
      </c>
      <c r="E82" s="183">
        <f t="shared" si="28"/>
        <v>44286</v>
      </c>
      <c r="F82" s="183">
        <f t="shared" si="28"/>
        <v>44651</v>
      </c>
      <c r="G82" s="183">
        <f t="shared" si="28"/>
        <v>45016</v>
      </c>
      <c r="H82" s="183">
        <f t="shared" si="28"/>
        <v>45382</v>
      </c>
      <c r="I82" s="183">
        <f t="shared" si="28"/>
        <v>45747</v>
      </c>
    </row>
    <row r="83" spans="2:9" x14ac:dyDescent="0.3">
      <c r="B83" t="str">
        <f>B77</f>
        <v>Net Profit</v>
      </c>
      <c r="C83" s="60">
        <f t="shared" ref="C83:H83" si="29">C77</f>
        <v>15410</v>
      </c>
      <c r="D83" s="60">
        <f t="shared" si="29"/>
        <v>16639</v>
      </c>
      <c r="E83" s="60">
        <f t="shared" si="29"/>
        <v>19423</v>
      </c>
      <c r="F83" s="60">
        <f t="shared" si="29"/>
        <v>22146</v>
      </c>
      <c r="G83" s="60">
        <f t="shared" si="29"/>
        <v>24108</v>
      </c>
      <c r="H83" s="60">
        <f t="shared" si="29"/>
        <v>26248</v>
      </c>
      <c r="I83" s="60">
        <f t="shared" ref="I83" si="30">I77</f>
        <v>26750</v>
      </c>
    </row>
    <row r="84" spans="2:9" ht="15" thickBot="1" x14ac:dyDescent="0.35">
      <c r="B84" t="s">
        <v>284</v>
      </c>
      <c r="C84" s="60">
        <f t="shared" ref="C84:H84" si="31">C65</f>
        <v>82675</v>
      </c>
      <c r="D84" s="60">
        <f t="shared" si="31"/>
        <v>90791</v>
      </c>
      <c r="E84" s="60">
        <f t="shared" si="31"/>
        <v>100472</v>
      </c>
      <c r="F84" s="60">
        <f t="shared" si="31"/>
        <v>121641</v>
      </c>
      <c r="G84" s="60">
        <f t="shared" si="31"/>
        <v>146767</v>
      </c>
      <c r="H84" s="60">
        <f t="shared" si="31"/>
        <v>153670</v>
      </c>
      <c r="I84" s="60">
        <f>I65</f>
        <v>162990</v>
      </c>
    </row>
    <row r="85" spans="2:9" x14ac:dyDescent="0.3">
      <c r="B85" s="70" t="s">
        <v>333</v>
      </c>
      <c r="C85" s="122">
        <f t="shared" ref="C85" si="32">C83/C84</f>
        <v>0.18639250075597219</v>
      </c>
      <c r="D85" s="122">
        <f t="shared" ref="D85" si="33">D83/D84</f>
        <v>0.18326706391602693</v>
      </c>
      <c r="E85" s="122">
        <f t="shared" ref="E85" si="34">E83/E84</f>
        <v>0.19331754120550998</v>
      </c>
      <c r="F85" s="122">
        <f t="shared" ref="F85" si="35">F83/F84</f>
        <v>0.1820603250548746</v>
      </c>
      <c r="G85" s="122">
        <f t="shared" ref="G85" si="36">G83/G84</f>
        <v>0.16426035825492105</v>
      </c>
      <c r="H85" s="122">
        <f t="shared" ref="H85" si="37">H83/H84</f>
        <v>0.17080757467300059</v>
      </c>
      <c r="I85" s="122">
        <f>I83/I84</f>
        <v>0.16412049819007302</v>
      </c>
    </row>
    <row r="87" spans="2:9" x14ac:dyDescent="0.3">
      <c r="B87" t="s">
        <v>284</v>
      </c>
      <c r="C87" s="60">
        <f t="shared" ref="C87:H87" si="38">C65</f>
        <v>82675</v>
      </c>
      <c r="D87" s="60">
        <f t="shared" si="38"/>
        <v>90791</v>
      </c>
      <c r="E87" s="60">
        <f t="shared" si="38"/>
        <v>100472</v>
      </c>
      <c r="F87" s="60">
        <f t="shared" si="38"/>
        <v>121641</v>
      </c>
      <c r="G87" s="60">
        <f t="shared" si="38"/>
        <v>146767</v>
      </c>
      <c r="H87" s="60">
        <f t="shared" si="38"/>
        <v>153670</v>
      </c>
      <c r="I87" s="60">
        <f>I65</f>
        <v>162990</v>
      </c>
    </row>
    <row r="88" spans="2:9" ht="15" thickBot="1" x14ac:dyDescent="0.35">
      <c r="B88" t="s">
        <v>334</v>
      </c>
      <c r="C88" s="60">
        <f t="shared" ref="C88:H88" si="39">C66</f>
        <v>81707.5</v>
      </c>
      <c r="D88" s="60">
        <f t="shared" si="39"/>
        <v>87933</v>
      </c>
      <c r="E88" s="60">
        <f t="shared" si="39"/>
        <v>99655.5</v>
      </c>
      <c r="F88" s="60">
        <f t="shared" si="39"/>
        <v>112120</v>
      </c>
      <c r="G88" s="60">
        <f t="shared" si="39"/>
        <v>120662.5</v>
      </c>
      <c r="H88" s="60">
        <f t="shared" si="39"/>
        <v>130978</v>
      </c>
      <c r="I88" s="60">
        <f>I66</f>
        <v>142577.5</v>
      </c>
    </row>
    <row r="89" spans="2:9" x14ac:dyDescent="0.3">
      <c r="B89" s="70" t="s">
        <v>336</v>
      </c>
      <c r="C89" s="209">
        <f t="shared" ref="C89" si="40">C87/C88</f>
        <v>1.0118410182663771</v>
      </c>
      <c r="D89" s="209">
        <f t="shared" ref="D89" si="41">D87/D88</f>
        <v>1.0325020185823297</v>
      </c>
      <c r="E89" s="209">
        <f t="shared" ref="E89" si="42">E87/E88</f>
        <v>1.0081932256624071</v>
      </c>
      <c r="F89" s="209">
        <f t="shared" ref="F89" si="43">F87/F88</f>
        <v>1.0849179450588655</v>
      </c>
      <c r="G89" s="209">
        <f t="shared" ref="G89" si="44">G87/G88</f>
        <v>1.216343105770227</v>
      </c>
      <c r="H89" s="209">
        <f t="shared" ref="H89" si="45">H87/H88</f>
        <v>1.1732504695445036</v>
      </c>
      <c r="I89" s="209">
        <f>I87/I88</f>
        <v>1.1431677508723326</v>
      </c>
    </row>
    <row r="90" spans="2:9" ht="15" thickBot="1" x14ac:dyDescent="0.35"/>
    <row r="91" spans="2:9" x14ac:dyDescent="0.3">
      <c r="B91" s="70" t="s">
        <v>343</v>
      </c>
      <c r="C91" s="122">
        <f>C85*C89</f>
        <v>0.18859957776213937</v>
      </c>
      <c r="D91" s="122">
        <f t="shared" ref="D91:I91" si="46">D85*D89</f>
        <v>0.18922361343295463</v>
      </c>
      <c r="E91" s="122">
        <f t="shared" si="46"/>
        <v>0.19490143544510841</v>
      </c>
      <c r="F91" s="122">
        <f t="shared" si="46"/>
        <v>0.19752051373528365</v>
      </c>
      <c r="G91" s="122">
        <f t="shared" si="46"/>
        <v>0.1997969543147208</v>
      </c>
      <c r="H91" s="122">
        <f t="shared" si="46"/>
        <v>0.2004000671868558</v>
      </c>
      <c r="I91" s="122">
        <f t="shared" si="46"/>
        <v>0.18761726078799251</v>
      </c>
    </row>
    <row r="92" spans="2:9" ht="3.6" customHeight="1" x14ac:dyDescent="0.3"/>
    <row r="94" spans="2:9" ht="17.399999999999999" customHeight="1" x14ac:dyDescent="0.4">
      <c r="B94" s="192" t="s">
        <v>1228</v>
      </c>
      <c r="C94" s="188"/>
    </row>
    <row r="95" spans="2:9" ht="3.6" customHeight="1" x14ac:dyDescent="0.3">
      <c r="B95" t="s">
        <v>200</v>
      </c>
    </row>
    <row r="96" spans="2:9" ht="14.4" customHeight="1" x14ac:dyDescent="0.3"/>
    <row r="97" spans="2:9" ht="14.4" customHeight="1" x14ac:dyDescent="0.3"/>
    <row r="98" spans="2:9" ht="14.4" customHeight="1" x14ac:dyDescent="0.3"/>
    <row r="99" spans="2:9" ht="14.4" customHeight="1" x14ac:dyDescent="0.3"/>
    <row r="100" spans="2:9" ht="14.4" customHeight="1" x14ac:dyDescent="0.3"/>
    <row r="101" spans="2:9" ht="14.4" customHeight="1" x14ac:dyDescent="0.3"/>
    <row r="102" spans="2:9" ht="14.4" customHeight="1" x14ac:dyDescent="0.3"/>
    <row r="103" spans="2:9" ht="14.4" customHeight="1" x14ac:dyDescent="0.3"/>
    <row r="104" spans="2:9" ht="14.4" customHeight="1" x14ac:dyDescent="0.3"/>
    <row r="105" spans="2:9" ht="9" customHeight="1" x14ac:dyDescent="0.3">
      <c r="B105" s="121"/>
      <c r="C105" s="121"/>
      <c r="D105" s="121"/>
      <c r="E105" s="121"/>
      <c r="F105" s="121"/>
      <c r="G105" s="121"/>
      <c r="H105" s="121"/>
      <c r="I105" s="121"/>
    </row>
    <row r="106" spans="2:9" ht="14.4" customHeight="1" x14ac:dyDescent="0.3"/>
    <row r="107" spans="2:9" ht="14.4" customHeight="1" x14ac:dyDescent="0.3"/>
  </sheetData>
  <mergeCells count="7">
    <mergeCell ref="B81:I81"/>
    <mergeCell ref="B51:I51"/>
    <mergeCell ref="K11:R11"/>
    <mergeCell ref="B11:I11"/>
    <mergeCell ref="B53:I53"/>
    <mergeCell ref="B59:I59"/>
    <mergeCell ref="B75:I75"/>
  </mergeCells>
  <pageMargins left="0.5" right="0.3" top="0" bottom="0.3" header="0.3" footer="0.3"/>
  <pageSetup scale="71" orientation="landscape" r:id="rId1"/>
  <rowBreaks count="1" manualBreakCount="1">
    <brk id="46" max="8"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33227-8590-4909-85F2-C1C2535582AA}">
  <dimension ref="A2:M107"/>
  <sheetViews>
    <sheetView showGridLines="0" zoomScale="99" zoomScaleNormal="99" zoomScaleSheetLayoutView="138" workbookViewId="0">
      <selection activeCell="L46" sqref="L46"/>
    </sheetView>
  </sheetViews>
  <sheetFormatPr defaultRowHeight="14.4" x14ac:dyDescent="0.3"/>
  <cols>
    <col min="1" max="1" width="2.33203125" customWidth="1"/>
    <col min="2" max="2" width="32.77734375" customWidth="1"/>
    <col min="3" max="9" width="13.33203125" customWidth="1"/>
    <col min="10" max="10" width="8.88671875" customWidth="1"/>
  </cols>
  <sheetData>
    <row r="2" spans="2:9" ht="9" customHeight="1" x14ac:dyDescent="0.3">
      <c r="B2" s="121"/>
      <c r="C2" s="121"/>
      <c r="D2" s="121"/>
      <c r="E2" s="121"/>
      <c r="F2" s="121"/>
      <c r="G2" s="121"/>
      <c r="H2" s="121"/>
      <c r="I2" s="121"/>
    </row>
    <row r="3" spans="2:9" ht="3.6" customHeight="1" x14ac:dyDescent="0.3"/>
    <row r="4" spans="2:9" ht="21.6" customHeight="1" x14ac:dyDescent="0.45">
      <c r="B4" s="181" t="str">
        <f>'Data Sheet'!$B$1</f>
        <v>INFOSYS LTD</v>
      </c>
    </row>
    <row r="5" spans="2:9" x14ac:dyDescent="0.3">
      <c r="B5" t="s">
        <v>393</v>
      </c>
    </row>
    <row r="6" spans="2:9" ht="15.6" x14ac:dyDescent="0.3">
      <c r="B6" s="228">
        <v>1250</v>
      </c>
    </row>
    <row r="7" spans="2:9" x14ac:dyDescent="0.3">
      <c r="B7" t="s">
        <v>394</v>
      </c>
    </row>
    <row r="8" spans="2:9" ht="3.6" customHeight="1" thickBot="1" x14ac:dyDescent="0.35">
      <c r="B8" s="182"/>
      <c r="C8" s="182"/>
      <c r="D8" s="182"/>
      <c r="E8" s="182"/>
      <c r="F8" s="182"/>
      <c r="G8" s="182"/>
      <c r="H8" s="182"/>
      <c r="I8" s="182"/>
    </row>
    <row r="9" spans="2:9" ht="21" x14ac:dyDescent="0.4">
      <c r="B9" s="308" t="s">
        <v>357</v>
      </c>
      <c r="C9" s="308"/>
      <c r="D9" s="308"/>
      <c r="E9" s="308"/>
      <c r="F9" s="308"/>
      <c r="G9" s="308"/>
      <c r="H9" s="308"/>
      <c r="I9" s="308"/>
    </row>
    <row r="10" spans="2:9" ht="3.6" customHeight="1" x14ac:dyDescent="0.4">
      <c r="B10" s="193"/>
    </row>
    <row r="11" spans="2:9" s="195" customFormat="1" ht="51.6" customHeight="1" x14ac:dyDescent="0.3">
      <c r="B11" s="307" t="s">
        <v>373</v>
      </c>
      <c r="C11" s="307"/>
      <c r="D11" s="307"/>
      <c r="E11" s="307"/>
      <c r="F11" s="307"/>
      <c r="G11" s="307"/>
      <c r="H11" s="307"/>
      <c r="I11" s="307"/>
    </row>
    <row r="12" spans="2:9" ht="9" customHeight="1" x14ac:dyDescent="0.3"/>
    <row r="13" spans="2:9" ht="17.399999999999999" customHeight="1" x14ac:dyDescent="0.4">
      <c r="B13" s="192" t="s">
        <v>342</v>
      </c>
    </row>
    <row r="34" spans="2:9" ht="9" customHeight="1" x14ac:dyDescent="0.3"/>
    <row r="35" spans="2:9" ht="9" customHeight="1" x14ac:dyDescent="0.3"/>
    <row r="36" spans="2:9" ht="21" x14ac:dyDescent="0.3">
      <c r="B36" s="194" t="s">
        <v>344</v>
      </c>
    </row>
    <row r="46" spans="2:9" ht="9" customHeight="1" x14ac:dyDescent="0.3">
      <c r="B46" s="121"/>
      <c r="C46" s="121"/>
      <c r="D46" s="121"/>
      <c r="E46" s="121"/>
      <c r="F46" s="121"/>
      <c r="G46" s="121"/>
      <c r="H46" s="121"/>
      <c r="I46" s="121"/>
    </row>
    <row r="47" spans="2:9" ht="14.4" customHeight="1" x14ac:dyDescent="0.3"/>
    <row r="49" spans="1:9" ht="9" customHeight="1" x14ac:dyDescent="0.3">
      <c r="B49" s="121"/>
      <c r="C49" s="121"/>
      <c r="D49" s="121"/>
      <c r="E49" s="121"/>
      <c r="F49" s="121"/>
      <c r="G49" s="121"/>
      <c r="H49" s="121"/>
      <c r="I49" s="121"/>
    </row>
    <row r="50" spans="1:9" ht="9" customHeight="1" x14ac:dyDescent="0.3"/>
    <row r="51" spans="1:9" ht="23.4" x14ac:dyDescent="0.45">
      <c r="A51" t="s">
        <v>200</v>
      </c>
      <c r="B51" s="306" t="s">
        <v>374</v>
      </c>
      <c r="C51" s="306"/>
      <c r="D51" s="306"/>
      <c r="E51" s="306"/>
      <c r="F51" s="306"/>
      <c r="G51" s="306"/>
      <c r="H51" s="306"/>
      <c r="I51" s="306"/>
    </row>
    <row r="52" spans="1:9" ht="9" customHeight="1" x14ac:dyDescent="0.3"/>
    <row r="53" spans="1:9" x14ac:dyDescent="0.3">
      <c r="B53" s="281" t="s">
        <v>383</v>
      </c>
      <c r="C53" s="281"/>
      <c r="D53" s="281"/>
      <c r="E53" s="281"/>
      <c r="F53" s="281"/>
      <c r="G53" s="281"/>
      <c r="H53" s="281"/>
      <c r="I53" s="281"/>
    </row>
    <row r="54" spans="1:9" x14ac:dyDescent="0.3">
      <c r="C54" s="183">
        <f>'Data Sheet'!E56</f>
        <v>43555</v>
      </c>
      <c r="D54" s="183">
        <f>'Data Sheet'!F56</f>
        <v>43921</v>
      </c>
      <c r="E54" s="183">
        <f>'Data Sheet'!G56</f>
        <v>44286</v>
      </c>
      <c r="F54" s="183">
        <f>'Data Sheet'!H56</f>
        <v>44651</v>
      </c>
      <c r="G54" s="183">
        <f>'Data Sheet'!I56</f>
        <v>45016</v>
      </c>
      <c r="H54" s="183">
        <f>'Data Sheet'!J56</f>
        <v>45382</v>
      </c>
      <c r="I54" s="183">
        <f>'Data Sheet'!K56</f>
        <v>45747</v>
      </c>
    </row>
    <row r="55" spans="1:9" x14ac:dyDescent="0.3">
      <c r="B55" t="s">
        <v>375</v>
      </c>
      <c r="C55" s="60">
        <f>'Historical FS'!F79-'Historical FS'!F67</f>
        <v>36589</v>
      </c>
      <c r="D55" s="60">
        <f>'Historical FS'!G79-'Historical FS'!G67</f>
        <v>36548</v>
      </c>
      <c r="E55" s="60">
        <f>'Historical FS'!H79-'Historical FS'!H67</f>
        <v>41044</v>
      </c>
      <c r="F55" s="60">
        <f>'Historical FS'!I79-'Historical FS'!I67</f>
        <v>34284</v>
      </c>
      <c r="G55" s="60">
        <f>'Historical FS'!J79-'Historical FS'!J67</f>
        <v>34715</v>
      </c>
      <c r="H55" s="60">
        <f>'Historical FS'!K79-'Historical FS'!K67</f>
        <v>43937</v>
      </c>
      <c r="I55" s="60">
        <f>'Historical FS'!L79-'Historical FS'!L67</f>
        <v>48729</v>
      </c>
    </row>
    <row r="56" spans="1:9" ht="15" thickBot="1" x14ac:dyDescent="0.35">
      <c r="B56" t="s">
        <v>223</v>
      </c>
      <c r="C56" s="60">
        <f>'Historical FS'!F81</f>
        <v>84066</v>
      </c>
      <c r="D56" s="60">
        <f>'Historical FS'!G81</f>
        <v>91800</v>
      </c>
      <c r="E56" s="60">
        <f>'Historical FS'!H81</f>
        <v>107511</v>
      </c>
      <c r="F56" s="60">
        <f>'Historical FS'!I81</f>
        <v>116729</v>
      </c>
      <c r="G56" s="60">
        <f>'Historical FS'!J81</f>
        <v>124596</v>
      </c>
      <c r="H56" s="60">
        <f>'Historical FS'!K81</f>
        <v>137360</v>
      </c>
      <c r="I56" s="60">
        <f>'Historical FS'!L81</f>
        <v>147795</v>
      </c>
    </row>
    <row r="57" spans="1:9" x14ac:dyDescent="0.3">
      <c r="B57" s="70" t="s">
        <v>385</v>
      </c>
      <c r="C57" s="122">
        <f>C55/C56</f>
        <v>0.43524135798063424</v>
      </c>
      <c r="D57" s="122">
        <f t="shared" ref="D57:I57" si="0">D55/D56</f>
        <v>0.39812636165577342</v>
      </c>
      <c r="E57" s="122">
        <f t="shared" si="0"/>
        <v>0.38176558677716699</v>
      </c>
      <c r="F57" s="122">
        <f t="shared" si="0"/>
        <v>0.29370593425798214</v>
      </c>
      <c r="G57" s="122">
        <f t="shared" si="0"/>
        <v>0.27862050146072104</v>
      </c>
      <c r="H57" s="122">
        <f t="shared" si="0"/>
        <v>0.31986750145602794</v>
      </c>
      <c r="I57" s="122">
        <f t="shared" si="0"/>
        <v>0.32970668831827871</v>
      </c>
    </row>
    <row r="59" spans="1:9" x14ac:dyDescent="0.3">
      <c r="B59" s="281" t="s">
        <v>381</v>
      </c>
      <c r="C59" s="281"/>
      <c r="D59" s="281"/>
      <c r="E59" s="281"/>
      <c r="F59" s="281"/>
      <c r="G59" s="281"/>
      <c r="H59" s="281"/>
      <c r="I59" s="281"/>
    </row>
    <row r="60" spans="1:9" x14ac:dyDescent="0.3">
      <c r="C60" s="183">
        <f>C54</f>
        <v>43555</v>
      </c>
      <c r="D60" s="183">
        <f t="shared" ref="D60:I60" si="1">D54</f>
        <v>43921</v>
      </c>
      <c r="E60" s="183">
        <f t="shared" si="1"/>
        <v>44286</v>
      </c>
      <c r="F60" s="183">
        <f t="shared" si="1"/>
        <v>44651</v>
      </c>
      <c r="G60" s="183">
        <f t="shared" si="1"/>
        <v>45016</v>
      </c>
      <c r="H60" s="183">
        <f t="shared" si="1"/>
        <v>45382</v>
      </c>
      <c r="I60" s="183">
        <f t="shared" si="1"/>
        <v>45747</v>
      </c>
    </row>
    <row r="61" spans="1:9" x14ac:dyDescent="0.3">
      <c r="B61" t="s">
        <v>376</v>
      </c>
      <c r="C61" s="60">
        <f>('Historical FS'!F50*'Historical FS'!F52*'Historical FS'!F58)</f>
        <v>6187.4999999999991</v>
      </c>
      <c r="D61" s="60">
        <f>'Historical FS'!G50*'Historical FS'!G52*'Historical FS'!G58</f>
        <v>9211.9999999999982</v>
      </c>
      <c r="E61" s="60">
        <f>'Historical FS'!H50*'Historical FS'!H52*'Historical FS'!H58</f>
        <v>7953.3999999999978</v>
      </c>
      <c r="F61" s="60">
        <f>'Historical FS'!I50*'Historical FS'!I52*'Historical FS'!I58</f>
        <v>9138.4</v>
      </c>
      <c r="G61" s="60">
        <f>'Historical FS'!J50*'Historical FS'!J52*'Historical FS'!J58</f>
        <v>10038.799999999999</v>
      </c>
      <c r="H61" s="60">
        <f>'Historical FS'!K50*'Historical FS'!K52*'Historical FS'!K58</f>
        <v>7194.7999999999993</v>
      </c>
      <c r="I61" s="60">
        <f>'Historical FS'!L50*'Historical FS'!L52*'Historical FS'!L58</f>
        <v>8922.2000000000025</v>
      </c>
    </row>
    <row r="62" spans="1:9" ht="15" thickBot="1" x14ac:dyDescent="0.35">
      <c r="B62" t="s">
        <v>223</v>
      </c>
      <c r="C62" s="60">
        <f>C56</f>
        <v>84066</v>
      </c>
      <c r="D62" s="60">
        <f t="shared" ref="D62:I62" si="2">D56</f>
        <v>91800</v>
      </c>
      <c r="E62" s="60">
        <f t="shared" si="2"/>
        <v>107511</v>
      </c>
      <c r="F62" s="60">
        <f t="shared" si="2"/>
        <v>116729</v>
      </c>
      <c r="G62" s="60">
        <f t="shared" si="2"/>
        <v>124596</v>
      </c>
      <c r="H62" s="60">
        <f t="shared" si="2"/>
        <v>137360</v>
      </c>
      <c r="I62" s="60">
        <f t="shared" si="2"/>
        <v>147795</v>
      </c>
    </row>
    <row r="63" spans="1:9" x14ac:dyDescent="0.3">
      <c r="B63" s="70" t="s">
        <v>386</v>
      </c>
      <c r="C63" s="122">
        <f t="shared" ref="C63:H63" si="3">C61/C62</f>
        <v>7.3602883448718848E-2</v>
      </c>
      <c r="D63" s="122">
        <f t="shared" si="3"/>
        <v>0.10034858387799563</v>
      </c>
      <c r="E63" s="122">
        <f t="shared" si="3"/>
        <v>7.3977546483615611E-2</v>
      </c>
      <c r="F63" s="122">
        <f t="shared" si="3"/>
        <v>7.8287315063094859E-2</v>
      </c>
      <c r="G63" s="122">
        <f t="shared" si="3"/>
        <v>8.0570804841246901E-2</v>
      </c>
      <c r="H63" s="122">
        <f t="shared" si="3"/>
        <v>5.2379149679673845E-2</v>
      </c>
      <c r="I63" s="122">
        <f>I61/I62</f>
        <v>6.0368754017388969E-2</v>
      </c>
    </row>
    <row r="65" spans="2:10" x14ac:dyDescent="0.3">
      <c r="B65" s="281" t="s">
        <v>382</v>
      </c>
      <c r="C65" s="281"/>
      <c r="D65" s="281"/>
      <c r="E65" s="281"/>
      <c r="F65" s="281"/>
      <c r="G65" s="281"/>
      <c r="H65" s="281"/>
      <c r="I65" s="281"/>
    </row>
    <row r="66" spans="2:10" x14ac:dyDescent="0.3">
      <c r="C66" s="183">
        <f>C60</f>
        <v>43555</v>
      </c>
      <c r="D66" s="183">
        <f t="shared" ref="D66:I66" si="4">D60</f>
        <v>43921</v>
      </c>
      <c r="E66" s="183">
        <f t="shared" si="4"/>
        <v>44286</v>
      </c>
      <c r="F66" s="183">
        <f t="shared" si="4"/>
        <v>44651</v>
      </c>
      <c r="G66" s="183">
        <f t="shared" si="4"/>
        <v>45016</v>
      </c>
      <c r="H66" s="183">
        <f t="shared" si="4"/>
        <v>45382</v>
      </c>
      <c r="I66" s="183">
        <f t="shared" si="4"/>
        <v>45747</v>
      </c>
    </row>
    <row r="67" spans="2:10" x14ac:dyDescent="0.3">
      <c r="B67" t="s">
        <v>150</v>
      </c>
      <c r="C67" s="60">
        <f>'Historical FS'!F32</f>
        <v>18159</v>
      </c>
      <c r="D67" s="60">
        <f>'Historical FS'!G32</f>
        <v>19374</v>
      </c>
      <c r="E67" s="60">
        <f>'Historical FS'!H32</f>
        <v>24622</v>
      </c>
      <c r="F67" s="60">
        <f>'Historical FS'!I32</f>
        <v>28015</v>
      </c>
      <c r="G67" s="60">
        <f>'Historical FS'!J32</f>
        <v>30905</v>
      </c>
      <c r="H67" s="60">
        <f>'Historical FS'!K32</f>
        <v>31747</v>
      </c>
      <c r="I67" s="60">
        <f>'Historical FS'!L32</f>
        <v>34424</v>
      </c>
    </row>
    <row r="68" spans="2:10" ht="15" thickBot="1" x14ac:dyDescent="0.35">
      <c r="B68" t="s">
        <v>223</v>
      </c>
      <c r="C68" s="60">
        <f>C62</f>
        <v>84066</v>
      </c>
      <c r="D68" s="60">
        <f t="shared" ref="D68:I68" si="5">D62</f>
        <v>91800</v>
      </c>
      <c r="E68" s="60">
        <f t="shared" si="5"/>
        <v>107511</v>
      </c>
      <c r="F68" s="60">
        <f t="shared" si="5"/>
        <v>116729</v>
      </c>
      <c r="G68" s="60">
        <f t="shared" si="5"/>
        <v>124596</v>
      </c>
      <c r="H68" s="60">
        <f t="shared" si="5"/>
        <v>137360</v>
      </c>
      <c r="I68" s="60">
        <f t="shared" si="5"/>
        <v>147795</v>
      </c>
    </row>
    <row r="69" spans="2:10" x14ac:dyDescent="0.3">
      <c r="B69" s="70" t="s">
        <v>387</v>
      </c>
      <c r="C69" s="122">
        <f t="shared" ref="C69:I69" si="6">C67/C68</f>
        <v>0.2160088501891371</v>
      </c>
      <c r="D69" s="122">
        <f t="shared" si="6"/>
        <v>0.21104575163398692</v>
      </c>
      <c r="E69" s="122">
        <f t="shared" si="6"/>
        <v>0.22901842602152339</v>
      </c>
      <c r="F69" s="122">
        <f t="shared" si="6"/>
        <v>0.24000034267405701</v>
      </c>
      <c r="G69" s="122">
        <f t="shared" si="6"/>
        <v>0.24804167067963659</v>
      </c>
      <c r="H69" s="122">
        <f t="shared" si="6"/>
        <v>0.23112259755387304</v>
      </c>
      <c r="I69" s="122">
        <f t="shared" si="6"/>
        <v>0.23291721641462837</v>
      </c>
    </row>
    <row r="70" spans="2:10" x14ac:dyDescent="0.3">
      <c r="D70" s="66"/>
      <c r="E70" s="66"/>
      <c r="F70" s="66"/>
      <c r="G70" s="66"/>
      <c r="H70" s="66"/>
      <c r="I70" s="66"/>
      <c r="J70" s="66"/>
    </row>
    <row r="71" spans="2:10" x14ac:dyDescent="0.3">
      <c r="B71" s="281" t="s">
        <v>381</v>
      </c>
      <c r="C71" s="281"/>
      <c r="D71" s="281"/>
      <c r="E71" s="281"/>
      <c r="F71" s="281"/>
      <c r="G71" s="281"/>
      <c r="H71" s="281"/>
      <c r="I71" s="281"/>
      <c r="J71" s="66"/>
    </row>
    <row r="72" spans="2:10" x14ac:dyDescent="0.3">
      <c r="C72" s="183">
        <f>C66</f>
        <v>43555</v>
      </c>
      <c r="D72" s="183">
        <f t="shared" ref="D72:I72" si="7">D66</f>
        <v>43921</v>
      </c>
      <c r="E72" s="183">
        <f t="shared" si="7"/>
        <v>44286</v>
      </c>
      <c r="F72" s="183">
        <f t="shared" si="7"/>
        <v>44651</v>
      </c>
      <c r="G72" s="183">
        <f t="shared" si="7"/>
        <v>45016</v>
      </c>
      <c r="H72" s="183">
        <f t="shared" si="7"/>
        <v>45382</v>
      </c>
      <c r="I72" s="183">
        <f t="shared" si="7"/>
        <v>45747</v>
      </c>
      <c r="J72" s="66"/>
    </row>
    <row r="73" spans="2:10" x14ac:dyDescent="0.3">
      <c r="B73" t="s">
        <v>378</v>
      </c>
      <c r="C73" s="60">
        <f>('Data Sheet'!E70*'Data Sheet'!E90)/10000000</f>
        <v>322529.97265587002</v>
      </c>
      <c r="D73" s="60">
        <f>('Data Sheet'!F70*'Data Sheet'!F90)/10000000</f>
        <v>272044.31842149998</v>
      </c>
      <c r="E73" s="60">
        <f>('Data Sheet'!G70*'Data Sheet'!G90)/10000000</f>
        <v>580757.21412577003</v>
      </c>
      <c r="F73" s="60">
        <f>('Data Sheet'!H70*'Data Sheet'!H90)/10000000</f>
        <v>799544.670366365</v>
      </c>
      <c r="G73" s="60">
        <f>('Data Sheet'!I70*'Data Sheet'!I90)/10000000</f>
        <v>590655.51375037502</v>
      </c>
      <c r="H73" s="60">
        <f>('Data Sheet'!J70*'Data Sheet'!J90)/10000000</f>
        <v>620185.30487617501</v>
      </c>
      <c r="I73" s="60">
        <f>('Data Sheet'!K70*'Data Sheet'!K90)/10000000</f>
        <v>650815.71638532006</v>
      </c>
    </row>
    <row r="74" spans="2:10" ht="15" thickBot="1" x14ac:dyDescent="0.35">
      <c r="B74" t="s">
        <v>377</v>
      </c>
      <c r="C74" s="225">
        <f>C68</f>
        <v>84066</v>
      </c>
      <c r="D74" s="225">
        <f t="shared" ref="D74:I74" si="8">D68</f>
        <v>91800</v>
      </c>
      <c r="E74" s="225">
        <f t="shared" si="8"/>
        <v>107511</v>
      </c>
      <c r="F74" s="225">
        <f t="shared" si="8"/>
        <v>116729</v>
      </c>
      <c r="G74" s="225">
        <f t="shared" si="8"/>
        <v>124596</v>
      </c>
      <c r="H74" s="225">
        <f t="shared" si="8"/>
        <v>137360</v>
      </c>
      <c r="I74" s="225">
        <f t="shared" si="8"/>
        <v>147795</v>
      </c>
      <c r="J74" s="60"/>
    </row>
    <row r="75" spans="2:10" x14ac:dyDescent="0.3">
      <c r="B75" s="70" t="s">
        <v>390</v>
      </c>
      <c r="C75" s="122">
        <f>C73/C74</f>
        <v>3.8366280381589468</v>
      </c>
      <c r="D75" s="122">
        <f t="shared" ref="D75:I75" si="9">D73/D74</f>
        <v>2.9634457344389977</v>
      </c>
      <c r="E75" s="122">
        <f t="shared" si="9"/>
        <v>5.4018399431292616</v>
      </c>
      <c r="F75" s="122">
        <f t="shared" si="9"/>
        <v>6.8495803987557933</v>
      </c>
      <c r="G75" s="122">
        <f t="shared" si="9"/>
        <v>4.7405656180806366</v>
      </c>
      <c r="H75" s="122">
        <f t="shared" si="9"/>
        <v>4.5150357081841515</v>
      </c>
      <c r="I75" s="122">
        <f t="shared" si="9"/>
        <v>4.4035029357239424</v>
      </c>
    </row>
    <row r="77" spans="2:10" x14ac:dyDescent="0.3">
      <c r="B77" s="281" t="s">
        <v>380</v>
      </c>
      <c r="C77" s="281"/>
      <c r="D77" s="281"/>
      <c r="E77" s="281"/>
      <c r="F77" s="281"/>
      <c r="G77" s="281"/>
      <c r="H77" s="281"/>
      <c r="I77" s="281"/>
    </row>
    <row r="78" spans="2:10" x14ac:dyDescent="0.3">
      <c r="C78" s="183">
        <f t="shared" ref="C78:I78" si="10">C54</f>
        <v>43555</v>
      </c>
      <c r="D78" s="183">
        <f t="shared" si="10"/>
        <v>43921</v>
      </c>
      <c r="E78" s="183">
        <f t="shared" si="10"/>
        <v>44286</v>
      </c>
      <c r="F78" s="183">
        <f t="shared" si="10"/>
        <v>44651</v>
      </c>
      <c r="G78" s="183">
        <f t="shared" si="10"/>
        <v>45016</v>
      </c>
      <c r="H78" s="183">
        <f t="shared" si="10"/>
        <v>45382</v>
      </c>
      <c r="I78" s="183">
        <f t="shared" si="10"/>
        <v>45747</v>
      </c>
    </row>
    <row r="79" spans="2:10" x14ac:dyDescent="0.3">
      <c r="B79" t="s">
        <v>379</v>
      </c>
      <c r="C79" s="60">
        <f>'Historical FS'!F14</f>
        <v>82675</v>
      </c>
      <c r="D79" s="60">
        <f>'Historical FS'!G14</f>
        <v>90791</v>
      </c>
      <c r="E79" s="60">
        <f>'Historical FS'!H14</f>
        <v>100472</v>
      </c>
      <c r="F79" s="60">
        <f>'Historical FS'!I14</f>
        <v>121641</v>
      </c>
      <c r="G79" s="60">
        <f>'Historical FS'!J14</f>
        <v>146767</v>
      </c>
      <c r="H79" s="60">
        <f>'Historical FS'!K14</f>
        <v>153670</v>
      </c>
      <c r="I79" s="60">
        <f>'Historical FS'!L14</f>
        <v>162990</v>
      </c>
    </row>
    <row r="80" spans="2:10" ht="15" thickBot="1" x14ac:dyDescent="0.35">
      <c r="B80" t="str">
        <f t="shared" ref="B80:I80" si="11">B68</f>
        <v>Total Assets</v>
      </c>
      <c r="C80" s="60">
        <f t="shared" si="11"/>
        <v>84066</v>
      </c>
      <c r="D80" s="60">
        <f t="shared" si="11"/>
        <v>91800</v>
      </c>
      <c r="E80" s="60">
        <f t="shared" si="11"/>
        <v>107511</v>
      </c>
      <c r="F80" s="60">
        <f t="shared" si="11"/>
        <v>116729</v>
      </c>
      <c r="G80" s="60">
        <f t="shared" si="11"/>
        <v>124596</v>
      </c>
      <c r="H80" s="60">
        <f t="shared" si="11"/>
        <v>137360</v>
      </c>
      <c r="I80" s="60">
        <f t="shared" si="11"/>
        <v>147795</v>
      </c>
    </row>
    <row r="81" spans="2:9" x14ac:dyDescent="0.3">
      <c r="B81" s="70" t="s">
        <v>388</v>
      </c>
      <c r="C81" s="122">
        <f>C79/C80</f>
        <v>0.98345347702995267</v>
      </c>
      <c r="D81" s="122">
        <f t="shared" ref="D81:I81" si="12">D79/D80</f>
        <v>0.98900871459694994</v>
      </c>
      <c r="E81" s="122">
        <f t="shared" si="12"/>
        <v>0.9345276297309113</v>
      </c>
      <c r="F81" s="122">
        <f t="shared" si="12"/>
        <v>1.0420803742000702</v>
      </c>
      <c r="G81" s="122">
        <f t="shared" si="12"/>
        <v>1.1779431121384314</v>
      </c>
      <c r="H81" s="122">
        <f t="shared" si="12"/>
        <v>1.118739079790332</v>
      </c>
      <c r="I81" s="122">
        <f t="shared" si="12"/>
        <v>1.1028113264995434</v>
      </c>
    </row>
    <row r="83" spans="2:9" x14ac:dyDescent="0.3">
      <c r="B83" s="281" t="s">
        <v>384</v>
      </c>
      <c r="C83" s="281"/>
      <c r="D83" s="281"/>
      <c r="E83" s="281"/>
      <c r="F83" s="281"/>
      <c r="G83" s="281"/>
      <c r="H83" s="281"/>
      <c r="I83" s="281"/>
    </row>
    <row r="84" spans="2:9" ht="15" thickBot="1" x14ac:dyDescent="0.35">
      <c r="C84" s="183">
        <f>C78</f>
        <v>43555</v>
      </c>
      <c r="D84" s="183">
        <f t="shared" ref="D84:I84" si="13">D78</f>
        <v>43921</v>
      </c>
      <c r="E84" s="183">
        <f t="shared" si="13"/>
        <v>44286</v>
      </c>
      <c r="F84" s="183">
        <f t="shared" si="13"/>
        <v>44651</v>
      </c>
      <c r="G84" s="183">
        <f t="shared" si="13"/>
        <v>45016</v>
      </c>
      <c r="H84" s="183">
        <f t="shared" si="13"/>
        <v>45382</v>
      </c>
      <c r="I84" s="183">
        <f t="shared" si="13"/>
        <v>45747</v>
      </c>
    </row>
    <row r="85" spans="2:9" x14ac:dyDescent="0.3">
      <c r="B85" s="70" t="s">
        <v>389</v>
      </c>
      <c r="C85" s="226">
        <f>(C57*1.2)+(C63*1.4)+(C69*3.3)+(C75*0.6)+(C81*1)</f>
        <v>4.6235931719544405</v>
      </c>
      <c r="D85" s="226">
        <f t="shared" ref="D85:I85" si="14">(D57*1.2)+(D63*1.4)+(D69*3.3)+(D75*0.6)+(D81*1)</f>
        <v>4.0817667870686272</v>
      </c>
      <c r="E85" s="226">
        <f t="shared" si="14"/>
        <v>5.4930796706891574</v>
      </c>
      <c r="F85" s="226">
        <f t="shared" si="14"/>
        <v>6.4058791064758456</v>
      </c>
      <c r="G85" s="226">
        <f t="shared" si="14"/>
        <v>5.2879637247602247</v>
      </c>
      <c r="H85" s="226">
        <f t="shared" si="14"/>
        <v>5.0476368879273803</v>
      </c>
      <c r="I85" s="226">
        <f t="shared" si="14"/>
        <v>4.993704183708461</v>
      </c>
    </row>
    <row r="86" spans="2:9" x14ac:dyDescent="0.3">
      <c r="B86" s="229" t="s">
        <v>391</v>
      </c>
      <c r="C86" s="227" t="str">
        <f>IF(C85&lt;1.81,"Distressed Zone",IF(C85&gt;2.99,"Safe Zone","Grey Zone"))</f>
        <v>Safe Zone</v>
      </c>
      <c r="D86" s="227" t="str">
        <f t="shared" ref="D86:I86" si="15">IF(D85&lt;1.81,"Distressed Zone",IF(D85&gt;2.99,"Safe Zone","Grey Zone"))</f>
        <v>Safe Zone</v>
      </c>
      <c r="E86" s="227" t="str">
        <f t="shared" si="15"/>
        <v>Safe Zone</v>
      </c>
      <c r="F86" s="227" t="str">
        <f t="shared" si="15"/>
        <v>Safe Zone</v>
      </c>
      <c r="G86" s="227" t="str">
        <f t="shared" si="15"/>
        <v>Safe Zone</v>
      </c>
      <c r="H86" s="227" t="str">
        <f t="shared" si="15"/>
        <v>Safe Zone</v>
      </c>
      <c r="I86" s="227" t="str">
        <f t="shared" si="15"/>
        <v>Safe Zone</v>
      </c>
    </row>
    <row r="87" spans="2:9" x14ac:dyDescent="0.3">
      <c r="B87" s="229"/>
      <c r="C87" s="227"/>
      <c r="D87" s="227"/>
      <c r="E87" s="227"/>
      <c r="F87" s="227"/>
      <c r="G87" s="227"/>
      <c r="H87" s="227"/>
      <c r="I87" s="227"/>
    </row>
    <row r="88" spans="2:9" ht="21" x14ac:dyDescent="0.4">
      <c r="B88" s="309" t="s">
        <v>406</v>
      </c>
      <c r="C88" s="309"/>
      <c r="D88" s="309"/>
      <c r="E88" s="309"/>
      <c r="F88" s="309"/>
      <c r="G88" s="309"/>
      <c r="H88" s="309"/>
      <c r="I88" s="309"/>
    </row>
    <row r="89" spans="2:9" ht="3.6" customHeight="1" x14ac:dyDescent="0.3">
      <c r="B89" s="229"/>
      <c r="C89" s="227"/>
      <c r="D89" s="227"/>
      <c r="E89" s="227"/>
      <c r="F89" s="227"/>
      <c r="G89" s="227"/>
      <c r="H89" s="227"/>
      <c r="I89" s="227"/>
    </row>
    <row r="90" spans="2:9" x14ac:dyDescent="0.3">
      <c r="B90" s="229"/>
      <c r="C90" s="227"/>
      <c r="D90" s="227"/>
      <c r="E90" s="227"/>
      <c r="F90" s="227"/>
      <c r="G90" s="227"/>
      <c r="H90" s="227"/>
      <c r="I90" s="227"/>
    </row>
    <row r="91" spans="2:9" x14ac:dyDescent="0.3">
      <c r="B91" s="229"/>
      <c r="C91" s="227"/>
      <c r="D91" s="227"/>
      <c r="E91" s="227"/>
      <c r="F91" s="227"/>
      <c r="G91" s="227"/>
      <c r="H91" s="227"/>
      <c r="I91" s="227"/>
    </row>
    <row r="92" spans="2:9" x14ac:dyDescent="0.3">
      <c r="B92" s="229"/>
      <c r="C92" s="227"/>
      <c r="D92" s="227"/>
      <c r="E92" s="227"/>
      <c r="F92" s="227"/>
      <c r="G92" s="227"/>
      <c r="H92" s="227"/>
      <c r="I92" s="227"/>
    </row>
    <row r="93" spans="2:9" x14ac:dyDescent="0.3">
      <c r="B93" s="229"/>
      <c r="C93" s="227"/>
      <c r="D93" s="227"/>
      <c r="E93" s="227"/>
      <c r="F93" s="227"/>
      <c r="G93" s="227"/>
      <c r="H93" s="227"/>
      <c r="I93" s="227"/>
    </row>
    <row r="94" spans="2:9" x14ac:dyDescent="0.3">
      <c r="B94" s="229"/>
      <c r="C94" s="227"/>
      <c r="D94" s="227"/>
      <c r="E94" s="227"/>
      <c r="F94" s="227"/>
      <c r="G94" s="227"/>
      <c r="H94" s="227"/>
      <c r="I94" s="227"/>
    </row>
    <row r="95" spans="2:9" x14ac:dyDescent="0.3">
      <c r="C95" s="60"/>
      <c r="D95" s="60"/>
      <c r="E95" s="60"/>
      <c r="F95" s="60"/>
      <c r="G95" s="60"/>
      <c r="H95" s="60"/>
      <c r="I95" s="60"/>
    </row>
    <row r="96" spans="2:9" ht="9" customHeight="1" x14ac:dyDescent="0.3">
      <c r="B96" s="121"/>
      <c r="C96" s="121"/>
      <c r="D96" s="121"/>
      <c r="E96" s="121"/>
      <c r="F96" s="121"/>
      <c r="G96" s="121"/>
      <c r="H96" s="121"/>
      <c r="I96" s="121"/>
    </row>
    <row r="97" spans="2:13" ht="3.6" customHeight="1" x14ac:dyDescent="0.3"/>
    <row r="98" spans="2:13" ht="14.4" customHeight="1" x14ac:dyDescent="0.3">
      <c r="B98" s="216" t="s">
        <v>365</v>
      </c>
    </row>
    <row r="99" spans="2:13" ht="14.4" customHeight="1" x14ac:dyDescent="0.3">
      <c r="B99" s="303" t="s">
        <v>407</v>
      </c>
      <c r="C99" s="303"/>
      <c r="D99" s="303"/>
      <c r="E99" s="303"/>
      <c r="F99" s="303"/>
      <c r="G99" s="303"/>
      <c r="H99" s="303"/>
      <c r="I99" s="303"/>
      <c r="J99" s="68"/>
      <c r="K99" s="68"/>
      <c r="L99" s="68"/>
      <c r="M99" s="68"/>
    </row>
    <row r="100" spans="2:13" ht="14.4" customHeight="1" x14ac:dyDescent="0.3">
      <c r="B100" s="294" t="s">
        <v>408</v>
      </c>
      <c r="C100" s="294"/>
      <c r="D100" s="294"/>
      <c r="E100" s="294"/>
      <c r="F100" s="294"/>
      <c r="G100" s="294"/>
      <c r="H100" s="294"/>
      <c r="I100" s="294"/>
    </row>
    <row r="101" spans="2:13" ht="14.4" customHeight="1" x14ac:dyDescent="0.3"/>
    <row r="102" spans="2:13" ht="14.4" customHeight="1" x14ac:dyDescent="0.3"/>
    <row r="103" spans="2:13" ht="14.4" customHeight="1" x14ac:dyDescent="0.3"/>
    <row r="104" spans="2:13" ht="14.4" customHeight="1" x14ac:dyDescent="0.3"/>
    <row r="105" spans="2:13" ht="14.4" customHeight="1" x14ac:dyDescent="0.3"/>
    <row r="106" spans="2:13" ht="14.4" customHeight="1" x14ac:dyDescent="0.3"/>
    <row r="107" spans="2:13" ht="14.4" customHeight="1" x14ac:dyDescent="0.3"/>
  </sheetData>
  <mergeCells count="12">
    <mergeCell ref="B88:I88"/>
    <mergeCell ref="B99:I99"/>
    <mergeCell ref="B100:I100"/>
    <mergeCell ref="B77:I77"/>
    <mergeCell ref="B83:I83"/>
    <mergeCell ref="B9:I9"/>
    <mergeCell ref="B51:I51"/>
    <mergeCell ref="B65:I65"/>
    <mergeCell ref="B71:I71"/>
    <mergeCell ref="B11:I11"/>
    <mergeCell ref="B53:I53"/>
    <mergeCell ref="B59:I59"/>
  </mergeCells>
  <pageMargins left="0.5" right="0.3" top="0.3" bottom="0.3" header="0.3" footer="0.3"/>
  <pageSetup scale="74" orientation="landscape" r:id="rId1"/>
  <rowBreaks count="1" manualBreakCount="1">
    <brk id="47" max="8" man="1"/>
  </rowBreaks>
  <ignoredErrors>
    <ignoredError sqref="C61:I61 C67:I67 C73 D73:I73" 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AA51-80D5-48A1-894E-AC1AC8113484}">
  <sheetPr>
    <tabColor rgb="FF0070C0"/>
  </sheetPr>
  <dimension ref="A1"/>
  <sheetViews>
    <sheetView showGridLines="0" workbookViewId="0"/>
  </sheetViews>
  <sheetFormatPr defaultRowHeight="14.4" x14ac:dyDescent="0.3"/>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5"/>
  <sheetViews>
    <sheetView zoomScaleNormal="100" zoomScalePageLayoutView="120" workbookViewId="0">
      <pane xSplit="1" ySplit="1" topLeftCell="B2" activePane="bottomRight" state="frozen"/>
      <selection activeCell="C4" sqref="C4"/>
      <selection pane="topRight" activeCell="C4" sqref="C4"/>
      <selection pane="bottomLeft" activeCell="C4" sqref="C4"/>
      <selection pane="bottomRight" activeCell="A107" sqref="A107"/>
    </sheetView>
  </sheetViews>
  <sheetFormatPr defaultColWidth="8.77734375" defaultRowHeight="14.4" x14ac:dyDescent="0.3"/>
  <cols>
    <col min="1" max="1" width="27.6640625" style="3" bestFit="1" customWidth="1"/>
    <col min="2" max="11" width="13.44140625" style="3" bestFit="1" customWidth="1"/>
    <col min="12" max="16384" width="8.77734375" style="3"/>
  </cols>
  <sheetData>
    <row r="1" spans="1:11" s="1" customFormat="1" x14ac:dyDescent="0.3">
      <c r="A1" s="1" t="s">
        <v>0</v>
      </c>
      <c r="B1" s="1" t="s">
        <v>33</v>
      </c>
      <c r="E1" s="310" t="str">
        <f>IF(B2&lt;&gt;B3, "A NEW VERSION OF THE WORKSHEET IS AVAILABLE", "")</f>
        <v/>
      </c>
      <c r="F1" s="310"/>
      <c r="G1" s="310"/>
      <c r="H1" s="310"/>
      <c r="I1" s="310"/>
      <c r="J1" s="310"/>
      <c r="K1" s="310"/>
    </row>
    <row r="2" spans="1:11" x14ac:dyDescent="0.3">
      <c r="A2" s="1" t="s">
        <v>31</v>
      </c>
      <c r="B2" s="3">
        <v>2.1</v>
      </c>
      <c r="E2" s="311" t="s">
        <v>21</v>
      </c>
      <c r="F2" s="311"/>
      <c r="G2" s="311"/>
      <c r="H2" s="311"/>
      <c r="I2" s="311"/>
      <c r="J2" s="311"/>
      <c r="K2" s="311"/>
    </row>
    <row r="3" spans="1:11" x14ac:dyDescent="0.3">
      <c r="A3" s="1" t="s">
        <v>32</v>
      </c>
      <c r="B3" s="3">
        <v>2.1</v>
      </c>
    </row>
    <row r="4" spans="1:11" x14ac:dyDescent="0.3">
      <c r="A4" s="1"/>
    </row>
    <row r="5" spans="1:11" x14ac:dyDescent="0.3">
      <c r="A5" s="1" t="s">
        <v>34</v>
      </c>
    </row>
    <row r="6" spans="1:11" x14ac:dyDescent="0.3">
      <c r="A6" s="3" t="s">
        <v>27</v>
      </c>
      <c r="B6" s="3">
        <f>IF(B9&gt;0, B9/B8, 0)</f>
        <v>405.53910883521854</v>
      </c>
    </row>
    <row r="7" spans="1:11" x14ac:dyDescent="0.3">
      <c r="A7" s="3" t="s">
        <v>16</v>
      </c>
      <c r="B7">
        <v>5</v>
      </c>
    </row>
    <row r="8" spans="1:11" x14ac:dyDescent="0.3">
      <c r="A8" s="3" t="s">
        <v>28</v>
      </c>
      <c r="B8">
        <v>1308.4000000000001</v>
      </c>
    </row>
    <row r="9" spans="1:11" x14ac:dyDescent="0.3">
      <c r="A9" s="3" t="s">
        <v>44</v>
      </c>
      <c r="B9">
        <v>530607.37</v>
      </c>
    </row>
    <row r="14" spans="1:11" x14ac:dyDescent="0.3">
      <c r="C14" s="32"/>
    </row>
    <row r="15" spans="1:11" x14ac:dyDescent="0.3">
      <c r="A15" s="1" t="s">
        <v>22</v>
      </c>
    </row>
    <row r="16" spans="1:11" s="7" customFormat="1" x14ac:dyDescent="0.3">
      <c r="A16" s="6" t="s">
        <v>23</v>
      </c>
      <c r="B16" s="5">
        <v>42460</v>
      </c>
      <c r="C16" s="5">
        <v>42825</v>
      </c>
      <c r="D16" s="5">
        <v>43190</v>
      </c>
      <c r="E16" s="5">
        <v>43555</v>
      </c>
      <c r="F16" s="5">
        <v>43921</v>
      </c>
      <c r="G16" s="5">
        <v>44286</v>
      </c>
      <c r="H16" s="5">
        <v>44651</v>
      </c>
      <c r="I16" s="5">
        <v>45016</v>
      </c>
      <c r="J16" s="5">
        <v>45382</v>
      </c>
      <c r="K16" s="5">
        <v>45747</v>
      </c>
    </row>
    <row r="17" spans="1:11" s="4" customFormat="1" x14ac:dyDescent="0.3">
      <c r="A17" s="4" t="s">
        <v>1</v>
      </c>
      <c r="B17">
        <v>62441</v>
      </c>
      <c r="C17">
        <v>68484</v>
      </c>
      <c r="D17">
        <v>70522</v>
      </c>
      <c r="E17">
        <v>82675</v>
      </c>
      <c r="F17">
        <v>90791</v>
      </c>
      <c r="G17">
        <v>100472</v>
      </c>
      <c r="H17">
        <v>121641</v>
      </c>
      <c r="I17">
        <v>146767</v>
      </c>
      <c r="J17">
        <v>153670</v>
      </c>
      <c r="K17">
        <v>162990</v>
      </c>
    </row>
    <row r="18" spans="1:11" s="4" customFormat="1" x14ac:dyDescent="0.3">
      <c r="A18" s="3" t="s">
        <v>45</v>
      </c>
    </row>
    <row r="19" spans="1:11" s="4" customFormat="1" x14ac:dyDescent="0.3">
      <c r="A19" s="3" t="s">
        <v>46</v>
      </c>
    </row>
    <row r="20" spans="1:11" s="4" customFormat="1" x14ac:dyDescent="0.3">
      <c r="A20" s="3" t="s">
        <v>47</v>
      </c>
      <c r="B20">
        <v>217</v>
      </c>
      <c r="C20">
        <v>228</v>
      </c>
      <c r="D20">
        <v>207</v>
      </c>
      <c r="E20">
        <v>221</v>
      </c>
      <c r="F20">
        <v>229</v>
      </c>
      <c r="G20">
        <v>143</v>
      </c>
      <c r="H20">
        <v>132</v>
      </c>
      <c r="I20">
        <v>176</v>
      </c>
      <c r="J20">
        <v>199</v>
      </c>
      <c r="K20">
        <v>222</v>
      </c>
    </row>
    <row r="21" spans="1:11" s="4" customFormat="1" x14ac:dyDescent="0.3">
      <c r="A21" s="3" t="s">
        <v>48</v>
      </c>
      <c r="B21">
        <v>5860</v>
      </c>
      <c r="C21">
        <v>6712</v>
      </c>
      <c r="D21">
        <v>7286</v>
      </c>
      <c r="E21">
        <v>9902</v>
      </c>
      <c r="F21">
        <v>11086</v>
      </c>
      <c r="G21">
        <v>12800</v>
      </c>
      <c r="H21">
        <v>20690</v>
      </c>
      <c r="I21">
        <v>26330</v>
      </c>
      <c r="J21">
        <v>27195</v>
      </c>
      <c r="K21">
        <v>30395</v>
      </c>
    </row>
    <row r="22" spans="1:11" s="4" customFormat="1" x14ac:dyDescent="0.3">
      <c r="A22" s="3" t="s">
        <v>49</v>
      </c>
      <c r="B22">
        <v>34415</v>
      </c>
      <c r="C22">
        <v>37669</v>
      </c>
      <c r="D22">
        <v>38902</v>
      </c>
      <c r="E22">
        <v>45323</v>
      </c>
      <c r="F22">
        <v>50895</v>
      </c>
      <c r="G22">
        <v>55547</v>
      </c>
      <c r="H22">
        <v>63997</v>
      </c>
      <c r="I22">
        <v>78374</v>
      </c>
      <c r="J22">
        <v>82636</v>
      </c>
      <c r="K22">
        <v>85968</v>
      </c>
    </row>
    <row r="23" spans="1:11" s="4" customFormat="1" x14ac:dyDescent="0.3">
      <c r="A23" s="3" t="s">
        <v>50</v>
      </c>
      <c r="B23">
        <v>4441</v>
      </c>
      <c r="C23">
        <v>4584</v>
      </c>
      <c r="D23">
        <v>4585</v>
      </c>
      <c r="E23">
        <v>5553</v>
      </c>
      <c r="F23">
        <v>5375</v>
      </c>
      <c r="G23">
        <v>3194</v>
      </c>
      <c r="H23">
        <v>4305</v>
      </c>
      <c r="I23">
        <v>5300</v>
      </c>
      <c r="J23">
        <v>5705</v>
      </c>
      <c r="K23">
        <v>6039</v>
      </c>
    </row>
    <row r="24" spans="1:11" s="4" customFormat="1" x14ac:dyDescent="0.3">
      <c r="A24" s="3" t="s">
        <v>51</v>
      </c>
      <c r="B24">
        <v>429</v>
      </c>
      <c r="C24">
        <v>687</v>
      </c>
      <c r="D24">
        <v>720</v>
      </c>
      <c r="E24">
        <v>1506</v>
      </c>
      <c r="F24">
        <v>939</v>
      </c>
      <c r="G24">
        <v>899</v>
      </c>
      <c r="H24">
        <v>1026</v>
      </c>
      <c r="I24">
        <v>1457</v>
      </c>
      <c r="J24">
        <v>1510</v>
      </c>
      <c r="K24">
        <v>1130</v>
      </c>
    </row>
    <row r="25" spans="1:11" s="4" customFormat="1" x14ac:dyDescent="0.3">
      <c r="A25" s="4" t="s">
        <v>4</v>
      </c>
      <c r="B25">
        <v>3120</v>
      </c>
      <c r="C25">
        <v>3050</v>
      </c>
      <c r="D25">
        <v>3311</v>
      </c>
      <c r="E25">
        <v>2882</v>
      </c>
      <c r="F25">
        <v>2803</v>
      </c>
      <c r="G25">
        <v>2201</v>
      </c>
      <c r="H25">
        <v>2295</v>
      </c>
      <c r="I25">
        <v>2701</v>
      </c>
      <c r="J25">
        <v>4711</v>
      </c>
      <c r="K25">
        <v>3600</v>
      </c>
    </row>
    <row r="26" spans="1:11" s="4" customFormat="1" x14ac:dyDescent="0.3">
      <c r="A26" s="4" t="s">
        <v>5</v>
      </c>
      <c r="B26">
        <v>1459</v>
      </c>
      <c r="C26">
        <v>1703</v>
      </c>
      <c r="D26">
        <v>1863</v>
      </c>
      <c r="E26">
        <v>2011</v>
      </c>
      <c r="F26">
        <v>2893</v>
      </c>
      <c r="G26">
        <v>3267</v>
      </c>
      <c r="H26">
        <v>3476</v>
      </c>
      <c r="I26">
        <v>4225</v>
      </c>
      <c r="J26">
        <v>4678</v>
      </c>
      <c r="K26">
        <v>4812</v>
      </c>
    </row>
    <row r="27" spans="1:11" s="4" customFormat="1" x14ac:dyDescent="0.3">
      <c r="A27" s="4" t="s">
        <v>6</v>
      </c>
      <c r="F27">
        <v>170</v>
      </c>
      <c r="G27">
        <v>195</v>
      </c>
      <c r="H27">
        <v>200</v>
      </c>
      <c r="I27">
        <v>284</v>
      </c>
      <c r="J27">
        <v>470</v>
      </c>
      <c r="K27">
        <v>416</v>
      </c>
    </row>
    <row r="28" spans="1:11" s="4" customFormat="1" x14ac:dyDescent="0.3">
      <c r="A28" s="4" t="s">
        <v>7</v>
      </c>
      <c r="B28">
        <v>18740</v>
      </c>
      <c r="C28">
        <v>19951</v>
      </c>
      <c r="D28">
        <v>20270</v>
      </c>
      <c r="E28">
        <v>21041</v>
      </c>
      <c r="F28">
        <v>22007</v>
      </c>
      <c r="G28">
        <v>26628</v>
      </c>
      <c r="H28">
        <v>30110</v>
      </c>
      <c r="I28">
        <v>33322</v>
      </c>
      <c r="J28">
        <v>35988</v>
      </c>
      <c r="K28">
        <v>37608</v>
      </c>
    </row>
    <row r="29" spans="1:11" s="4" customFormat="1" x14ac:dyDescent="0.3">
      <c r="A29" s="4" t="s">
        <v>8</v>
      </c>
      <c r="B29">
        <v>5251</v>
      </c>
      <c r="C29">
        <v>5598</v>
      </c>
      <c r="D29">
        <v>4241</v>
      </c>
      <c r="E29">
        <v>5631</v>
      </c>
      <c r="F29">
        <v>5368</v>
      </c>
      <c r="G29">
        <v>7205</v>
      </c>
      <c r="H29">
        <v>7964</v>
      </c>
      <c r="I29">
        <v>9214</v>
      </c>
      <c r="J29">
        <v>9740</v>
      </c>
      <c r="K29">
        <v>10858</v>
      </c>
    </row>
    <row r="30" spans="1:11" s="4" customFormat="1" x14ac:dyDescent="0.3">
      <c r="A30" s="4" t="s">
        <v>9</v>
      </c>
      <c r="B30">
        <v>13489</v>
      </c>
      <c r="C30">
        <v>14353</v>
      </c>
      <c r="D30">
        <v>16029</v>
      </c>
      <c r="E30">
        <v>15404</v>
      </c>
      <c r="F30">
        <v>16594</v>
      </c>
      <c r="G30">
        <v>19351</v>
      </c>
      <c r="H30">
        <v>22110</v>
      </c>
      <c r="I30">
        <v>24095</v>
      </c>
      <c r="J30">
        <v>26233</v>
      </c>
      <c r="K30">
        <v>26713</v>
      </c>
    </row>
    <row r="31" spans="1:11" s="4" customFormat="1" x14ac:dyDescent="0.3">
      <c r="A31" s="4" t="s">
        <v>35</v>
      </c>
      <c r="B31">
        <v>5548.4</v>
      </c>
      <c r="C31">
        <v>5891.6</v>
      </c>
      <c r="D31">
        <v>9465.6</v>
      </c>
      <c r="E31">
        <v>9222.5</v>
      </c>
      <c r="F31">
        <v>7427</v>
      </c>
      <c r="G31">
        <v>11469.6</v>
      </c>
      <c r="H31">
        <v>13007.6</v>
      </c>
      <c r="I31">
        <v>14069.2</v>
      </c>
      <c r="J31">
        <v>19053.2</v>
      </c>
      <c r="K31">
        <v>17827.8</v>
      </c>
    </row>
    <row r="32" spans="1:11" s="4" customFormat="1" x14ac:dyDescent="0.3">
      <c r="A32" s="4" t="s">
        <v>64</v>
      </c>
      <c r="B32" s="36">
        <f>IFERROR(B17-SUM(B20:B24),0)</f>
        <v>17079</v>
      </c>
      <c r="C32" s="36">
        <f t="shared" ref="C32:K32" si="0">IFERROR(C17-SUM(C20:C24),0)</f>
        <v>18604</v>
      </c>
      <c r="D32" s="36">
        <f t="shared" si="0"/>
        <v>18822</v>
      </c>
      <c r="E32" s="36">
        <f t="shared" si="0"/>
        <v>20170</v>
      </c>
      <c r="F32" s="36">
        <f t="shared" si="0"/>
        <v>22267</v>
      </c>
      <c r="G32" s="36">
        <f t="shared" si="0"/>
        <v>27889</v>
      </c>
      <c r="H32" s="36">
        <f t="shared" si="0"/>
        <v>31491</v>
      </c>
      <c r="I32" s="36">
        <f t="shared" si="0"/>
        <v>35130</v>
      </c>
      <c r="J32" s="36">
        <f t="shared" si="0"/>
        <v>36425</v>
      </c>
      <c r="K32" s="36">
        <f t="shared" si="0"/>
        <v>39236</v>
      </c>
    </row>
    <row r="33" spans="1:11" x14ac:dyDescent="0.3">
      <c r="A33" s="4"/>
    </row>
    <row r="34" spans="1:11" x14ac:dyDescent="0.3">
      <c r="A34" s="4"/>
    </row>
    <row r="35" spans="1:11" x14ac:dyDescent="0.3">
      <c r="A35" s="4"/>
    </row>
    <row r="36" spans="1:11" x14ac:dyDescent="0.3">
      <c r="A36" s="4"/>
    </row>
    <row r="37" spans="1:11" x14ac:dyDescent="0.3">
      <c r="A37" s="4"/>
    </row>
    <row r="38" spans="1:11" x14ac:dyDescent="0.3">
      <c r="A38" s="4"/>
    </row>
    <row r="39" spans="1:11" x14ac:dyDescent="0.3">
      <c r="A39" s="4"/>
    </row>
    <row r="40" spans="1:11" x14ac:dyDescent="0.3">
      <c r="A40" s="1" t="s">
        <v>24</v>
      </c>
    </row>
    <row r="41" spans="1:11" s="7" customFormat="1" x14ac:dyDescent="0.3">
      <c r="A41" s="6" t="s">
        <v>23</v>
      </c>
      <c r="B41" s="5">
        <v>45199</v>
      </c>
      <c r="C41" s="5">
        <v>45291</v>
      </c>
      <c r="D41" s="5">
        <v>45382</v>
      </c>
      <c r="E41" s="5">
        <v>45473</v>
      </c>
      <c r="F41" s="5">
        <v>45565</v>
      </c>
      <c r="G41" s="5">
        <v>45657</v>
      </c>
      <c r="H41" s="5">
        <v>45747</v>
      </c>
      <c r="I41" s="5">
        <v>45838</v>
      </c>
      <c r="J41" s="5">
        <v>45930</v>
      </c>
      <c r="K41" s="5">
        <v>46022</v>
      </c>
    </row>
    <row r="42" spans="1:11" s="4" customFormat="1" x14ac:dyDescent="0.3">
      <c r="A42" s="4" t="s">
        <v>1</v>
      </c>
      <c r="B42">
        <v>38994</v>
      </c>
      <c r="C42">
        <v>38821</v>
      </c>
      <c r="D42">
        <v>37923</v>
      </c>
      <c r="E42">
        <v>39315</v>
      </c>
      <c r="F42">
        <v>40986</v>
      </c>
      <c r="G42">
        <v>41764</v>
      </c>
      <c r="H42">
        <v>40925</v>
      </c>
      <c r="I42">
        <v>42279</v>
      </c>
      <c r="J42">
        <v>44490</v>
      </c>
      <c r="K42">
        <v>45479</v>
      </c>
    </row>
    <row r="43" spans="1:11" s="4" customFormat="1" x14ac:dyDescent="0.3">
      <c r="A43" s="4" t="s">
        <v>2</v>
      </c>
      <c r="B43">
        <v>29554</v>
      </c>
      <c r="C43">
        <v>29684</v>
      </c>
      <c r="D43">
        <v>29139</v>
      </c>
      <c r="E43">
        <v>29878</v>
      </c>
      <c r="F43">
        <v>31177</v>
      </c>
      <c r="G43">
        <v>31649</v>
      </c>
      <c r="H43">
        <v>31051</v>
      </c>
      <c r="I43">
        <v>32336</v>
      </c>
      <c r="J43">
        <v>33955</v>
      </c>
      <c r="K43">
        <v>34845</v>
      </c>
    </row>
    <row r="44" spans="1:11" s="4" customFormat="1" x14ac:dyDescent="0.3">
      <c r="A44" s="4" t="s">
        <v>4</v>
      </c>
      <c r="B44">
        <v>632</v>
      </c>
      <c r="C44">
        <v>789</v>
      </c>
      <c r="D44">
        <v>2729</v>
      </c>
      <c r="E44">
        <v>838</v>
      </c>
      <c r="F44">
        <v>712</v>
      </c>
      <c r="G44">
        <v>859</v>
      </c>
      <c r="H44">
        <v>1190</v>
      </c>
      <c r="I44">
        <v>1042</v>
      </c>
      <c r="J44">
        <v>982</v>
      </c>
      <c r="K44">
        <v>-150</v>
      </c>
    </row>
    <row r="45" spans="1:11" s="4" customFormat="1" x14ac:dyDescent="0.3">
      <c r="A45" s="4" t="s">
        <v>5</v>
      </c>
      <c r="B45">
        <v>1166</v>
      </c>
      <c r="C45">
        <v>1176</v>
      </c>
      <c r="D45">
        <v>1163</v>
      </c>
      <c r="E45">
        <v>1149</v>
      </c>
      <c r="F45">
        <v>1160</v>
      </c>
      <c r="G45">
        <v>1203</v>
      </c>
      <c r="H45">
        <v>1299</v>
      </c>
      <c r="I45">
        <v>1140</v>
      </c>
      <c r="J45">
        <v>1182</v>
      </c>
      <c r="K45">
        <v>1155</v>
      </c>
    </row>
    <row r="46" spans="1:11" s="4" customFormat="1" x14ac:dyDescent="0.3">
      <c r="A46" s="4" t="s">
        <v>6</v>
      </c>
      <c r="B46">
        <v>138</v>
      </c>
      <c r="C46">
        <v>131</v>
      </c>
      <c r="D46">
        <v>110</v>
      </c>
      <c r="E46">
        <v>105</v>
      </c>
      <c r="F46">
        <v>108</v>
      </c>
      <c r="G46">
        <v>101</v>
      </c>
      <c r="H46">
        <v>102</v>
      </c>
      <c r="I46">
        <v>105</v>
      </c>
      <c r="J46">
        <v>106</v>
      </c>
      <c r="K46">
        <v>100</v>
      </c>
    </row>
    <row r="47" spans="1:11" s="4" customFormat="1" x14ac:dyDescent="0.3">
      <c r="A47" s="4" t="s">
        <v>7</v>
      </c>
      <c r="B47">
        <v>8768</v>
      </c>
      <c r="C47">
        <v>8619</v>
      </c>
      <c r="D47">
        <v>10240</v>
      </c>
      <c r="E47">
        <v>9021</v>
      </c>
      <c r="F47">
        <v>9253</v>
      </c>
      <c r="G47">
        <v>9670</v>
      </c>
      <c r="H47">
        <v>9663</v>
      </c>
      <c r="I47">
        <v>9740</v>
      </c>
      <c r="J47">
        <v>10229</v>
      </c>
      <c r="K47">
        <v>9229</v>
      </c>
    </row>
    <row r="48" spans="1:11" s="4" customFormat="1" x14ac:dyDescent="0.3">
      <c r="A48" s="4" t="s">
        <v>8</v>
      </c>
      <c r="B48">
        <v>2553</v>
      </c>
      <c r="C48">
        <v>2506</v>
      </c>
      <c r="D48">
        <v>2265</v>
      </c>
      <c r="E48">
        <v>2647</v>
      </c>
      <c r="F48">
        <v>2737</v>
      </c>
      <c r="G48">
        <v>2848</v>
      </c>
      <c r="H48">
        <v>2625</v>
      </c>
      <c r="I48">
        <v>2816</v>
      </c>
      <c r="J48">
        <v>2854</v>
      </c>
      <c r="K48">
        <v>2563</v>
      </c>
    </row>
    <row r="49" spans="1:11" s="4" customFormat="1" x14ac:dyDescent="0.3">
      <c r="A49" s="4" t="s">
        <v>9</v>
      </c>
      <c r="B49">
        <v>6212</v>
      </c>
      <c r="C49">
        <v>6106</v>
      </c>
      <c r="D49">
        <v>7969</v>
      </c>
      <c r="E49">
        <v>6368</v>
      </c>
      <c r="F49">
        <v>6506</v>
      </c>
      <c r="G49">
        <v>6806</v>
      </c>
      <c r="H49">
        <v>7033</v>
      </c>
      <c r="I49">
        <v>6921</v>
      </c>
      <c r="J49">
        <v>7364</v>
      </c>
      <c r="K49">
        <v>6654</v>
      </c>
    </row>
    <row r="50" spans="1:11" x14ac:dyDescent="0.3">
      <c r="A50" s="4" t="s">
        <v>3</v>
      </c>
      <c r="B50">
        <v>9440</v>
      </c>
      <c r="C50">
        <v>9137</v>
      </c>
      <c r="D50">
        <v>8784</v>
      </c>
      <c r="E50">
        <v>9437</v>
      </c>
      <c r="F50">
        <v>9809</v>
      </c>
      <c r="G50">
        <v>10115</v>
      </c>
      <c r="H50">
        <v>9874</v>
      </c>
      <c r="I50">
        <v>9943</v>
      </c>
      <c r="J50">
        <v>10535</v>
      </c>
      <c r="K50">
        <v>10634</v>
      </c>
    </row>
    <row r="51" spans="1:11" x14ac:dyDescent="0.3">
      <c r="A51" s="4"/>
    </row>
    <row r="52" spans="1:11" x14ac:dyDescent="0.3">
      <c r="A52" s="4"/>
    </row>
    <row r="53" spans="1:11" x14ac:dyDescent="0.3">
      <c r="A53" s="4"/>
      <c r="H53" s="96"/>
      <c r="I53" s="96"/>
      <c r="J53" s="96"/>
      <c r="K53" s="96"/>
    </row>
    <row r="54" spans="1:11" x14ac:dyDescent="0.3">
      <c r="A54" s="4"/>
    </row>
    <row r="55" spans="1:11" x14ac:dyDescent="0.3">
      <c r="A55" s="1" t="s">
        <v>25</v>
      </c>
    </row>
    <row r="56" spans="1:11" s="7" customFormat="1" x14ac:dyDescent="0.3">
      <c r="A56" s="6" t="s">
        <v>23</v>
      </c>
      <c r="B56" s="5">
        <v>42460</v>
      </c>
      <c r="C56" s="5">
        <v>42825</v>
      </c>
      <c r="D56" s="5">
        <v>43190</v>
      </c>
      <c r="E56" s="5">
        <v>43555</v>
      </c>
      <c r="F56" s="5">
        <v>43921</v>
      </c>
      <c r="G56" s="5">
        <v>44286</v>
      </c>
      <c r="H56" s="5">
        <v>44651</v>
      </c>
      <c r="I56" s="5">
        <v>45016</v>
      </c>
      <c r="J56" s="5">
        <v>45382</v>
      </c>
      <c r="K56" s="5">
        <v>45747</v>
      </c>
    </row>
    <row r="57" spans="1:11" x14ac:dyDescent="0.3">
      <c r="A57" s="4" t="s">
        <v>10</v>
      </c>
      <c r="B57">
        <v>1144</v>
      </c>
      <c r="C57">
        <v>1144</v>
      </c>
      <c r="D57">
        <v>1088</v>
      </c>
      <c r="E57">
        <v>2170</v>
      </c>
      <c r="F57">
        <v>2122</v>
      </c>
      <c r="G57">
        <v>2124</v>
      </c>
      <c r="H57">
        <v>2098</v>
      </c>
      <c r="I57">
        <v>2069</v>
      </c>
      <c r="J57">
        <v>2071</v>
      </c>
      <c r="K57">
        <v>2073</v>
      </c>
    </row>
    <row r="58" spans="1:11" x14ac:dyDescent="0.3">
      <c r="A58" s="4" t="s">
        <v>11</v>
      </c>
      <c r="B58">
        <v>60600</v>
      </c>
      <c r="C58">
        <v>67838</v>
      </c>
      <c r="D58">
        <v>63835</v>
      </c>
      <c r="E58">
        <v>62778</v>
      </c>
      <c r="F58">
        <v>63328</v>
      </c>
      <c r="G58">
        <v>74227</v>
      </c>
      <c r="H58">
        <v>73252</v>
      </c>
      <c r="I58">
        <v>73338</v>
      </c>
      <c r="J58">
        <v>86045</v>
      </c>
      <c r="K58">
        <v>93745</v>
      </c>
    </row>
    <row r="59" spans="1:11" x14ac:dyDescent="0.3">
      <c r="A59" s="4" t="s">
        <v>36</v>
      </c>
      <c r="F59">
        <v>4633</v>
      </c>
      <c r="G59">
        <v>5325</v>
      </c>
      <c r="H59">
        <v>5474</v>
      </c>
      <c r="I59">
        <v>8299</v>
      </c>
      <c r="J59">
        <v>8359</v>
      </c>
      <c r="K59">
        <v>8227</v>
      </c>
    </row>
    <row r="60" spans="1:11" x14ac:dyDescent="0.3">
      <c r="A60" s="4" t="s">
        <v>37</v>
      </c>
      <c r="B60">
        <v>13354</v>
      </c>
      <c r="C60">
        <v>14166</v>
      </c>
      <c r="D60">
        <v>14426</v>
      </c>
      <c r="E60">
        <v>19118</v>
      </c>
      <c r="F60">
        <v>21717</v>
      </c>
      <c r="G60">
        <v>25835</v>
      </c>
      <c r="H60">
        <v>35905</v>
      </c>
      <c r="I60">
        <v>40890</v>
      </c>
      <c r="J60">
        <v>40885</v>
      </c>
      <c r="K60">
        <v>43750</v>
      </c>
    </row>
    <row r="61" spans="1:11" s="1" customFormat="1" x14ac:dyDescent="0.3">
      <c r="A61" s="1" t="s">
        <v>12</v>
      </c>
      <c r="B61">
        <v>75098</v>
      </c>
      <c r="C61">
        <v>83148</v>
      </c>
      <c r="D61">
        <v>79349</v>
      </c>
      <c r="E61">
        <v>84066</v>
      </c>
      <c r="F61">
        <v>91800</v>
      </c>
      <c r="G61">
        <v>107511</v>
      </c>
      <c r="H61">
        <v>116729</v>
      </c>
      <c r="I61">
        <v>124596</v>
      </c>
      <c r="J61">
        <v>137360</v>
      </c>
      <c r="K61">
        <v>147795</v>
      </c>
    </row>
    <row r="62" spans="1:11" x14ac:dyDescent="0.3">
      <c r="A62" s="4" t="s">
        <v>13</v>
      </c>
      <c r="B62">
        <v>13386</v>
      </c>
      <c r="C62">
        <v>14179</v>
      </c>
      <c r="D62">
        <v>12574</v>
      </c>
      <c r="E62">
        <v>15710</v>
      </c>
      <c r="F62">
        <v>23789</v>
      </c>
      <c r="G62">
        <v>25505</v>
      </c>
      <c r="H62">
        <v>25800</v>
      </c>
      <c r="I62">
        <v>29225</v>
      </c>
      <c r="J62">
        <v>27622</v>
      </c>
      <c r="K62">
        <v>30961</v>
      </c>
    </row>
    <row r="63" spans="1:11" x14ac:dyDescent="0.3">
      <c r="A63" s="4" t="s">
        <v>14</v>
      </c>
      <c r="B63">
        <v>960</v>
      </c>
      <c r="C63">
        <v>1365</v>
      </c>
      <c r="D63">
        <v>1606</v>
      </c>
      <c r="E63">
        <v>1388</v>
      </c>
      <c r="F63">
        <v>954</v>
      </c>
      <c r="G63">
        <v>922</v>
      </c>
      <c r="H63">
        <v>416</v>
      </c>
      <c r="I63">
        <v>288</v>
      </c>
      <c r="J63">
        <v>293</v>
      </c>
      <c r="K63">
        <v>814</v>
      </c>
    </row>
    <row r="64" spans="1:11" x14ac:dyDescent="0.3">
      <c r="A64" s="4" t="s">
        <v>15</v>
      </c>
      <c r="B64">
        <v>1892</v>
      </c>
      <c r="C64">
        <v>16423</v>
      </c>
      <c r="D64">
        <v>12163</v>
      </c>
      <c r="E64">
        <v>11261</v>
      </c>
      <c r="F64">
        <v>8792</v>
      </c>
      <c r="G64">
        <v>14205</v>
      </c>
      <c r="H64">
        <v>20324</v>
      </c>
      <c r="I64">
        <v>19478</v>
      </c>
      <c r="J64">
        <v>24623</v>
      </c>
      <c r="K64">
        <v>23541</v>
      </c>
    </row>
    <row r="65" spans="1:11" x14ac:dyDescent="0.3">
      <c r="A65" s="4" t="s">
        <v>38</v>
      </c>
      <c r="B65">
        <v>58860</v>
      </c>
      <c r="C65">
        <v>51181</v>
      </c>
      <c r="D65">
        <v>53006</v>
      </c>
      <c r="E65">
        <v>55707</v>
      </c>
      <c r="F65">
        <v>58265</v>
      </c>
      <c r="G65">
        <v>66879</v>
      </c>
      <c r="H65">
        <v>70189</v>
      </c>
      <c r="I65">
        <v>75605</v>
      </c>
      <c r="J65">
        <v>84822</v>
      </c>
      <c r="K65">
        <v>92479</v>
      </c>
    </row>
    <row r="66" spans="1:11" s="1" customFormat="1" x14ac:dyDescent="0.3">
      <c r="A66" s="1" t="s">
        <v>12</v>
      </c>
      <c r="B66">
        <v>75098</v>
      </c>
      <c r="C66">
        <v>83148</v>
      </c>
      <c r="D66">
        <v>79349</v>
      </c>
      <c r="E66">
        <v>84066</v>
      </c>
      <c r="F66">
        <v>91800</v>
      </c>
      <c r="G66">
        <v>107511</v>
      </c>
      <c r="H66">
        <v>116729</v>
      </c>
      <c r="I66">
        <v>124596</v>
      </c>
      <c r="J66">
        <v>137360</v>
      </c>
      <c r="K66">
        <v>147795</v>
      </c>
    </row>
    <row r="67" spans="1:11" s="4" customFormat="1" x14ac:dyDescent="0.3">
      <c r="A67" s="4" t="s">
        <v>43</v>
      </c>
      <c r="B67">
        <v>11330</v>
      </c>
      <c r="C67">
        <v>12322</v>
      </c>
      <c r="D67">
        <v>13142</v>
      </c>
      <c r="E67">
        <v>14827</v>
      </c>
      <c r="F67">
        <v>18487</v>
      </c>
      <c r="G67">
        <v>19294</v>
      </c>
      <c r="H67">
        <v>22698</v>
      </c>
      <c r="I67">
        <v>25424</v>
      </c>
      <c r="J67">
        <v>30193</v>
      </c>
      <c r="K67">
        <v>31158</v>
      </c>
    </row>
    <row r="68" spans="1:11" x14ac:dyDescent="0.3">
      <c r="A68" s="4" t="s">
        <v>29</v>
      </c>
    </row>
    <row r="69" spans="1:11" x14ac:dyDescent="0.3">
      <c r="A69" s="3" t="s">
        <v>52</v>
      </c>
      <c r="B69">
        <v>32697</v>
      </c>
      <c r="C69">
        <v>22625</v>
      </c>
      <c r="D69">
        <v>19818</v>
      </c>
      <c r="E69">
        <v>19568</v>
      </c>
      <c r="F69">
        <v>18649</v>
      </c>
      <c r="G69">
        <v>24714</v>
      </c>
      <c r="H69">
        <v>17472</v>
      </c>
      <c r="I69">
        <v>12173</v>
      </c>
      <c r="J69">
        <v>14786</v>
      </c>
      <c r="K69">
        <v>24455</v>
      </c>
    </row>
    <row r="70" spans="1:11" x14ac:dyDescent="0.3">
      <c r="A70" s="3" t="s">
        <v>39</v>
      </c>
      <c r="B70">
        <v>2285621088</v>
      </c>
      <c r="C70">
        <v>2285655150</v>
      </c>
      <c r="D70">
        <v>2173312301</v>
      </c>
      <c r="E70">
        <v>4335954462</v>
      </c>
      <c r="F70">
        <v>4240753210</v>
      </c>
      <c r="G70">
        <v>4245146114</v>
      </c>
      <c r="H70">
        <v>4193012929</v>
      </c>
      <c r="I70">
        <v>4136387925</v>
      </c>
      <c r="J70">
        <v>4139950635</v>
      </c>
      <c r="K70">
        <v>4143607528</v>
      </c>
    </row>
    <row r="71" spans="1:11" x14ac:dyDescent="0.3">
      <c r="A71" s="3" t="s">
        <v>40</v>
      </c>
      <c r="B71">
        <v>1148472332</v>
      </c>
      <c r="E71">
        <v>2184191490</v>
      </c>
    </row>
    <row r="72" spans="1:11" x14ac:dyDescent="0.3">
      <c r="A72" s="3" t="s">
        <v>53</v>
      </c>
      <c r="B72">
        <v>5</v>
      </c>
      <c r="C72">
        <v>5</v>
      </c>
      <c r="D72">
        <v>5</v>
      </c>
      <c r="E72">
        <v>5</v>
      </c>
      <c r="F72">
        <v>5</v>
      </c>
      <c r="G72">
        <v>5</v>
      </c>
      <c r="H72">
        <v>5</v>
      </c>
      <c r="I72">
        <v>5</v>
      </c>
      <c r="J72">
        <v>5</v>
      </c>
      <c r="K72">
        <v>5</v>
      </c>
    </row>
    <row r="74" spans="1:11" x14ac:dyDescent="0.3">
      <c r="A74" s="4" t="s">
        <v>38</v>
      </c>
      <c r="B74" s="38">
        <v>14833</v>
      </c>
      <c r="C74" s="38">
        <v>16234</v>
      </c>
      <c r="D74" s="38">
        <v>20046</v>
      </c>
      <c r="E74" s="38">
        <v>21312</v>
      </c>
      <c r="F74" s="38">
        <v>21129</v>
      </c>
      <c r="G74" s="38">
        <v>22871</v>
      </c>
      <c r="H74" s="38">
        <v>30019</v>
      </c>
      <c r="I74" s="38">
        <v>38008</v>
      </c>
      <c r="J74" s="38">
        <v>39843</v>
      </c>
      <c r="K74" s="38">
        <v>36866</v>
      </c>
    </row>
    <row r="75" spans="1:11" x14ac:dyDescent="0.3">
      <c r="A75" s="4"/>
    </row>
    <row r="76" spans="1:11" x14ac:dyDescent="0.3">
      <c r="A76" s="4"/>
    </row>
    <row r="77" spans="1:11" x14ac:dyDescent="0.3">
      <c r="A77" s="4"/>
    </row>
    <row r="78" spans="1:11" x14ac:dyDescent="0.3">
      <c r="A78" s="4"/>
    </row>
    <row r="79" spans="1:11" x14ac:dyDescent="0.3">
      <c r="A79" s="4"/>
    </row>
    <row r="80" spans="1:11" x14ac:dyDescent="0.3">
      <c r="A80" s="1" t="s">
        <v>26</v>
      </c>
    </row>
    <row r="81" spans="1:11" s="7" customFormat="1" x14ac:dyDescent="0.3">
      <c r="A81" s="6" t="s">
        <v>23</v>
      </c>
      <c r="B81" s="5">
        <v>42460</v>
      </c>
      <c r="C81" s="5">
        <v>42825</v>
      </c>
      <c r="D81" s="5">
        <v>43190</v>
      </c>
      <c r="E81" s="5">
        <v>43555</v>
      </c>
      <c r="F81" s="5">
        <v>43921</v>
      </c>
      <c r="G81" s="5">
        <v>44286</v>
      </c>
      <c r="H81" s="5">
        <v>44651</v>
      </c>
      <c r="I81" s="5">
        <v>45016</v>
      </c>
      <c r="J81" s="5">
        <v>45382</v>
      </c>
      <c r="K81" s="5">
        <v>45747</v>
      </c>
    </row>
    <row r="82" spans="1:11" s="1" customFormat="1" x14ac:dyDescent="0.3">
      <c r="A82" s="4" t="s">
        <v>17</v>
      </c>
      <c r="B82">
        <v>10028</v>
      </c>
      <c r="C82">
        <v>11531</v>
      </c>
      <c r="D82">
        <v>13218</v>
      </c>
      <c r="E82">
        <v>14841</v>
      </c>
      <c r="F82">
        <v>17003</v>
      </c>
      <c r="G82">
        <v>23224</v>
      </c>
      <c r="H82">
        <v>23885</v>
      </c>
      <c r="I82">
        <v>22467</v>
      </c>
      <c r="J82">
        <v>25210</v>
      </c>
      <c r="K82">
        <v>35694</v>
      </c>
    </row>
    <row r="83" spans="1:11" s="4" customFormat="1" x14ac:dyDescent="0.3">
      <c r="A83" s="4" t="s">
        <v>18</v>
      </c>
      <c r="B83">
        <v>-885</v>
      </c>
      <c r="C83">
        <v>-14664</v>
      </c>
      <c r="D83">
        <v>4533</v>
      </c>
      <c r="E83">
        <v>-632</v>
      </c>
      <c r="F83">
        <v>-331</v>
      </c>
      <c r="G83">
        <v>-7373</v>
      </c>
      <c r="H83">
        <v>-6485</v>
      </c>
      <c r="I83">
        <v>-1071</v>
      </c>
      <c r="J83">
        <v>-5093</v>
      </c>
      <c r="K83">
        <v>-1864</v>
      </c>
    </row>
    <row r="84" spans="1:11" s="4" customFormat="1" x14ac:dyDescent="0.3">
      <c r="A84" s="4" t="s">
        <v>19</v>
      </c>
      <c r="B84">
        <v>-6813</v>
      </c>
      <c r="C84">
        <v>-6939</v>
      </c>
      <c r="D84">
        <v>-20505</v>
      </c>
      <c r="E84">
        <v>-14512</v>
      </c>
      <c r="F84">
        <v>-17591</v>
      </c>
      <c r="G84">
        <v>-9786</v>
      </c>
      <c r="H84">
        <v>-24642</v>
      </c>
      <c r="I84">
        <v>-26695</v>
      </c>
      <c r="J84">
        <v>-17504</v>
      </c>
      <c r="K84">
        <v>-24161</v>
      </c>
    </row>
    <row r="85" spans="1:11" s="1" customFormat="1" x14ac:dyDescent="0.3">
      <c r="A85" s="4" t="s">
        <v>20</v>
      </c>
      <c r="B85">
        <v>2330</v>
      </c>
      <c r="C85">
        <v>-10072</v>
      </c>
      <c r="D85">
        <v>-2754</v>
      </c>
      <c r="E85">
        <v>-303</v>
      </c>
      <c r="F85">
        <v>-919</v>
      </c>
      <c r="G85">
        <v>6065</v>
      </c>
      <c r="H85">
        <v>-7242</v>
      </c>
      <c r="I85">
        <v>-5299</v>
      </c>
      <c r="J85">
        <v>2613</v>
      </c>
      <c r="K85">
        <v>9669</v>
      </c>
    </row>
    <row r="86" spans="1:11" x14ac:dyDescent="0.3">
      <c r="A86" s="4"/>
    </row>
    <row r="87" spans="1:11" x14ac:dyDescent="0.3">
      <c r="A87" s="4"/>
    </row>
    <row r="88" spans="1:11" x14ac:dyDescent="0.3">
      <c r="A88" s="4"/>
    </row>
    <row r="89" spans="1:11" x14ac:dyDescent="0.3">
      <c r="A89" s="4"/>
    </row>
    <row r="90" spans="1:11" s="1" customFormat="1" x14ac:dyDescent="0.3">
      <c r="A90" s="1" t="s">
        <v>42</v>
      </c>
      <c r="B90">
        <v>609.15</v>
      </c>
      <c r="C90">
        <v>511.13</v>
      </c>
      <c r="D90">
        <v>565.9</v>
      </c>
      <c r="E90">
        <v>743.85</v>
      </c>
      <c r="F90">
        <v>641.5</v>
      </c>
      <c r="G90">
        <v>1368.05</v>
      </c>
      <c r="H90">
        <v>1906.85</v>
      </c>
      <c r="I90">
        <v>1427.95</v>
      </c>
      <c r="J90">
        <v>1498.05</v>
      </c>
      <c r="K90">
        <v>1570.65</v>
      </c>
    </row>
    <row r="92" spans="1:11" s="1" customFormat="1" x14ac:dyDescent="0.3">
      <c r="A92" s="1" t="s">
        <v>41</v>
      </c>
    </row>
    <row r="93" spans="1:11" x14ac:dyDescent="0.3">
      <c r="A93" s="3" t="s">
        <v>54</v>
      </c>
      <c r="B93" s="9">
        <v>459.39</v>
      </c>
      <c r="C93" s="9">
        <v>459.39</v>
      </c>
      <c r="D93" s="9">
        <v>436.82</v>
      </c>
      <c r="E93" s="9">
        <v>436.89</v>
      </c>
      <c r="F93" s="9">
        <v>425.9</v>
      </c>
      <c r="G93" s="9">
        <v>426.07</v>
      </c>
      <c r="H93" s="9">
        <v>420.67</v>
      </c>
      <c r="I93" s="9">
        <v>414.86</v>
      </c>
      <c r="J93" s="9">
        <v>415.09</v>
      </c>
      <c r="K93" s="9">
        <v>415.33</v>
      </c>
    </row>
    <row r="96" spans="1:11" x14ac:dyDescent="0.3">
      <c r="A96" s="3" t="s">
        <v>378</v>
      </c>
      <c r="B96" s="3">
        <f>B93*B90</f>
        <v>279837.41849999997</v>
      </c>
      <c r="C96" s="3">
        <f t="shared" ref="C96:K96" si="1">C93*C90</f>
        <v>234808.01069999998</v>
      </c>
      <c r="D96" s="3">
        <f t="shared" si="1"/>
        <v>247196.43799999999</v>
      </c>
      <c r="E96" s="3">
        <f t="shared" si="1"/>
        <v>324980.62650000001</v>
      </c>
      <c r="F96" s="3">
        <f t="shared" si="1"/>
        <v>273214.84999999998</v>
      </c>
      <c r="G96" s="3">
        <f t="shared" si="1"/>
        <v>582885.06349999993</v>
      </c>
      <c r="H96" s="3">
        <f t="shared" si="1"/>
        <v>802154.5895</v>
      </c>
      <c r="I96" s="3">
        <f t="shared" si="1"/>
        <v>592399.33700000006</v>
      </c>
      <c r="J96" s="3">
        <f t="shared" si="1"/>
        <v>621825.57449999999</v>
      </c>
      <c r="K96" s="3">
        <f t="shared" si="1"/>
        <v>652338.06449999998</v>
      </c>
    </row>
    <row r="97" spans="1:11" x14ac:dyDescent="0.3">
      <c r="A97" s="3" t="s">
        <v>1139</v>
      </c>
      <c r="B97" s="3">
        <f>B59</f>
        <v>0</v>
      </c>
      <c r="C97" s="3">
        <f t="shared" ref="C97:K97" si="2">C59</f>
        <v>0</v>
      </c>
      <c r="D97" s="3">
        <f t="shared" si="2"/>
        <v>0</v>
      </c>
      <c r="E97" s="3">
        <f t="shared" si="2"/>
        <v>0</v>
      </c>
      <c r="F97" s="3">
        <f t="shared" si="2"/>
        <v>4633</v>
      </c>
      <c r="G97" s="3">
        <f t="shared" si="2"/>
        <v>5325</v>
      </c>
      <c r="H97" s="3">
        <f t="shared" si="2"/>
        <v>5474</v>
      </c>
      <c r="I97" s="3">
        <f t="shared" si="2"/>
        <v>8299</v>
      </c>
      <c r="J97" s="3">
        <f t="shared" si="2"/>
        <v>8359</v>
      </c>
      <c r="K97" s="3">
        <f t="shared" si="2"/>
        <v>8227</v>
      </c>
    </row>
    <row r="98" spans="1:11" x14ac:dyDescent="0.3">
      <c r="A98" s="3" t="s">
        <v>1140</v>
      </c>
      <c r="B98" s="3">
        <f>B69</f>
        <v>32697</v>
      </c>
      <c r="C98" s="3">
        <f t="shared" ref="C98:K98" si="3">C69</f>
        <v>22625</v>
      </c>
      <c r="D98" s="3">
        <f t="shared" si="3"/>
        <v>19818</v>
      </c>
      <c r="E98" s="3">
        <f t="shared" si="3"/>
        <v>19568</v>
      </c>
      <c r="F98" s="3">
        <f t="shared" si="3"/>
        <v>18649</v>
      </c>
      <c r="G98" s="3">
        <f t="shared" si="3"/>
        <v>24714</v>
      </c>
      <c r="H98" s="3">
        <f t="shared" si="3"/>
        <v>17472</v>
      </c>
      <c r="I98" s="3">
        <f t="shared" si="3"/>
        <v>12173</v>
      </c>
      <c r="J98" s="3">
        <f t="shared" si="3"/>
        <v>14786</v>
      </c>
      <c r="K98" s="3">
        <f t="shared" si="3"/>
        <v>24455</v>
      </c>
    </row>
    <row r="99" spans="1:11" x14ac:dyDescent="0.3">
      <c r="A99" s="3" t="s">
        <v>300</v>
      </c>
      <c r="B99" s="3">
        <f>(B96+B97)-B98</f>
        <v>247140.41849999997</v>
      </c>
      <c r="C99" s="3">
        <f t="shared" ref="C99:K99" si="4">(C96+C97)-C98</f>
        <v>212183.01069999998</v>
      </c>
      <c r="D99" s="3">
        <f t="shared" si="4"/>
        <v>227378.43799999999</v>
      </c>
      <c r="E99" s="3">
        <f t="shared" si="4"/>
        <v>305412.62650000001</v>
      </c>
      <c r="F99" s="3">
        <f t="shared" si="4"/>
        <v>259198.84999999998</v>
      </c>
      <c r="G99" s="3">
        <f t="shared" si="4"/>
        <v>563496.06349999993</v>
      </c>
      <c r="H99" s="3">
        <f t="shared" si="4"/>
        <v>790156.5895</v>
      </c>
      <c r="I99" s="3">
        <f t="shared" si="4"/>
        <v>588525.33700000006</v>
      </c>
      <c r="J99" s="3">
        <f t="shared" si="4"/>
        <v>615398.57449999999</v>
      </c>
      <c r="K99" s="3">
        <f t="shared" si="4"/>
        <v>636110.06449999998</v>
      </c>
    </row>
    <row r="101" spans="1:11" x14ac:dyDescent="0.3">
      <c r="A101" s="3" t="s">
        <v>1141</v>
      </c>
      <c r="B101" s="3">
        <f>B99/B32</f>
        <v>14.470426752151763</v>
      </c>
      <c r="C101" s="3">
        <f t="shared" ref="C101:K101" si="5">C99/C32</f>
        <v>11.405236008385293</v>
      </c>
      <c r="D101" s="3">
        <f t="shared" si="5"/>
        <v>12.080461056210817</v>
      </c>
      <c r="E101" s="3">
        <f t="shared" si="5"/>
        <v>15.141924962816065</v>
      </c>
      <c r="F101" s="3">
        <f t="shared" si="5"/>
        <v>11.640492657295548</v>
      </c>
      <c r="G101" s="3">
        <f t="shared" si="5"/>
        <v>20.204957635626947</v>
      </c>
      <c r="H101" s="3">
        <f t="shared" si="5"/>
        <v>25.091505176082055</v>
      </c>
      <c r="I101" s="3">
        <f t="shared" si="5"/>
        <v>16.752784998576718</v>
      </c>
      <c r="J101" s="3">
        <f t="shared" si="5"/>
        <v>16.894950569663692</v>
      </c>
      <c r="K101" s="3">
        <f t="shared" si="5"/>
        <v>16.21240861708635</v>
      </c>
    </row>
    <row r="102" spans="1:11" x14ac:dyDescent="0.3">
      <c r="A102" s="3" t="s">
        <v>1142</v>
      </c>
      <c r="B102" s="3">
        <f>B99/B17</f>
        <v>3.9579830319821907</v>
      </c>
      <c r="C102" s="3">
        <f t="shared" ref="C102:K102" si="6">C99/C17</f>
        <v>3.0982858872145318</v>
      </c>
      <c r="D102" s="3">
        <f t="shared" si="6"/>
        <v>3.2242199313689346</v>
      </c>
      <c r="E102" s="3">
        <f t="shared" si="6"/>
        <v>3.6941351859691567</v>
      </c>
      <c r="F102" s="3">
        <f t="shared" si="6"/>
        <v>2.8548958597217782</v>
      </c>
      <c r="G102" s="3">
        <f t="shared" si="6"/>
        <v>5.6084885689545336</v>
      </c>
      <c r="H102" s="3">
        <f t="shared" si="6"/>
        <v>6.4958080704696606</v>
      </c>
      <c r="I102" s="3">
        <f t="shared" si="6"/>
        <v>4.0099295958900845</v>
      </c>
      <c r="J102" s="3">
        <f t="shared" si="6"/>
        <v>4.0046760883711849</v>
      </c>
      <c r="K102" s="3">
        <f t="shared" si="6"/>
        <v>3.9027551659611017</v>
      </c>
    </row>
    <row r="103" spans="1:11" x14ac:dyDescent="0.3">
      <c r="A103" s="3" t="s">
        <v>1143</v>
      </c>
      <c r="B103" s="3">
        <f>B57+B58</f>
        <v>61744</v>
      </c>
      <c r="C103" s="3">
        <f t="shared" ref="C103:K103" si="7">C57+C58</f>
        <v>68982</v>
      </c>
      <c r="D103" s="3">
        <f t="shared" si="7"/>
        <v>64923</v>
      </c>
      <c r="E103" s="3">
        <f t="shared" si="7"/>
        <v>64948</v>
      </c>
      <c r="F103" s="3">
        <f t="shared" si="7"/>
        <v>65450</v>
      </c>
      <c r="G103" s="3">
        <f t="shared" si="7"/>
        <v>76351</v>
      </c>
      <c r="H103" s="3">
        <f t="shared" si="7"/>
        <v>75350</v>
      </c>
      <c r="I103" s="3">
        <f t="shared" si="7"/>
        <v>75407</v>
      </c>
      <c r="J103" s="3">
        <f t="shared" si="7"/>
        <v>88116</v>
      </c>
      <c r="K103" s="3">
        <f t="shared" si="7"/>
        <v>95818</v>
      </c>
    </row>
    <row r="105" spans="1:11" x14ac:dyDescent="0.3">
      <c r="A105" s="3" t="s">
        <v>1144</v>
      </c>
      <c r="B105" s="3">
        <f>B96/B103</f>
        <v>4.5322204343741896</v>
      </c>
      <c r="C105" s="3">
        <f t="shared" ref="C105:K105" si="8">C96/C103</f>
        <v>3.4039026224232405</v>
      </c>
      <c r="D105" s="3">
        <f t="shared" si="8"/>
        <v>3.8075325847542474</v>
      </c>
      <c r="E105" s="3">
        <f t="shared" si="8"/>
        <v>5.003704910081912</v>
      </c>
      <c r="F105" s="3">
        <f t="shared" si="8"/>
        <v>4.1744056531703588</v>
      </c>
      <c r="G105" s="3">
        <f t="shared" si="8"/>
        <v>7.6342819805896447</v>
      </c>
      <c r="H105" s="3">
        <f t="shared" si="8"/>
        <v>10.645714525547445</v>
      </c>
      <c r="I105" s="3">
        <f t="shared" si="8"/>
        <v>7.8560257933613595</v>
      </c>
      <c r="J105" s="3">
        <f t="shared" si="8"/>
        <v>7.056897436333923</v>
      </c>
      <c r="K105" s="3">
        <f t="shared" si="8"/>
        <v>6.8080951856644889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landscape" r:id="rId2"/>
  <ignoredErrors>
    <ignoredError sqref="B32:K32"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F748-A279-448C-8AF0-207B93BD4CAD}">
  <sheetPr>
    <pageSetUpPr fitToPage="1"/>
  </sheetPr>
  <dimension ref="A1:P25"/>
  <sheetViews>
    <sheetView zoomScaleNormal="100" workbookViewId="0">
      <selection activeCell="B1" sqref="B1"/>
    </sheetView>
  </sheetViews>
  <sheetFormatPr defaultRowHeight="14.4" x14ac:dyDescent="0.3"/>
  <cols>
    <col min="2" max="6" width="12.5546875" customWidth="1"/>
    <col min="7" max="7" width="17.5546875" customWidth="1"/>
    <col min="8" max="14" width="12.5546875" customWidth="1"/>
  </cols>
  <sheetData>
    <row r="1" spans="1:16" x14ac:dyDescent="0.3">
      <c r="A1" s="2" t="str">
        <f>'[1]Data Sheet'!B1</f>
        <v>INFOSYS LTD</v>
      </c>
      <c r="B1" s="2"/>
      <c r="C1" s="2"/>
      <c r="D1" s="2"/>
      <c r="E1" s="2"/>
      <c r="F1" s="2"/>
      <c r="G1" s="2"/>
      <c r="H1" t="str">
        <f>UPDATE</f>
        <v/>
      </c>
      <c r="I1" s="2"/>
      <c r="J1" s="243"/>
      <c r="K1" s="243"/>
      <c r="L1" s="2"/>
      <c r="M1" s="2" t="s">
        <v>1146</v>
      </c>
      <c r="N1" s="2"/>
      <c r="O1" s="2"/>
      <c r="P1" s="2"/>
    </row>
    <row r="3" spans="1:16" x14ac:dyDescent="0.3">
      <c r="A3" s="244" t="s">
        <v>1147</v>
      </c>
      <c r="B3" s="5">
        <f>'[1]Data Sheet'!B16</f>
        <v>42460</v>
      </c>
      <c r="C3" s="5">
        <f>'[1]Data Sheet'!C16</f>
        <v>42825</v>
      </c>
      <c r="D3" s="5">
        <f>'[1]Data Sheet'!D16</f>
        <v>43190</v>
      </c>
      <c r="E3" s="5">
        <f>'[1]Data Sheet'!E16</f>
        <v>43555</v>
      </c>
      <c r="F3" s="5">
        <f>'[1]Data Sheet'!F16</f>
        <v>43921</v>
      </c>
      <c r="G3" s="5">
        <f>'[1]Data Sheet'!G16</f>
        <v>44286</v>
      </c>
      <c r="H3" s="5">
        <f>'[1]Data Sheet'!H16</f>
        <v>44651</v>
      </c>
      <c r="I3" s="5">
        <f>'[1]Data Sheet'!I16</f>
        <v>45016</v>
      </c>
      <c r="J3" s="5">
        <f>'[1]Data Sheet'!J16</f>
        <v>45382</v>
      </c>
      <c r="K3" s="5">
        <f>'[1]Data Sheet'!K16</f>
        <v>45747</v>
      </c>
      <c r="L3" s="245" t="s">
        <v>1148</v>
      </c>
      <c r="M3" s="245" t="s">
        <v>1149</v>
      </c>
      <c r="N3" s="245" t="s">
        <v>1150</v>
      </c>
      <c r="O3" s="2"/>
      <c r="P3" s="2"/>
    </row>
    <row r="4" spans="1:16" x14ac:dyDescent="0.3">
      <c r="A4" s="2" t="s">
        <v>1</v>
      </c>
      <c r="B4" s="1">
        <f>'[1]Data Sheet'!B17</f>
        <v>62441</v>
      </c>
      <c r="C4" s="1">
        <f>'[1]Data Sheet'!C17</f>
        <v>68484</v>
      </c>
      <c r="D4" s="1">
        <f>'[1]Data Sheet'!D17</f>
        <v>70522</v>
      </c>
      <c r="E4" s="1">
        <f>'[1]Data Sheet'!E17</f>
        <v>82675</v>
      </c>
      <c r="F4" s="1">
        <f>'[1]Data Sheet'!F17</f>
        <v>90791</v>
      </c>
      <c r="G4" s="1">
        <f>'[1]Data Sheet'!G17</f>
        <v>100472</v>
      </c>
      <c r="H4" s="1">
        <f>'[1]Data Sheet'!H17</f>
        <v>121641</v>
      </c>
      <c r="I4" s="1">
        <f>'[1]Data Sheet'!I17</f>
        <v>146767</v>
      </c>
      <c r="J4" s="1">
        <f>'[1]Data Sheet'!J17</f>
        <v>153670</v>
      </c>
      <c r="K4" s="1">
        <f>'[1]Data Sheet'!K17</f>
        <v>162990</v>
      </c>
      <c r="L4" s="1">
        <f>SUM([1]Quarters!H4:K4)</f>
        <v>0</v>
      </c>
      <c r="M4" s="1">
        <f>$K4+M23*K4</f>
        <v>179688.91475688305</v>
      </c>
      <c r="N4" s="1">
        <f>$K4+N23*L4</f>
        <v>162990</v>
      </c>
      <c r="O4" s="2"/>
      <c r="P4" s="2"/>
    </row>
    <row r="5" spans="1:16" x14ac:dyDescent="0.3">
      <c r="A5" t="s">
        <v>2</v>
      </c>
      <c r="B5" s="4">
        <f>SUM('[1]Data Sheet'!B18,'[1]Data Sheet'!B20:B24, -1*'[1]Data Sheet'!B19)</f>
        <v>45362</v>
      </c>
      <c r="C5" s="4">
        <f>SUM('[1]Data Sheet'!C18,'[1]Data Sheet'!C20:C24, -1*'[1]Data Sheet'!C19)</f>
        <v>49880</v>
      </c>
      <c r="D5" s="4">
        <f>SUM('[1]Data Sheet'!D18,'[1]Data Sheet'!D20:D24, -1*'[1]Data Sheet'!D19)</f>
        <v>51700</v>
      </c>
      <c r="E5" s="4">
        <f>SUM('[1]Data Sheet'!E18,'[1]Data Sheet'!E20:E24, -1*'[1]Data Sheet'!E19)</f>
        <v>62505</v>
      </c>
      <c r="F5" s="4">
        <f>SUM('[1]Data Sheet'!F18,'[1]Data Sheet'!F20:F24, -1*'[1]Data Sheet'!F19)</f>
        <v>68524</v>
      </c>
      <c r="G5" s="4">
        <f>SUM('[1]Data Sheet'!G18,'[1]Data Sheet'!G20:G24, -1*'[1]Data Sheet'!G19)</f>
        <v>72583</v>
      </c>
      <c r="H5" s="4">
        <f>SUM('[1]Data Sheet'!H18,'[1]Data Sheet'!H20:H24, -1*'[1]Data Sheet'!H19)</f>
        <v>90150</v>
      </c>
      <c r="I5" s="4">
        <f>SUM('[1]Data Sheet'!I18,'[1]Data Sheet'!I20:I24, -1*'[1]Data Sheet'!I19)</f>
        <v>111637</v>
      </c>
      <c r="J5" s="4">
        <f>SUM('[1]Data Sheet'!J18,'[1]Data Sheet'!J20:J24, -1*'[1]Data Sheet'!J19)</f>
        <v>117245</v>
      </c>
      <c r="K5" s="4">
        <f>SUM('[1]Data Sheet'!K18,'[1]Data Sheet'!K20:K24, -1*'[1]Data Sheet'!K19)</f>
        <v>123754</v>
      </c>
      <c r="L5" s="4">
        <f>SUM([1]Quarters!H5:K5)</f>
        <v>0</v>
      </c>
      <c r="M5" s="4">
        <f t="shared" ref="M5:N5" si="0">M4-M6</f>
        <v>136730.87701883621</v>
      </c>
      <c r="N5" s="4">
        <f t="shared" si="0"/>
        <v>162990</v>
      </c>
    </row>
    <row r="6" spans="1:16" x14ac:dyDescent="0.3">
      <c r="A6" s="2" t="s">
        <v>3</v>
      </c>
      <c r="B6" s="1">
        <f>B4-B5</f>
        <v>17079</v>
      </c>
      <c r="C6" s="1">
        <f t="shared" ref="C6:K6" si="1">C4-C5</f>
        <v>18604</v>
      </c>
      <c r="D6" s="1">
        <f t="shared" si="1"/>
        <v>18822</v>
      </c>
      <c r="E6" s="1">
        <f t="shared" si="1"/>
        <v>20170</v>
      </c>
      <c r="F6" s="1">
        <f t="shared" si="1"/>
        <v>22267</v>
      </c>
      <c r="G6" s="1">
        <f t="shared" si="1"/>
        <v>27889</v>
      </c>
      <c r="H6" s="1">
        <f t="shared" si="1"/>
        <v>31491</v>
      </c>
      <c r="I6" s="1">
        <f t="shared" si="1"/>
        <v>35130</v>
      </c>
      <c r="J6" s="1">
        <f t="shared" si="1"/>
        <v>36425</v>
      </c>
      <c r="K6" s="1">
        <f t="shared" si="1"/>
        <v>39236</v>
      </c>
      <c r="L6" s="1">
        <f>SUM([1]Quarters!H6:K6)</f>
        <v>0</v>
      </c>
      <c r="M6" s="1">
        <f>M4*M24</f>
        <v>42958.037738046834</v>
      </c>
      <c r="N6" s="1">
        <f>N4*N24</f>
        <v>0</v>
      </c>
      <c r="O6" s="2"/>
      <c r="P6" s="2"/>
    </row>
    <row r="7" spans="1:16" x14ac:dyDescent="0.3">
      <c r="A7" t="s">
        <v>4</v>
      </c>
      <c r="B7" s="4">
        <f>'[1]Data Sheet'!B25</f>
        <v>3120</v>
      </c>
      <c r="C7" s="4">
        <f>'[1]Data Sheet'!C25</f>
        <v>3050</v>
      </c>
      <c r="D7" s="4">
        <f>'[1]Data Sheet'!D25</f>
        <v>3311</v>
      </c>
      <c r="E7" s="4">
        <f>'[1]Data Sheet'!E25</f>
        <v>2882</v>
      </c>
      <c r="F7" s="4">
        <f>'[1]Data Sheet'!F25</f>
        <v>2803</v>
      </c>
      <c r="G7" s="4">
        <f>'[1]Data Sheet'!G25</f>
        <v>2201</v>
      </c>
      <c r="H7" s="4">
        <f>'[1]Data Sheet'!H25</f>
        <v>2295</v>
      </c>
      <c r="I7" s="4">
        <f>'[1]Data Sheet'!I25</f>
        <v>2701</v>
      </c>
      <c r="J7" s="4">
        <f>'[1]Data Sheet'!J25</f>
        <v>4711</v>
      </c>
      <c r="K7" s="4">
        <f>'[1]Data Sheet'!K25</f>
        <v>3600</v>
      </c>
      <c r="L7" s="4">
        <f>SUM([1]Quarters!H7:K7)</f>
        <v>0</v>
      </c>
      <c r="M7" s="4">
        <v>0</v>
      </c>
      <c r="N7" s="4">
        <v>0</v>
      </c>
    </row>
    <row r="8" spans="1:16" x14ac:dyDescent="0.3">
      <c r="A8" t="s">
        <v>5</v>
      </c>
      <c r="B8" s="4">
        <f>'[1]Data Sheet'!B26</f>
        <v>1459</v>
      </c>
      <c r="C8" s="4">
        <f>'[1]Data Sheet'!C26</f>
        <v>1703</v>
      </c>
      <c r="D8" s="4">
        <f>'[1]Data Sheet'!D26</f>
        <v>1863</v>
      </c>
      <c r="E8" s="4">
        <f>'[1]Data Sheet'!E26</f>
        <v>2011</v>
      </c>
      <c r="F8" s="4">
        <f>'[1]Data Sheet'!F26</f>
        <v>2893</v>
      </c>
      <c r="G8" s="4">
        <f>'[1]Data Sheet'!G26</f>
        <v>3267</v>
      </c>
      <c r="H8" s="4">
        <f>'[1]Data Sheet'!H26</f>
        <v>3476</v>
      </c>
      <c r="I8" s="4">
        <f>'[1]Data Sheet'!I26</f>
        <v>4225</v>
      </c>
      <c r="J8" s="4">
        <f>'[1]Data Sheet'!J26</f>
        <v>4678</v>
      </c>
      <c r="K8" s="4">
        <f>'[1]Data Sheet'!K26</f>
        <v>4812</v>
      </c>
      <c r="L8" s="4">
        <f>SUM([1]Quarters!H8:K8)</f>
        <v>0</v>
      </c>
      <c r="M8" s="4">
        <f>+$L8</f>
        <v>0</v>
      </c>
      <c r="N8" s="4">
        <f>+$L8</f>
        <v>0</v>
      </c>
    </row>
    <row r="9" spans="1:16" x14ac:dyDescent="0.3">
      <c r="A9" t="s">
        <v>6</v>
      </c>
      <c r="B9" s="4">
        <f>'[1]Data Sheet'!B27</f>
        <v>0</v>
      </c>
      <c r="C9" s="4">
        <f>'[1]Data Sheet'!C27</f>
        <v>0</v>
      </c>
      <c r="D9" s="4">
        <f>'[1]Data Sheet'!D27</f>
        <v>0</v>
      </c>
      <c r="E9" s="4">
        <f>'[1]Data Sheet'!E27</f>
        <v>0</v>
      </c>
      <c r="F9" s="4">
        <f>'[1]Data Sheet'!F27</f>
        <v>170</v>
      </c>
      <c r="G9" s="4">
        <f>'[1]Data Sheet'!G27</f>
        <v>195</v>
      </c>
      <c r="H9" s="4">
        <f>'[1]Data Sheet'!H27</f>
        <v>200</v>
      </c>
      <c r="I9" s="4">
        <f>'[1]Data Sheet'!I27</f>
        <v>284</v>
      </c>
      <c r="J9" s="4">
        <f>'[1]Data Sheet'!J27</f>
        <v>470</v>
      </c>
      <c r="K9" s="4">
        <f>'[1]Data Sheet'!K27</f>
        <v>416</v>
      </c>
      <c r="L9" s="4">
        <f>SUM([1]Quarters!H9:K9)</f>
        <v>0</v>
      </c>
      <c r="M9" s="4">
        <f>+$L9</f>
        <v>0</v>
      </c>
      <c r="N9" s="4">
        <f>+$L9</f>
        <v>0</v>
      </c>
    </row>
    <row r="10" spans="1:16" x14ac:dyDescent="0.3">
      <c r="A10" t="s">
        <v>7</v>
      </c>
      <c r="B10" s="4">
        <f>'[1]Data Sheet'!B28</f>
        <v>18740</v>
      </c>
      <c r="C10" s="4">
        <f>'[1]Data Sheet'!C28</f>
        <v>19951</v>
      </c>
      <c r="D10" s="4">
        <f>'[1]Data Sheet'!D28</f>
        <v>20270</v>
      </c>
      <c r="E10" s="4">
        <f>'[1]Data Sheet'!E28</f>
        <v>21041</v>
      </c>
      <c r="F10" s="4">
        <f>'[1]Data Sheet'!F28</f>
        <v>22007</v>
      </c>
      <c r="G10" s="4">
        <f>'[1]Data Sheet'!G28</f>
        <v>26628</v>
      </c>
      <c r="H10" s="4">
        <f>'[1]Data Sheet'!H28</f>
        <v>30110</v>
      </c>
      <c r="I10" s="4">
        <f>'[1]Data Sheet'!I28</f>
        <v>33322</v>
      </c>
      <c r="J10" s="4">
        <f>'[1]Data Sheet'!J28</f>
        <v>35988</v>
      </c>
      <c r="K10" s="4">
        <f>'[1]Data Sheet'!K28</f>
        <v>37608</v>
      </c>
      <c r="L10" s="4">
        <f>SUM([1]Quarters!H10:K10)</f>
        <v>0</v>
      </c>
      <c r="M10" s="4">
        <f>M6+M7-SUM(M8:M9)</f>
        <v>42958.037738046834</v>
      </c>
      <c r="N10" s="4">
        <f>N6+N7-SUM(N8:N9)</f>
        <v>0</v>
      </c>
    </row>
    <row r="11" spans="1:16" x14ac:dyDescent="0.3">
      <c r="A11" t="s">
        <v>8</v>
      </c>
      <c r="B11" s="4">
        <f>'[1]Data Sheet'!B29</f>
        <v>5251</v>
      </c>
      <c r="C11" s="4">
        <f>'[1]Data Sheet'!C29</f>
        <v>5598</v>
      </c>
      <c r="D11" s="4">
        <f>'[1]Data Sheet'!D29</f>
        <v>4241</v>
      </c>
      <c r="E11" s="4">
        <f>'[1]Data Sheet'!E29</f>
        <v>5631</v>
      </c>
      <c r="F11" s="4">
        <f>'[1]Data Sheet'!F29</f>
        <v>5368</v>
      </c>
      <c r="G11" s="4">
        <f>'[1]Data Sheet'!G29</f>
        <v>7205</v>
      </c>
      <c r="H11" s="4">
        <f>'[1]Data Sheet'!H29</f>
        <v>7964</v>
      </c>
      <c r="I11" s="4">
        <f>'[1]Data Sheet'!I29</f>
        <v>9214</v>
      </c>
      <c r="J11" s="4">
        <f>'[1]Data Sheet'!J29</f>
        <v>9740</v>
      </c>
      <c r="K11" s="4">
        <f>'[1]Data Sheet'!K29</f>
        <v>10858</v>
      </c>
      <c r="L11" s="4">
        <f>SUM([1]Quarters!H11:K11)</f>
        <v>0</v>
      </c>
      <c r="M11" s="246">
        <f>IF($L10&gt;0,$L11/$L10,0)</f>
        <v>0</v>
      </c>
      <c r="N11" s="246">
        <f>IF($L10&gt;0,$L11/$L10,0)</f>
        <v>0</v>
      </c>
    </row>
    <row r="12" spans="1:16" x14ac:dyDescent="0.3">
      <c r="A12" s="2" t="s">
        <v>9</v>
      </c>
      <c r="B12" s="1">
        <f>'[1]Data Sheet'!B30</f>
        <v>13489</v>
      </c>
      <c r="C12" s="1">
        <f>'[1]Data Sheet'!C30</f>
        <v>14353</v>
      </c>
      <c r="D12" s="1">
        <f>'[1]Data Sheet'!D30</f>
        <v>16029</v>
      </c>
      <c r="E12" s="1">
        <f>'[1]Data Sheet'!E30</f>
        <v>15404</v>
      </c>
      <c r="F12" s="1">
        <f>'[1]Data Sheet'!F30</f>
        <v>16594</v>
      </c>
      <c r="G12" s="1">
        <f>'[1]Data Sheet'!G30</f>
        <v>19351</v>
      </c>
      <c r="H12" s="1">
        <f>'[1]Data Sheet'!H30</f>
        <v>22110</v>
      </c>
      <c r="I12" s="1">
        <f>'[1]Data Sheet'!I30</f>
        <v>24095</v>
      </c>
      <c r="J12" s="1">
        <f>'[1]Data Sheet'!J30</f>
        <v>26233</v>
      </c>
      <c r="K12" s="1">
        <f>'[1]Data Sheet'!K30</f>
        <v>26713</v>
      </c>
      <c r="L12" s="1">
        <f>SUM([1]Quarters!H12:K12)</f>
        <v>0</v>
      </c>
      <c r="M12" s="1">
        <f>M10-M11*M10</f>
        <v>42958.037738046834</v>
      </c>
      <c r="N12" s="1">
        <f>N10-N11*N10</f>
        <v>0</v>
      </c>
      <c r="O12" s="2"/>
      <c r="P12" s="2"/>
    </row>
    <row r="13" spans="1:16" x14ac:dyDescent="0.3">
      <c r="A13" t="s">
        <v>153</v>
      </c>
      <c r="B13" s="4">
        <f>IF('[1]Data Sheet'!B93&gt;0,B12/'[1]Data Sheet'!B93,0)</f>
        <v>29.362850736846688</v>
      </c>
      <c r="C13" s="4">
        <f>IF('[1]Data Sheet'!C93&gt;0,C12/'[1]Data Sheet'!C93,0)</f>
        <v>31.243605650971944</v>
      </c>
      <c r="D13" s="4">
        <f>IF('[1]Data Sheet'!D93&gt;0,D12/'[1]Data Sheet'!D93,0)</f>
        <v>36.694748408955633</v>
      </c>
      <c r="E13" s="4">
        <f>IF('[1]Data Sheet'!E93&gt;0,E12/'[1]Data Sheet'!E93,0)</f>
        <v>35.258303005333154</v>
      </c>
      <c r="F13" s="4">
        <f>IF('[1]Data Sheet'!F93&gt;0,F12/'[1]Data Sheet'!F93,0)</f>
        <v>38.962197698990373</v>
      </c>
      <c r="G13" s="4">
        <f>IF('[1]Data Sheet'!G93&gt;0,G12/'[1]Data Sheet'!G93,0)</f>
        <v>45.417419672823712</v>
      </c>
      <c r="H13" s="4">
        <f>IF('[1]Data Sheet'!H93&gt;0,H12/'[1]Data Sheet'!H93,0)</f>
        <v>52.559013003066532</v>
      </c>
      <c r="I13" s="4">
        <f>IF('[1]Data Sheet'!I93&gt;0,I12/'[1]Data Sheet'!I93,0)</f>
        <v>58.079834160921756</v>
      </c>
      <c r="J13" s="4">
        <f>IF('[1]Data Sheet'!J93&gt;0,J12/'[1]Data Sheet'!J93,0)</f>
        <v>63.198342528126432</v>
      </c>
      <c r="K13" s="4">
        <f>IF('[1]Data Sheet'!K93&gt;0,K12/'[1]Data Sheet'!K93,0)</f>
        <v>64.317530638287636</v>
      </c>
      <c r="L13" s="4">
        <f>IF('[1]Data Sheet'!$B6&gt;0,'[1]Profit &amp; Loss'!L12/'[1]Data Sheet'!$B6,0)</f>
        <v>0</v>
      </c>
      <c r="M13" s="4">
        <f>IF('[1]Data Sheet'!$B6&gt;0,'[1]Profit &amp; Loss'!M12/'[1]Data Sheet'!$B6,0)</f>
        <v>0</v>
      </c>
      <c r="N13" s="4">
        <f>IF('[1]Data Sheet'!$B6&gt;0,'[1]Profit &amp; Loss'!N12/'[1]Data Sheet'!$B6,0)</f>
        <v>0</v>
      </c>
    </row>
    <row r="14" spans="1:16" x14ac:dyDescent="0.3">
      <c r="A14" t="s">
        <v>1151</v>
      </c>
      <c r="B14" s="4">
        <f>IF(B15&gt;0,B15/B13,"")</f>
        <v>20.745601490103045</v>
      </c>
      <c r="C14" s="4">
        <f t="shared" ref="C14:K14" si="2">IF(C15&gt;0,C15/C13,"")</f>
        <v>16.359507468821846</v>
      </c>
      <c r="D14" s="4">
        <f t="shared" si="2"/>
        <v>15.421825316613639</v>
      </c>
      <c r="E14" s="4">
        <f t="shared" si="2"/>
        <v>21.097158303038171</v>
      </c>
      <c r="F14" s="4">
        <f t="shared" si="2"/>
        <v>16.464676991683742</v>
      </c>
      <c r="G14" s="4">
        <f t="shared" si="2"/>
        <v>30.121702418479664</v>
      </c>
      <c r="H14" s="4">
        <f t="shared" si="2"/>
        <v>36.280171393034827</v>
      </c>
      <c r="I14" s="4">
        <f t="shared" si="2"/>
        <v>24.585986179705333</v>
      </c>
      <c r="J14" s="4">
        <f t="shared" si="2"/>
        <v>23.703944440208897</v>
      </c>
      <c r="K14" s="4">
        <f t="shared" si="2"/>
        <v>24.420247239171935</v>
      </c>
      <c r="L14" s="4">
        <f t="shared" ref="L14" si="3">IF(L13&gt;0,L15/L13,0)</f>
        <v>0</v>
      </c>
      <c r="M14" s="4">
        <f>M25</f>
        <v>24.236725953028724</v>
      </c>
      <c r="N14" s="4">
        <f>N25</f>
        <v>0</v>
      </c>
    </row>
    <row r="15" spans="1:16" x14ac:dyDescent="0.3">
      <c r="A15" s="2" t="s">
        <v>1127</v>
      </c>
      <c r="B15" s="1">
        <f>'[1]Data Sheet'!B90</f>
        <v>609.15</v>
      </c>
      <c r="C15" s="1">
        <f>'[1]Data Sheet'!C90</f>
        <v>511.13</v>
      </c>
      <c r="D15" s="1">
        <f>'[1]Data Sheet'!D90</f>
        <v>565.9</v>
      </c>
      <c r="E15" s="1">
        <f>'[1]Data Sheet'!E90</f>
        <v>743.85</v>
      </c>
      <c r="F15" s="1">
        <f>'[1]Data Sheet'!F90</f>
        <v>641.5</v>
      </c>
      <c r="G15" s="1">
        <f>'[1]Data Sheet'!G90</f>
        <v>1368.05</v>
      </c>
      <c r="H15" s="1">
        <f>'[1]Data Sheet'!H90</f>
        <v>1906.85</v>
      </c>
      <c r="I15" s="1">
        <f>'[1]Data Sheet'!I90</f>
        <v>1427.95</v>
      </c>
      <c r="J15" s="1">
        <f>'[1]Data Sheet'!J90</f>
        <v>1498.05</v>
      </c>
      <c r="K15" s="1">
        <f>'[1]Data Sheet'!K90</f>
        <v>1570.65</v>
      </c>
      <c r="L15" s="1">
        <f>'[1]Data Sheet'!B8</f>
        <v>1300.8</v>
      </c>
      <c r="M15" s="247">
        <f>M13*M14</f>
        <v>0</v>
      </c>
      <c r="N15" s="248">
        <f>N13*N14</f>
        <v>0</v>
      </c>
      <c r="O15" s="2"/>
      <c r="P15" s="2"/>
    </row>
    <row r="17" spans="1:16" x14ac:dyDescent="0.3">
      <c r="A17" s="2" t="s">
        <v>1152</v>
      </c>
      <c r="B17" s="2"/>
      <c r="C17" s="2"/>
      <c r="D17" s="2"/>
      <c r="E17" s="2"/>
      <c r="F17" s="2"/>
      <c r="G17" s="2"/>
      <c r="H17" s="2"/>
      <c r="I17" s="2"/>
      <c r="J17" s="2"/>
      <c r="K17" s="2"/>
      <c r="L17" s="2"/>
      <c r="M17" s="2"/>
      <c r="N17" s="2"/>
      <c r="O17" s="2"/>
      <c r="P17" s="2"/>
    </row>
    <row r="18" spans="1:16" x14ac:dyDescent="0.3">
      <c r="A18" t="s">
        <v>1153</v>
      </c>
      <c r="B18" s="58">
        <f>IF('[1]Data Sheet'!B30&gt;0, '[1]Data Sheet'!B31/'[1]Data Sheet'!B30, 0)</f>
        <v>0.41132774853584397</v>
      </c>
      <c r="C18" s="58">
        <f>IF('[1]Data Sheet'!C30&gt;0, '[1]Data Sheet'!C31/'[1]Data Sheet'!C30, 0)</f>
        <v>0.4104786455793214</v>
      </c>
      <c r="D18" s="58">
        <f>IF('[1]Data Sheet'!D30&gt;0, '[1]Data Sheet'!D31/'[1]Data Sheet'!D30, 0)</f>
        <v>0.5905296649822197</v>
      </c>
      <c r="E18" s="58">
        <f>IF('[1]Data Sheet'!E30&gt;0, '[1]Data Sheet'!E31/'[1]Data Sheet'!E30, 0)</f>
        <v>0.5987081277590236</v>
      </c>
      <c r="F18" s="58">
        <f>IF('[1]Data Sheet'!F30&gt;0, '[1]Data Sheet'!F31/'[1]Data Sheet'!F30, 0)</f>
        <v>0.44757141135350126</v>
      </c>
      <c r="G18" s="58">
        <f>IF('[1]Data Sheet'!G30&gt;0, '[1]Data Sheet'!G31/'[1]Data Sheet'!G30, 0)</f>
        <v>0.59271355485504629</v>
      </c>
      <c r="H18" s="58">
        <f>IF('[1]Data Sheet'!H30&gt;0, '[1]Data Sheet'!H31/'[1]Data Sheet'!H30, 0)</f>
        <v>0.58831298055178649</v>
      </c>
      <c r="I18" s="58">
        <f>IF('[1]Data Sheet'!I30&gt;0, '[1]Data Sheet'!I31/'[1]Data Sheet'!I30, 0)</f>
        <v>0.58390537455903713</v>
      </c>
      <c r="J18" s="58">
        <f>IF('[1]Data Sheet'!J30&gt;0, '[1]Data Sheet'!J31/'[1]Data Sheet'!J30, 0)</f>
        <v>0.72630656043914155</v>
      </c>
      <c r="K18" s="58">
        <f>IF('[1]Data Sheet'!K30&gt;0, '[1]Data Sheet'!K31/'[1]Data Sheet'!K30, 0)</f>
        <v>0.66738292217272488</v>
      </c>
    </row>
    <row r="19" spans="1:16" x14ac:dyDescent="0.3">
      <c r="A19" t="s">
        <v>1154</v>
      </c>
      <c r="B19" s="58">
        <f t="shared" ref="B19:L19" si="4">IF(B6&gt;0,B6/B4,0)</f>
        <v>0.27352220496148366</v>
      </c>
      <c r="C19" s="58">
        <f t="shared" si="4"/>
        <v>0.27165469306699375</v>
      </c>
      <c r="D19" s="58">
        <f t="shared" si="4"/>
        <v>0.26689543688494372</v>
      </c>
      <c r="E19" s="58">
        <f t="shared" si="4"/>
        <v>0.24396734200181433</v>
      </c>
      <c r="F19" s="58">
        <f t="shared" si="4"/>
        <v>0.24525558700752279</v>
      </c>
      <c r="G19" s="58">
        <f t="shared" si="4"/>
        <v>0.27757982323433394</v>
      </c>
      <c r="H19" s="58">
        <f t="shared" si="4"/>
        <v>0.25888475102966929</v>
      </c>
      <c r="I19" s="58">
        <f t="shared" si="4"/>
        <v>0.23935898396778568</v>
      </c>
      <c r="J19" s="58">
        <f t="shared" si="4"/>
        <v>0.23703390381987374</v>
      </c>
      <c r="K19" s="58">
        <f t="shared" si="4"/>
        <v>0.24072642493404503</v>
      </c>
      <c r="L19" s="58">
        <f t="shared" si="4"/>
        <v>0</v>
      </c>
    </row>
    <row r="20" spans="1:16" x14ac:dyDescent="0.3">
      <c r="B20" s="58"/>
      <c r="C20" s="58"/>
      <c r="D20" s="58"/>
      <c r="E20" s="58"/>
      <c r="F20" s="58"/>
      <c r="G20" s="58"/>
      <c r="H20" s="58"/>
      <c r="I20" s="58"/>
      <c r="J20" s="58"/>
      <c r="K20" s="58"/>
      <c r="L20" s="58"/>
    </row>
    <row r="21" spans="1:16" x14ac:dyDescent="0.3">
      <c r="B21" s="58"/>
      <c r="C21" s="58"/>
      <c r="D21" s="58"/>
      <c r="E21" s="58"/>
      <c r="F21" s="58"/>
      <c r="G21" s="58"/>
      <c r="H21" s="58"/>
      <c r="I21" s="58"/>
      <c r="J21" s="58"/>
      <c r="K21" s="58"/>
      <c r="L21" s="58"/>
    </row>
    <row r="22" spans="1:16" x14ac:dyDescent="0.3">
      <c r="A22" s="244"/>
      <c r="B22" s="5"/>
      <c r="C22" s="5"/>
      <c r="D22" s="5"/>
      <c r="E22" s="5"/>
      <c r="F22" s="5"/>
      <c r="G22" s="5" t="s">
        <v>1155</v>
      </c>
      <c r="H22" s="5" t="s">
        <v>1156</v>
      </c>
      <c r="I22" s="5" t="s">
        <v>1157</v>
      </c>
      <c r="J22" s="5" t="s">
        <v>1158</v>
      </c>
      <c r="K22" s="5" t="s">
        <v>1159</v>
      </c>
      <c r="L22" s="245" t="s">
        <v>1160</v>
      </c>
      <c r="M22" s="245" t="s">
        <v>1161</v>
      </c>
      <c r="N22" s="245" t="s">
        <v>1162</v>
      </c>
      <c r="O22" s="2"/>
      <c r="P22" s="2"/>
    </row>
    <row r="23" spans="1:16" x14ac:dyDescent="0.3">
      <c r="G23" t="s">
        <v>155</v>
      </c>
      <c r="H23" s="58">
        <f>IF(B4=0,"",POWER($K4/B4,1/9)-1)</f>
        <v>0.11249741935076951</v>
      </c>
      <c r="I23" s="58">
        <f>IF(D4=0,"",POWER($K4/D4,1/7)-1)</f>
        <v>0.12713677553728409</v>
      </c>
      <c r="J23" s="58">
        <f>IF(F4=0,"",POWER($K4/F4,1/5)-1)</f>
        <v>0.12414836208210134</v>
      </c>
      <c r="K23" s="58">
        <f>IF(H4=0,"",POWER($K4/H4, 1/3)-1)</f>
        <v>0.10245361529469932</v>
      </c>
      <c r="L23" s="58">
        <f>IF(ISERROR(MAX(IF(J4=0,"",(K4-J4)/J4),IF(K4=0,"",(L4-K4)/K4))),"",MAX(IF(J4=0,"",(K4-J4)/J4),IF(K4=0,"",(L4-K4)/K4)))</f>
        <v>6.064944361293681E-2</v>
      </c>
      <c r="M23" s="141">
        <f>MAX(K23:L23)</f>
        <v>0.10245361529469932</v>
      </c>
      <c r="N23" s="141">
        <f>MIN(H23:L23)</f>
        <v>6.064944361293681E-2</v>
      </c>
      <c r="O23" s="2"/>
      <c r="P23" s="2"/>
    </row>
    <row r="24" spans="1:16" x14ac:dyDescent="0.3">
      <c r="G24" t="s">
        <v>1154</v>
      </c>
      <c r="H24" s="58">
        <f>IF(SUM(B4:$K$4)=0,"",SUMPRODUCT(B19:$K$19,B4:$K$4)/SUM(B4:$K$4))</f>
        <v>0.25188575071219566</v>
      </c>
      <c r="I24" s="58">
        <f>IF(SUM(E4:$K$4)=0,"",SUMPRODUCT(E19:$K$19,E4:$K$4)/SUM(E4:$K$4))</f>
        <v>0.2475046740069336</v>
      </c>
      <c r="J24" s="58">
        <f>IF(SUM(G4:$K$4)=0,"",SUMPRODUCT(G19:$K$19,G4:$K$4)/SUM(G4:$K$4))</f>
        <v>0.24822913323803134</v>
      </c>
      <c r="K24" s="58">
        <f>IF(SUM(I4:$K$4)=0, "", SUMPRODUCT(I19:$K$19,I4:$K$4)/SUM(I4:$K$4))</f>
        <v>0.23906893642364385</v>
      </c>
      <c r="L24" s="58">
        <f>L19</f>
        <v>0</v>
      </c>
      <c r="M24" s="141">
        <f>MAX(K24:L24)</f>
        <v>0.23906893642364385</v>
      </c>
      <c r="N24" s="141">
        <f>MIN(H24:L24)</f>
        <v>0</v>
      </c>
    </row>
    <row r="25" spans="1:16" x14ac:dyDescent="0.3">
      <c r="G25" t="s">
        <v>1163</v>
      </c>
      <c r="H25" s="4">
        <f>IF(ISERROR(AVERAGEIF(B14:$L14,"&gt;0")),"",AVERAGEIF(B14:$L14,"&gt;0"))</f>
        <v>22.920082124086111</v>
      </c>
      <c r="I25" s="4">
        <f>IF(ISERROR(AVERAGEIF(E14:$L14,"&gt;0")),"",AVERAGEIF(E14:$L14,"&gt;0"))</f>
        <v>25.239126709331799</v>
      </c>
      <c r="J25" s="4">
        <f>IF(ISERROR(AVERAGEIF(G14:$L14,"&gt;0")),"",AVERAGEIF(G14:$L14,"&gt;0"))</f>
        <v>27.822410334120132</v>
      </c>
      <c r="K25" s="4">
        <f>IF(ISERROR(AVERAGEIF(I14:$L14,"&gt;0")),"",AVERAGEIF(I14:$L14,"&gt;0"))</f>
        <v>24.236725953028724</v>
      </c>
      <c r="L25" s="4">
        <f>L14</f>
        <v>0</v>
      </c>
      <c r="M25" s="1">
        <f>MAX(K25:L25)</f>
        <v>24.236725953028724</v>
      </c>
      <c r="N25" s="1">
        <f>MIN(H25:L25)</f>
        <v>0</v>
      </c>
    </row>
  </sheetData>
  <hyperlinks>
    <hyperlink ref="M1" r:id="rId1" xr:uid="{914992AF-085B-4360-90C3-07C6EF3EEEAE}"/>
  </hyperlinks>
  <pageMargins left="0.7" right="0.7" top="0.75" bottom="0.75" header="0.3" footer="0.3"/>
  <pageSetup scale="51" orientation="portrait"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BE8B-06D8-46EE-9CB2-B814C0457000}">
  <sheetPr>
    <pageSetUpPr fitToPage="1"/>
  </sheetPr>
  <dimension ref="B2:N46"/>
  <sheetViews>
    <sheetView topLeftCell="A19" zoomScaleNormal="100" workbookViewId="0">
      <selection activeCell="I50" sqref="I50"/>
    </sheetView>
  </sheetViews>
  <sheetFormatPr defaultRowHeight="14.4" x14ac:dyDescent="0.3"/>
  <cols>
    <col min="2" max="2" width="25.77734375" bestFit="1" customWidth="1"/>
    <col min="3" max="3" width="12.44140625" customWidth="1"/>
    <col min="4" max="4" width="49.44140625" bestFit="1" customWidth="1"/>
    <col min="5" max="5" width="15.21875" bestFit="1" customWidth="1"/>
    <col min="6" max="6" width="14.5546875" bestFit="1" customWidth="1"/>
    <col min="7" max="7" width="13.21875" bestFit="1" customWidth="1"/>
    <col min="8" max="14" width="12.44140625" customWidth="1"/>
  </cols>
  <sheetData>
    <row r="2" spans="2:14" x14ac:dyDescent="0.3">
      <c r="C2" s="29">
        <v>41699</v>
      </c>
      <c r="D2" s="29">
        <v>42064</v>
      </c>
      <c r="E2" s="29">
        <v>42430</v>
      </c>
      <c r="F2" s="29">
        <v>42795</v>
      </c>
      <c r="G2" s="29">
        <v>43160</v>
      </c>
      <c r="H2" s="29">
        <v>43525</v>
      </c>
      <c r="I2" s="29">
        <v>43891</v>
      </c>
      <c r="J2" s="29">
        <v>44256</v>
      </c>
      <c r="K2" s="29">
        <v>44621</v>
      </c>
      <c r="L2" s="29">
        <v>44986</v>
      </c>
      <c r="M2" s="29">
        <v>45352</v>
      </c>
      <c r="N2" s="29">
        <v>45717</v>
      </c>
    </row>
    <row r="3" spans="2:14" x14ac:dyDescent="0.3">
      <c r="B3" t="s">
        <v>105</v>
      </c>
      <c r="C3" s="30">
        <v>9825</v>
      </c>
      <c r="D3" s="30">
        <v>8353</v>
      </c>
      <c r="E3" s="155">
        <v>10028</v>
      </c>
      <c r="F3" s="155">
        <v>11531</v>
      </c>
      <c r="G3" s="155">
        <v>13218</v>
      </c>
      <c r="H3" s="155">
        <v>14841</v>
      </c>
      <c r="I3" s="155">
        <v>17003</v>
      </c>
      <c r="J3" s="155">
        <v>23224</v>
      </c>
      <c r="K3" s="155">
        <v>23885</v>
      </c>
      <c r="L3" s="155">
        <v>22467</v>
      </c>
      <c r="M3" s="155">
        <v>25210</v>
      </c>
      <c r="N3" s="155">
        <v>35694</v>
      </c>
    </row>
    <row r="4" spans="2:14" x14ac:dyDescent="0.3">
      <c r="B4" t="s">
        <v>85</v>
      </c>
      <c r="C4" s="30">
        <v>14172</v>
      </c>
      <c r="D4" s="30">
        <v>15946</v>
      </c>
      <c r="E4" s="30">
        <v>17839</v>
      </c>
      <c r="F4" s="30">
        <v>19340</v>
      </c>
      <c r="G4" s="30">
        <v>19963</v>
      </c>
      <c r="H4" s="30">
        <v>22126</v>
      </c>
      <c r="I4" s="30">
        <v>23920</v>
      </c>
      <c r="J4" s="30">
        <v>28845</v>
      </c>
      <c r="K4" s="30">
        <v>32921</v>
      </c>
      <c r="L4" s="30">
        <v>37605</v>
      </c>
      <c r="M4" s="30">
        <v>39523</v>
      </c>
      <c r="N4" s="30">
        <v>41591</v>
      </c>
    </row>
    <row r="5" spans="2:14" x14ac:dyDescent="0.3">
      <c r="B5" t="s">
        <v>43</v>
      </c>
      <c r="C5" s="30">
        <v>-1406</v>
      </c>
      <c r="D5" s="30">
        <v>-1475</v>
      </c>
      <c r="E5" s="30">
        <v>-1654</v>
      </c>
      <c r="F5" s="30">
        <v>-1743</v>
      </c>
      <c r="G5" s="30">
        <v>-1523</v>
      </c>
      <c r="H5" s="30">
        <v>-2881</v>
      </c>
      <c r="I5" s="30">
        <v>-3861</v>
      </c>
      <c r="J5" s="30">
        <v>-1835</v>
      </c>
      <c r="K5" s="30">
        <v>-7937</v>
      </c>
      <c r="L5" s="30">
        <v>-7076</v>
      </c>
      <c r="M5" s="30">
        <v>-2667</v>
      </c>
      <c r="N5" s="30">
        <v>-1769</v>
      </c>
    </row>
    <row r="6" spans="2:14" x14ac:dyDescent="0.3">
      <c r="B6" t="s">
        <v>86</v>
      </c>
      <c r="C6">
        <v>0</v>
      </c>
      <c r="D6">
        <v>0</v>
      </c>
      <c r="E6">
        <v>242</v>
      </c>
      <c r="F6">
        <v>-19</v>
      </c>
      <c r="G6">
        <v>328</v>
      </c>
      <c r="H6">
        <v>916</v>
      </c>
      <c r="I6">
        <v>-373</v>
      </c>
      <c r="J6">
        <v>-245</v>
      </c>
      <c r="K6" s="30">
        <v>1489</v>
      </c>
      <c r="L6">
        <v>-279</v>
      </c>
      <c r="M6">
        <v>91</v>
      </c>
      <c r="N6">
        <v>176</v>
      </c>
    </row>
    <row r="7" spans="2:14" x14ac:dyDescent="0.3">
      <c r="B7" t="s">
        <v>87</v>
      </c>
      <c r="C7" s="30">
        <v>-1060</v>
      </c>
      <c r="D7">
        <v>-221</v>
      </c>
      <c r="E7" s="30">
        <v>-1134</v>
      </c>
      <c r="F7">
        <v>0</v>
      </c>
      <c r="G7">
        <v>0</v>
      </c>
      <c r="H7">
        <v>0</v>
      </c>
      <c r="I7">
        <v>0</v>
      </c>
      <c r="J7">
        <v>-534</v>
      </c>
      <c r="K7" s="30">
        <v>-1914</v>
      </c>
      <c r="L7" s="30">
        <v>-3108</v>
      </c>
      <c r="M7" s="30">
        <v>-1172</v>
      </c>
      <c r="N7" s="30">
        <v>-1024</v>
      </c>
    </row>
    <row r="8" spans="2:14" x14ac:dyDescent="0.3">
      <c r="B8" t="s">
        <v>88</v>
      </c>
      <c r="C8" s="30">
        <v>1993</v>
      </c>
      <c r="D8">
        <v>854</v>
      </c>
      <c r="E8">
        <v>600</v>
      </c>
      <c r="F8">
        <v>-394</v>
      </c>
      <c r="G8" s="30">
        <v>1279</v>
      </c>
      <c r="H8" s="30">
        <v>1512</v>
      </c>
      <c r="I8" s="30">
        <v>1867</v>
      </c>
      <c r="J8" s="30">
        <v>3382</v>
      </c>
      <c r="K8" s="30">
        <v>6938</v>
      </c>
      <c r="L8" s="30">
        <v>4119</v>
      </c>
      <c r="M8" s="30">
        <v>-1334</v>
      </c>
      <c r="N8" s="30">
        <v>2322</v>
      </c>
    </row>
    <row r="9" spans="2:14" x14ac:dyDescent="0.3">
      <c r="B9" t="s">
        <v>89</v>
      </c>
      <c r="C9">
        <v>-473</v>
      </c>
      <c r="D9">
        <v>-842</v>
      </c>
      <c r="E9" s="30">
        <v>-1946</v>
      </c>
      <c r="F9" s="30">
        <v>-2156</v>
      </c>
      <c r="G9">
        <v>84</v>
      </c>
      <c r="H9">
        <v>-453</v>
      </c>
      <c r="I9" s="30">
        <v>-2367</v>
      </c>
      <c r="J9">
        <v>768</v>
      </c>
      <c r="K9" s="30">
        <v>-1424</v>
      </c>
      <c r="L9" s="30">
        <v>-6344</v>
      </c>
      <c r="M9" s="30">
        <v>-5082</v>
      </c>
      <c r="N9">
        <v>-295</v>
      </c>
    </row>
    <row r="10" spans="2:14" x14ac:dyDescent="0.3">
      <c r="B10" t="s">
        <v>90</v>
      </c>
      <c r="C10" s="30">
        <v>-3874</v>
      </c>
      <c r="D10" s="30">
        <v>-6751</v>
      </c>
      <c r="E10" s="30">
        <v>-5865</v>
      </c>
      <c r="F10" s="30">
        <v>-5653</v>
      </c>
      <c r="G10" s="30">
        <v>-6829</v>
      </c>
      <c r="H10" s="30">
        <v>-6832</v>
      </c>
      <c r="I10" s="30">
        <v>-4550</v>
      </c>
      <c r="J10" s="30">
        <v>-6389</v>
      </c>
      <c r="K10" s="30">
        <v>-7612</v>
      </c>
      <c r="L10" s="30">
        <v>-8794</v>
      </c>
      <c r="M10" s="30">
        <v>-9231</v>
      </c>
      <c r="N10" s="30">
        <v>-5602</v>
      </c>
    </row>
    <row r="11" spans="2:14" x14ac:dyDescent="0.3">
      <c r="B11" t="s">
        <v>106</v>
      </c>
      <c r="C11" s="30">
        <v>-2563</v>
      </c>
      <c r="D11">
        <v>999</v>
      </c>
      <c r="E11" s="156">
        <v>-885</v>
      </c>
      <c r="F11" s="155">
        <v>-14664</v>
      </c>
      <c r="G11" s="155">
        <v>4533</v>
      </c>
      <c r="H11" s="156">
        <v>-632</v>
      </c>
      <c r="I11" s="156">
        <v>-331</v>
      </c>
      <c r="J11" s="155">
        <v>-7373</v>
      </c>
      <c r="K11" s="155">
        <v>-6485</v>
      </c>
      <c r="L11" s="155">
        <v>-1071</v>
      </c>
      <c r="M11" s="155">
        <v>-5093</v>
      </c>
      <c r="N11" s="155">
        <v>-1864</v>
      </c>
    </row>
    <row r="12" spans="2:14" x14ac:dyDescent="0.3">
      <c r="B12" t="s">
        <v>91</v>
      </c>
      <c r="C12" s="30">
        <v>-2748</v>
      </c>
      <c r="D12" s="30">
        <v>-2247</v>
      </c>
      <c r="E12" s="30">
        <v>-2723</v>
      </c>
      <c r="F12" s="30">
        <v>-2760</v>
      </c>
      <c r="G12" s="30">
        <v>-1998</v>
      </c>
      <c r="H12" s="30">
        <v>-2445</v>
      </c>
      <c r="I12" s="30">
        <v>-3307</v>
      </c>
      <c r="J12" s="30">
        <v>-2107</v>
      </c>
      <c r="K12" s="30">
        <v>-2161</v>
      </c>
      <c r="L12" s="30">
        <v>-2579</v>
      </c>
      <c r="M12" s="30">
        <v>-2201</v>
      </c>
      <c r="N12" s="30">
        <v>-2237</v>
      </c>
    </row>
    <row r="13" spans="2:14" x14ac:dyDescent="0.3">
      <c r="B13" t="s">
        <v>92</v>
      </c>
      <c r="C13">
        <v>3</v>
      </c>
      <c r="D13">
        <v>0</v>
      </c>
      <c r="E13">
        <v>0</v>
      </c>
      <c r="F13">
        <v>0</v>
      </c>
      <c r="G13">
        <v>0</v>
      </c>
      <c r="H13">
        <v>0</v>
      </c>
      <c r="I13">
        <v>0</v>
      </c>
      <c r="J13">
        <v>0</v>
      </c>
      <c r="K13">
        <v>0</v>
      </c>
      <c r="L13">
        <v>0</v>
      </c>
      <c r="M13">
        <v>0</v>
      </c>
      <c r="N13">
        <v>0</v>
      </c>
    </row>
    <row r="14" spans="2:14" x14ac:dyDescent="0.3">
      <c r="B14" t="s">
        <v>93</v>
      </c>
      <c r="C14" s="30">
        <v>-25046</v>
      </c>
      <c r="D14" s="30">
        <v>-23923</v>
      </c>
      <c r="E14" s="30">
        <v>-24577</v>
      </c>
      <c r="F14" s="30">
        <v>-66410</v>
      </c>
      <c r="G14" s="30">
        <v>-69159</v>
      </c>
      <c r="H14" s="30">
        <v>-79410</v>
      </c>
      <c r="I14" s="30">
        <v>-37482</v>
      </c>
      <c r="J14" s="30">
        <v>-46738</v>
      </c>
      <c r="K14" s="30">
        <v>-59951</v>
      </c>
      <c r="L14" s="30">
        <v>-75800</v>
      </c>
      <c r="M14" s="30">
        <v>-78118</v>
      </c>
      <c r="N14" s="30">
        <v>-82753</v>
      </c>
    </row>
    <row r="15" spans="2:14" x14ac:dyDescent="0.3">
      <c r="B15" t="s">
        <v>94</v>
      </c>
      <c r="C15" s="30">
        <v>22385</v>
      </c>
      <c r="D15" s="30">
        <v>25253</v>
      </c>
      <c r="E15" s="30">
        <v>24980</v>
      </c>
      <c r="F15" s="30">
        <v>52048</v>
      </c>
      <c r="G15" s="30">
        <v>74003</v>
      </c>
      <c r="H15" s="30">
        <v>78098</v>
      </c>
      <c r="I15" s="30">
        <v>38861</v>
      </c>
      <c r="J15" s="30">
        <v>40381</v>
      </c>
      <c r="K15" s="30">
        <v>57356</v>
      </c>
      <c r="L15" s="30">
        <v>76722</v>
      </c>
      <c r="M15" s="30">
        <v>72956</v>
      </c>
      <c r="N15" s="30">
        <v>84888</v>
      </c>
    </row>
    <row r="16" spans="2:14" x14ac:dyDescent="0.3">
      <c r="B16" t="s">
        <v>95</v>
      </c>
      <c r="C16" s="30">
        <v>2379</v>
      </c>
      <c r="D16" s="30">
        <v>2551</v>
      </c>
      <c r="E16" s="30">
        <v>2383</v>
      </c>
      <c r="F16">
        <v>0</v>
      </c>
      <c r="G16">
        <v>0</v>
      </c>
      <c r="H16">
        <v>0</v>
      </c>
      <c r="I16">
        <v>0</v>
      </c>
      <c r="J16">
        <v>0</v>
      </c>
      <c r="K16">
        <v>0</v>
      </c>
      <c r="L16">
        <v>0</v>
      </c>
      <c r="M16">
        <v>0</v>
      </c>
      <c r="N16">
        <v>0</v>
      </c>
    </row>
    <row r="17" spans="2:14" x14ac:dyDescent="0.3">
      <c r="B17" t="s">
        <v>96</v>
      </c>
      <c r="C17">
        <v>0</v>
      </c>
      <c r="D17">
        <v>0</v>
      </c>
      <c r="E17">
        <v>0</v>
      </c>
      <c r="F17" s="30">
        <v>2753</v>
      </c>
      <c r="G17" s="30">
        <v>1768</v>
      </c>
      <c r="H17" s="30">
        <v>1557</v>
      </c>
      <c r="I17" s="30">
        <v>1929</v>
      </c>
      <c r="J17" s="30">
        <v>1418</v>
      </c>
      <c r="K17" s="30">
        <v>1898</v>
      </c>
      <c r="L17" s="30">
        <v>1525</v>
      </c>
      <c r="M17" s="30">
        <v>1768</v>
      </c>
      <c r="N17" s="30">
        <v>2040</v>
      </c>
    </row>
    <row r="18" spans="2:14" x14ac:dyDescent="0.3">
      <c r="B18" t="s">
        <v>97</v>
      </c>
      <c r="C18">
        <v>0</v>
      </c>
      <c r="D18" s="30">
        <v>-1376</v>
      </c>
      <c r="E18">
        <v>-747</v>
      </c>
      <c r="F18">
        <v>0</v>
      </c>
      <c r="G18">
        <v>0</v>
      </c>
      <c r="H18">
        <v>0</v>
      </c>
      <c r="I18">
        <v>0</v>
      </c>
      <c r="J18">
        <v>0</v>
      </c>
      <c r="K18">
        <v>0</v>
      </c>
      <c r="L18">
        <v>0</v>
      </c>
      <c r="M18">
        <v>0</v>
      </c>
      <c r="N18">
        <v>0</v>
      </c>
    </row>
    <row r="19" spans="2:14" x14ac:dyDescent="0.3">
      <c r="B19" t="s">
        <v>98</v>
      </c>
      <c r="C19">
        <v>0</v>
      </c>
      <c r="D19">
        <v>0</v>
      </c>
      <c r="E19">
        <v>-142</v>
      </c>
      <c r="F19">
        <v>-164</v>
      </c>
      <c r="G19">
        <v>-130</v>
      </c>
      <c r="H19">
        <v>-24</v>
      </c>
      <c r="I19">
        <v>-108</v>
      </c>
      <c r="J19">
        <v>0</v>
      </c>
      <c r="K19">
        <v>0</v>
      </c>
      <c r="L19">
        <v>0</v>
      </c>
      <c r="M19">
        <v>0</v>
      </c>
      <c r="N19">
        <v>0</v>
      </c>
    </row>
    <row r="20" spans="2:14" x14ac:dyDescent="0.3">
      <c r="B20" t="s">
        <v>99</v>
      </c>
      <c r="C20">
        <v>464</v>
      </c>
      <c r="D20">
        <v>741</v>
      </c>
      <c r="E20">
        <v>-59</v>
      </c>
      <c r="F20">
        <v>-131</v>
      </c>
      <c r="G20">
        <v>49</v>
      </c>
      <c r="H20" s="30">
        <v>1592</v>
      </c>
      <c r="I20">
        <v>-224</v>
      </c>
      <c r="J20">
        <v>-327</v>
      </c>
      <c r="K20" s="30">
        <v>-3627</v>
      </c>
      <c r="L20">
        <v>-939</v>
      </c>
      <c r="M20">
        <v>502</v>
      </c>
      <c r="N20" s="30">
        <v>-3802</v>
      </c>
    </row>
    <row r="21" spans="2:14" x14ac:dyDescent="0.3">
      <c r="B21" t="s">
        <v>107</v>
      </c>
      <c r="C21" s="30">
        <v>-3144</v>
      </c>
      <c r="D21" s="30">
        <v>-4935</v>
      </c>
      <c r="E21" s="155">
        <v>-6813</v>
      </c>
      <c r="F21" s="155">
        <v>-6939</v>
      </c>
      <c r="G21" s="155">
        <v>-20505</v>
      </c>
      <c r="H21" s="155">
        <v>-14512</v>
      </c>
      <c r="I21" s="155">
        <v>-17591</v>
      </c>
      <c r="J21" s="155">
        <v>-9786</v>
      </c>
      <c r="K21" s="155">
        <v>-24642</v>
      </c>
      <c r="L21" s="155">
        <v>-26695</v>
      </c>
      <c r="M21" s="155">
        <v>-17504</v>
      </c>
      <c r="N21" s="155">
        <v>-24161</v>
      </c>
    </row>
    <row r="22" spans="2:14" x14ac:dyDescent="0.3">
      <c r="B22" t="s">
        <v>100</v>
      </c>
      <c r="C22">
        <v>0</v>
      </c>
      <c r="D22">
        <v>0</v>
      </c>
      <c r="E22">
        <v>0</v>
      </c>
      <c r="F22">
        <v>0</v>
      </c>
      <c r="G22">
        <v>5</v>
      </c>
      <c r="H22">
        <v>6</v>
      </c>
      <c r="I22">
        <v>6</v>
      </c>
      <c r="J22">
        <v>15</v>
      </c>
      <c r="K22">
        <v>21</v>
      </c>
      <c r="L22">
        <v>35</v>
      </c>
      <c r="M22">
        <v>5</v>
      </c>
      <c r="N22">
        <v>6</v>
      </c>
    </row>
    <row r="23" spans="2:14" x14ac:dyDescent="0.3">
      <c r="B23" t="s">
        <v>101</v>
      </c>
      <c r="C23">
        <v>0</v>
      </c>
      <c r="D23">
        <v>0</v>
      </c>
      <c r="E23">
        <v>0</v>
      </c>
      <c r="F23">
        <v>0</v>
      </c>
      <c r="G23">
        <v>0</v>
      </c>
      <c r="H23">
        <v>0</v>
      </c>
      <c r="I23">
        <v>0</v>
      </c>
      <c r="J23">
        <v>0</v>
      </c>
      <c r="K23">
        <v>0</v>
      </c>
      <c r="L23">
        <v>0</v>
      </c>
      <c r="M23">
        <v>0</v>
      </c>
      <c r="N23">
        <v>-985</v>
      </c>
    </row>
    <row r="24" spans="2:14" x14ac:dyDescent="0.3">
      <c r="B24" t="s">
        <v>102</v>
      </c>
      <c r="C24" s="30">
        <v>-3144</v>
      </c>
      <c r="D24" s="30">
        <v>-4935</v>
      </c>
      <c r="E24" s="30">
        <v>-6813</v>
      </c>
      <c r="F24" s="30">
        <v>-6939</v>
      </c>
      <c r="G24" s="30">
        <v>-7464</v>
      </c>
      <c r="H24" s="30">
        <v>-13705</v>
      </c>
      <c r="I24" s="30">
        <v>-9548</v>
      </c>
      <c r="J24" s="30">
        <v>-9137</v>
      </c>
      <c r="K24" s="30">
        <v>-12731</v>
      </c>
      <c r="L24" s="30">
        <v>-13653</v>
      </c>
      <c r="M24" s="30">
        <v>-14731</v>
      </c>
      <c r="N24" s="30">
        <v>-20289</v>
      </c>
    </row>
    <row r="25" spans="2:14" x14ac:dyDescent="0.3">
      <c r="B25" t="s">
        <v>103</v>
      </c>
      <c r="C25">
        <v>0</v>
      </c>
      <c r="D25">
        <v>0</v>
      </c>
      <c r="E25">
        <v>0</v>
      </c>
      <c r="F25">
        <v>0</v>
      </c>
      <c r="G25">
        <v>0</v>
      </c>
      <c r="H25">
        <v>0</v>
      </c>
      <c r="I25">
        <v>-571</v>
      </c>
      <c r="J25">
        <v>-698</v>
      </c>
      <c r="K25">
        <v>-915</v>
      </c>
      <c r="L25" s="30">
        <v>-1231</v>
      </c>
      <c r="M25" s="30">
        <v>-2024</v>
      </c>
      <c r="N25" s="30">
        <v>-2355</v>
      </c>
    </row>
    <row r="26" spans="2:14" x14ac:dyDescent="0.3">
      <c r="B26" t="s">
        <v>104</v>
      </c>
      <c r="C26">
        <v>0</v>
      </c>
      <c r="D26">
        <v>0</v>
      </c>
      <c r="E26">
        <v>0</v>
      </c>
      <c r="F26">
        <v>0</v>
      </c>
      <c r="G26" s="30">
        <v>-13046</v>
      </c>
      <c r="H26">
        <v>-813</v>
      </c>
      <c r="I26" s="30">
        <v>-7478</v>
      </c>
      <c r="J26">
        <v>34</v>
      </c>
      <c r="K26" s="30">
        <v>-11017</v>
      </c>
      <c r="L26" s="30">
        <v>-11846</v>
      </c>
      <c r="M26">
        <v>-754</v>
      </c>
      <c r="N26">
        <v>-538</v>
      </c>
    </row>
    <row r="27" spans="2:14" x14ac:dyDescent="0.3">
      <c r="B27" t="s">
        <v>20</v>
      </c>
      <c r="C27" s="30">
        <v>4118</v>
      </c>
      <c r="D27" s="30">
        <v>4417</v>
      </c>
      <c r="E27" s="155">
        <v>2330</v>
      </c>
      <c r="F27" s="155">
        <v>-10072</v>
      </c>
      <c r="G27" s="155">
        <v>-2754</v>
      </c>
      <c r="H27" s="156">
        <v>-303</v>
      </c>
      <c r="I27" s="156">
        <v>-919</v>
      </c>
      <c r="J27" s="155">
        <v>6065</v>
      </c>
      <c r="K27" s="155">
        <v>-7242</v>
      </c>
      <c r="L27" s="155">
        <v>-5299</v>
      </c>
      <c r="M27" s="155">
        <v>2613</v>
      </c>
      <c r="N27" s="155">
        <v>9669</v>
      </c>
    </row>
    <row r="30" spans="2:14" x14ac:dyDescent="0.3">
      <c r="C30" s="29"/>
      <c r="D30" s="29" t="s">
        <v>1166</v>
      </c>
      <c r="E30" s="30" t="s">
        <v>1167</v>
      </c>
      <c r="F30" s="29" t="s">
        <v>1168</v>
      </c>
      <c r="G30" s="29" t="s">
        <v>1179</v>
      </c>
      <c r="H30" s="29"/>
      <c r="I30">
        <v>10000000</v>
      </c>
      <c r="J30" s="29"/>
      <c r="K30" s="29"/>
      <c r="L30" s="29"/>
      <c r="M30" s="29"/>
      <c r="N30" s="29"/>
    </row>
    <row r="31" spans="2:14" x14ac:dyDescent="0.3">
      <c r="C31" s="30"/>
      <c r="D31" s="30" t="s">
        <v>1169</v>
      </c>
      <c r="E31" s="67">
        <v>41.9308616</v>
      </c>
      <c r="F31" s="67">
        <v>0.1128</v>
      </c>
      <c r="G31" s="54">
        <f>1297.5*E31</f>
        <v>54405.292926000002</v>
      </c>
      <c r="H31" s="30"/>
      <c r="I31">
        <v>1297.5</v>
      </c>
      <c r="J31" s="30"/>
      <c r="K31" s="30"/>
      <c r="M31" s="30"/>
      <c r="N31" s="30"/>
    </row>
    <row r="32" spans="2:14" x14ac:dyDescent="0.3">
      <c r="D32" t="s">
        <v>1170</v>
      </c>
      <c r="E32" s="67">
        <v>17.3292717</v>
      </c>
      <c r="F32" s="67">
        <v>4.6600000000000003E-2</v>
      </c>
      <c r="G32" s="54">
        <f t="shared" ref="G32:G40" si="0">1297.5*E32</f>
        <v>22484.730030750001</v>
      </c>
      <c r="I32">
        <v>100</v>
      </c>
    </row>
    <row r="33" spans="4:9" x14ac:dyDescent="0.3">
      <c r="D33" t="s">
        <v>1171</v>
      </c>
      <c r="E33" s="67">
        <v>15.288944300000001</v>
      </c>
      <c r="F33" s="67">
        <v>4.1100000000000005E-2</v>
      </c>
      <c r="G33" s="54">
        <f t="shared" si="0"/>
        <v>19837.405229250002</v>
      </c>
      <c r="I33" s="29"/>
    </row>
    <row r="34" spans="4:9" x14ac:dyDescent="0.3">
      <c r="D34" t="s">
        <v>1172</v>
      </c>
      <c r="E34" s="67">
        <v>10.006454700000001</v>
      </c>
      <c r="F34" s="67">
        <v>2.69E-2</v>
      </c>
      <c r="G34" s="54">
        <f t="shared" si="0"/>
        <v>12983.374973250002</v>
      </c>
      <c r="I34" s="29"/>
    </row>
    <row r="35" spans="4:9" x14ac:dyDescent="0.3">
      <c r="D35" t="s">
        <v>1173</v>
      </c>
      <c r="E35" s="67">
        <v>9.5357000000000003</v>
      </c>
      <c r="F35" s="67">
        <v>2.5699999999999997E-2</v>
      </c>
      <c r="G35" s="54">
        <f t="shared" si="0"/>
        <v>12372.570750000001</v>
      </c>
      <c r="I35" s="29"/>
    </row>
    <row r="36" spans="4:9" x14ac:dyDescent="0.3">
      <c r="D36" t="s">
        <v>1174</v>
      </c>
      <c r="E36" s="67">
        <v>6.8989086999999998</v>
      </c>
      <c r="F36" s="67">
        <v>1.8600000000000002E-2</v>
      </c>
      <c r="G36" s="54">
        <f t="shared" si="0"/>
        <v>8951.3340382499991</v>
      </c>
      <c r="I36" s="29"/>
    </row>
    <row r="37" spans="4:9" x14ac:dyDescent="0.3">
      <c r="D37" t="s">
        <v>1175</v>
      </c>
      <c r="E37" s="67">
        <v>6.7112908999999998</v>
      </c>
      <c r="F37" s="67">
        <v>1.8100000000000002E-2</v>
      </c>
      <c r="G37" s="54">
        <f t="shared" si="0"/>
        <v>8707.8999427500003</v>
      </c>
      <c r="I37" s="29"/>
    </row>
    <row r="38" spans="4:9" x14ac:dyDescent="0.3">
      <c r="D38" t="s">
        <v>1176</v>
      </c>
      <c r="E38" s="67">
        <v>6.5708729000000003</v>
      </c>
      <c r="F38" s="67">
        <v>1.77E-2</v>
      </c>
      <c r="G38" s="54">
        <f t="shared" si="0"/>
        <v>8525.707587750001</v>
      </c>
      <c r="I38" s="29"/>
    </row>
    <row r="39" spans="4:9" x14ac:dyDescent="0.3">
      <c r="D39" t="s">
        <v>1177</v>
      </c>
      <c r="E39" s="67">
        <v>6.0812891999999996</v>
      </c>
      <c r="F39" s="67">
        <v>1.6399999999999998E-2</v>
      </c>
      <c r="G39" s="54">
        <f t="shared" si="0"/>
        <v>7890.4727369999991</v>
      </c>
      <c r="I39" s="29"/>
    </row>
    <row r="40" spans="4:9" x14ac:dyDescent="0.3">
      <c r="D40" t="s">
        <v>1178</v>
      </c>
      <c r="E40" s="67">
        <v>5.1392389999999999</v>
      </c>
      <c r="F40" s="67">
        <v>1.38E-2</v>
      </c>
      <c r="G40" s="54">
        <f t="shared" si="0"/>
        <v>6668.1626024999996</v>
      </c>
      <c r="I40" s="29"/>
    </row>
    <row r="43" spans="4:9" x14ac:dyDescent="0.3">
      <c r="D43" t="s">
        <v>1181</v>
      </c>
      <c r="E43" s="58">
        <v>0.1452</v>
      </c>
    </row>
    <row r="44" spans="4:9" x14ac:dyDescent="0.3">
      <c r="D44" t="s">
        <v>1182</v>
      </c>
      <c r="E44" s="58">
        <v>0.30270000000000002</v>
      </c>
    </row>
    <row r="45" spans="4:9" x14ac:dyDescent="0.3">
      <c r="D45" t="s">
        <v>1183</v>
      </c>
      <c r="E45" s="58">
        <v>0.4108</v>
      </c>
    </row>
    <row r="46" spans="4:9" x14ac:dyDescent="0.3">
      <c r="D46" t="s">
        <v>1184</v>
      </c>
      <c r="E46" s="58">
        <v>0.14130000000000001</v>
      </c>
    </row>
  </sheetData>
  <pageMargins left="0.7" right="0.7" top="0.75" bottom="0.75" header="0.3" footer="0.3"/>
  <pageSetup scale="3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B060-2D4A-4452-8EBE-195D08E1F35F}">
  <sheetPr>
    <pageSetUpPr fitToPage="1"/>
  </sheetPr>
  <dimension ref="B3:S43"/>
  <sheetViews>
    <sheetView zoomScaleNormal="100" workbookViewId="0">
      <pane xSplit="2" ySplit="3" topLeftCell="C24" activePane="bottomRight" state="frozen"/>
      <selection pane="topRight" activeCell="C1" sqref="C1"/>
      <selection pane="bottomLeft" activeCell="A4" sqref="A4"/>
      <selection pane="bottomRight" activeCell="B52" sqref="B52"/>
    </sheetView>
  </sheetViews>
  <sheetFormatPr defaultRowHeight="14.4" x14ac:dyDescent="0.3"/>
  <cols>
    <col min="2" max="2" width="25.6640625" customWidth="1"/>
    <col min="3" max="14" width="12.21875" customWidth="1"/>
  </cols>
  <sheetData>
    <row r="3" spans="2:15" x14ac:dyDescent="0.3">
      <c r="C3" s="97">
        <v>42430</v>
      </c>
      <c r="D3" s="97">
        <v>42795</v>
      </c>
      <c r="E3" s="97">
        <v>43160</v>
      </c>
      <c r="F3" s="97">
        <v>43525</v>
      </c>
      <c r="G3" s="97">
        <v>43891</v>
      </c>
      <c r="H3" s="97">
        <v>44256</v>
      </c>
      <c r="I3" s="97">
        <v>44621</v>
      </c>
      <c r="J3" s="97">
        <v>44986</v>
      </c>
      <c r="K3" s="97">
        <v>45352</v>
      </c>
      <c r="L3" s="97">
        <v>45717</v>
      </c>
      <c r="O3" s="29"/>
    </row>
    <row r="4" spans="2:15" x14ac:dyDescent="0.3">
      <c r="C4" s="29"/>
      <c r="D4" s="29"/>
      <c r="E4" s="29"/>
      <c r="F4" s="29"/>
      <c r="G4" s="29"/>
      <c r="H4" s="29"/>
      <c r="I4" s="29"/>
      <c r="J4" s="29"/>
      <c r="K4" s="29"/>
      <c r="L4" s="29"/>
      <c r="O4" s="29"/>
    </row>
    <row r="5" spans="2:15" x14ac:dyDescent="0.3">
      <c r="B5" t="s">
        <v>201</v>
      </c>
      <c r="C5" s="30">
        <v>1144</v>
      </c>
      <c r="D5" s="30">
        <v>1144</v>
      </c>
      <c r="E5" s="30">
        <v>1088</v>
      </c>
      <c r="F5" s="30">
        <v>2170</v>
      </c>
      <c r="G5" s="30">
        <v>2122</v>
      </c>
      <c r="H5" s="30">
        <v>2124</v>
      </c>
      <c r="I5" s="30">
        <v>2098</v>
      </c>
      <c r="J5" s="30">
        <v>2069</v>
      </c>
      <c r="K5" s="30">
        <v>2071</v>
      </c>
      <c r="L5" s="30">
        <v>2073</v>
      </c>
      <c r="O5" s="30"/>
    </row>
    <row r="6" spans="2:15" x14ac:dyDescent="0.3">
      <c r="B6" t="s">
        <v>11</v>
      </c>
      <c r="C6" s="30">
        <v>60600</v>
      </c>
      <c r="D6" s="30">
        <v>67838</v>
      </c>
      <c r="E6" s="30">
        <v>63835</v>
      </c>
      <c r="F6" s="30">
        <v>62778</v>
      </c>
      <c r="G6" s="30">
        <v>63328</v>
      </c>
      <c r="H6" s="30">
        <v>74227</v>
      </c>
      <c r="I6" s="30">
        <v>73252</v>
      </c>
      <c r="J6" s="30">
        <v>73338</v>
      </c>
      <c r="K6" s="30">
        <v>86045</v>
      </c>
      <c r="L6" s="30">
        <v>93745</v>
      </c>
      <c r="O6" s="30"/>
    </row>
    <row r="7" spans="2:15" x14ac:dyDescent="0.3">
      <c r="C7" s="30"/>
      <c r="D7" s="30"/>
      <c r="E7" s="30"/>
      <c r="F7" s="30"/>
      <c r="G7" s="30"/>
      <c r="H7" s="30"/>
      <c r="I7" s="30"/>
      <c r="J7" s="30"/>
      <c r="K7" s="30"/>
      <c r="L7" s="30"/>
      <c r="O7" s="30"/>
    </row>
    <row r="8" spans="2:15" x14ac:dyDescent="0.3">
      <c r="B8" t="s">
        <v>224</v>
      </c>
      <c r="G8" s="30"/>
      <c r="H8" s="30"/>
      <c r="I8" s="30"/>
      <c r="J8" s="30"/>
      <c r="K8" s="30"/>
      <c r="L8" s="30"/>
      <c r="O8" s="30"/>
    </row>
    <row r="9" spans="2:15" x14ac:dyDescent="0.3">
      <c r="B9" t="s">
        <v>202</v>
      </c>
      <c r="C9">
        <v>0</v>
      </c>
      <c r="D9">
        <v>0</v>
      </c>
      <c r="E9">
        <v>0</v>
      </c>
      <c r="F9">
        <v>0</v>
      </c>
      <c r="G9" s="30">
        <v>4633</v>
      </c>
      <c r="H9" s="30">
        <v>5325</v>
      </c>
      <c r="I9" s="30">
        <v>5474</v>
      </c>
      <c r="J9" s="30">
        <v>8299</v>
      </c>
      <c r="K9" s="30">
        <v>8359</v>
      </c>
      <c r="L9" s="30">
        <v>8227</v>
      </c>
      <c r="O9" s="30"/>
    </row>
    <row r="10" spans="2:15" x14ac:dyDescent="0.3">
      <c r="G10" s="30"/>
      <c r="H10" s="30"/>
      <c r="I10" s="30"/>
      <c r="J10" s="30"/>
      <c r="K10" s="30"/>
      <c r="L10" s="30"/>
      <c r="O10" s="30"/>
    </row>
    <row r="11" spans="2:15" x14ac:dyDescent="0.3">
      <c r="B11" t="s">
        <v>225</v>
      </c>
      <c r="C11" s="30"/>
      <c r="D11" s="30"/>
      <c r="E11" s="30"/>
      <c r="F11" s="30"/>
      <c r="G11" s="30"/>
      <c r="H11" s="30"/>
      <c r="I11" s="30"/>
      <c r="J11" s="30"/>
      <c r="K11" s="30"/>
      <c r="L11" s="30"/>
      <c r="O11" s="30"/>
    </row>
    <row r="12" spans="2:15" x14ac:dyDescent="0.3">
      <c r="B12" t="s">
        <v>203</v>
      </c>
      <c r="C12">
        <v>0</v>
      </c>
      <c r="D12">
        <v>0</v>
      </c>
      <c r="E12">
        <v>1</v>
      </c>
      <c r="F12">
        <v>58</v>
      </c>
      <c r="G12">
        <v>394</v>
      </c>
      <c r="H12">
        <v>431</v>
      </c>
      <c r="I12">
        <v>386</v>
      </c>
      <c r="J12">
        <v>388</v>
      </c>
      <c r="K12">
        <v>345</v>
      </c>
      <c r="L12">
        <v>385</v>
      </c>
    </row>
    <row r="13" spans="2:15" x14ac:dyDescent="0.3">
      <c r="B13" t="s">
        <v>204</v>
      </c>
      <c r="C13">
        <v>386</v>
      </c>
      <c r="D13">
        <v>367</v>
      </c>
      <c r="E13">
        <v>694</v>
      </c>
      <c r="F13" s="30">
        <v>1655</v>
      </c>
      <c r="G13" s="30">
        <v>2852</v>
      </c>
      <c r="H13" s="30">
        <v>2645</v>
      </c>
      <c r="I13" s="30">
        <v>4134</v>
      </c>
      <c r="J13" s="30">
        <v>3865</v>
      </c>
      <c r="K13" s="30">
        <v>3956</v>
      </c>
      <c r="L13" s="30">
        <v>4164</v>
      </c>
      <c r="O13" s="30"/>
    </row>
    <row r="14" spans="2:15" x14ac:dyDescent="0.3">
      <c r="B14" t="s">
        <v>205</v>
      </c>
      <c r="C14">
        <v>28</v>
      </c>
      <c r="D14">
        <v>0</v>
      </c>
      <c r="E14">
        <v>0</v>
      </c>
      <c r="F14">
        <v>0</v>
      </c>
      <c r="G14">
        <v>0</v>
      </c>
      <c r="H14">
        <v>0</v>
      </c>
      <c r="I14">
        <v>0</v>
      </c>
      <c r="J14">
        <v>0</v>
      </c>
      <c r="K14">
        <v>0</v>
      </c>
      <c r="L14">
        <v>0</v>
      </c>
    </row>
    <row r="15" spans="2:15" x14ac:dyDescent="0.3">
      <c r="B15" t="s">
        <v>206</v>
      </c>
      <c r="C15" s="30">
        <v>12940</v>
      </c>
      <c r="D15" s="30">
        <v>13799</v>
      </c>
      <c r="E15" s="30">
        <v>13731</v>
      </c>
      <c r="F15" s="30">
        <v>17405</v>
      </c>
      <c r="G15" s="30">
        <v>18471</v>
      </c>
      <c r="H15" s="30">
        <v>22759</v>
      </c>
      <c r="I15" s="30">
        <v>31385</v>
      </c>
      <c r="J15" s="30">
        <v>36637</v>
      </c>
      <c r="K15" s="30">
        <v>36584</v>
      </c>
      <c r="L15" s="30">
        <v>39201</v>
      </c>
      <c r="O15" s="30"/>
    </row>
    <row r="16" spans="2:15" x14ac:dyDescent="0.3">
      <c r="B16" s="98" t="s">
        <v>78</v>
      </c>
      <c r="C16" s="99">
        <v>75098</v>
      </c>
      <c r="D16" s="99">
        <v>83148</v>
      </c>
      <c r="E16" s="99">
        <v>79349</v>
      </c>
      <c r="F16" s="99">
        <v>84066</v>
      </c>
      <c r="G16" s="99">
        <v>91800</v>
      </c>
      <c r="H16" s="99">
        <v>107511</v>
      </c>
      <c r="I16" s="99">
        <v>116729</v>
      </c>
      <c r="J16" s="99">
        <v>124596</v>
      </c>
      <c r="K16" s="99">
        <v>137360</v>
      </c>
      <c r="L16" s="99">
        <v>147795</v>
      </c>
      <c r="O16" s="30"/>
    </row>
    <row r="17" spans="2:19" x14ac:dyDescent="0.3">
      <c r="C17" s="30"/>
      <c r="D17" s="30"/>
      <c r="E17" s="30"/>
      <c r="F17" s="30"/>
      <c r="G17" s="30"/>
      <c r="H17" s="30"/>
      <c r="I17" s="30"/>
      <c r="J17" s="30"/>
      <c r="K17" s="30"/>
      <c r="L17" s="30"/>
      <c r="O17" s="30"/>
    </row>
    <row r="18" spans="2:19" x14ac:dyDescent="0.3">
      <c r="B18" t="s">
        <v>226</v>
      </c>
      <c r="C18" s="30"/>
      <c r="D18" s="30"/>
      <c r="E18" s="30"/>
      <c r="F18" s="30"/>
      <c r="G18" s="30"/>
      <c r="H18" s="30"/>
      <c r="I18" s="30"/>
      <c r="J18" s="30"/>
      <c r="K18" s="30"/>
      <c r="L18" s="30"/>
      <c r="O18" s="30"/>
    </row>
    <row r="19" spans="2:19" x14ac:dyDescent="0.3">
      <c r="B19" t="s">
        <v>207</v>
      </c>
      <c r="C19" s="30">
        <v>1622</v>
      </c>
      <c r="D19" s="30">
        <v>1095</v>
      </c>
      <c r="E19" s="30">
        <v>1229</v>
      </c>
      <c r="F19" s="30">
        <v>1307</v>
      </c>
      <c r="G19" s="30">
        <v>1950</v>
      </c>
      <c r="H19" s="30">
        <v>2036</v>
      </c>
      <c r="I19" s="30">
        <v>2065</v>
      </c>
      <c r="J19" s="30">
        <v>2054</v>
      </c>
      <c r="K19" s="30">
        <v>2037</v>
      </c>
      <c r="L19" s="30">
        <v>2079</v>
      </c>
    </row>
    <row r="20" spans="2:19" x14ac:dyDescent="0.3">
      <c r="B20" t="s">
        <v>208</v>
      </c>
      <c r="C20" s="30">
        <v>6325</v>
      </c>
      <c r="D20" s="30">
        <v>8419</v>
      </c>
      <c r="E20" s="30">
        <v>9334</v>
      </c>
      <c r="F20" s="30">
        <v>10270</v>
      </c>
      <c r="G20" s="30">
        <v>15104</v>
      </c>
      <c r="H20" s="30">
        <v>16328</v>
      </c>
      <c r="I20" s="30">
        <v>16761</v>
      </c>
      <c r="J20" s="30">
        <v>16903</v>
      </c>
      <c r="K20" s="30">
        <v>16515</v>
      </c>
      <c r="L20" s="30">
        <v>16376</v>
      </c>
    </row>
    <row r="21" spans="2:19" x14ac:dyDescent="0.3">
      <c r="B21" t="s">
        <v>209</v>
      </c>
      <c r="C21" s="30">
        <v>1759</v>
      </c>
      <c r="D21" s="30">
        <v>2048</v>
      </c>
      <c r="E21" s="30">
        <v>2306</v>
      </c>
      <c r="F21" s="30">
        <v>2709</v>
      </c>
      <c r="G21" s="30">
        <v>3185</v>
      </c>
      <c r="H21" s="30">
        <v>3296</v>
      </c>
      <c r="I21" s="30">
        <v>3210</v>
      </c>
      <c r="J21" s="30">
        <v>3302</v>
      </c>
      <c r="K21" s="30">
        <v>3428</v>
      </c>
      <c r="L21" s="30">
        <v>3461</v>
      </c>
    </row>
    <row r="22" spans="2:19" x14ac:dyDescent="0.3">
      <c r="B22" t="s">
        <v>210</v>
      </c>
      <c r="C22">
        <v>839</v>
      </c>
      <c r="D22">
        <v>922</v>
      </c>
      <c r="E22" s="30">
        <v>1002</v>
      </c>
      <c r="F22" s="30">
        <v>1101</v>
      </c>
      <c r="G22" s="30">
        <v>1265</v>
      </c>
      <c r="H22" s="30">
        <v>1371</v>
      </c>
      <c r="I22" s="30">
        <v>1427</v>
      </c>
      <c r="J22" s="30">
        <v>1482</v>
      </c>
      <c r="K22" s="30">
        <v>1528</v>
      </c>
      <c r="L22" s="30">
        <v>1628</v>
      </c>
      <c r="N22" s="30"/>
      <c r="O22" s="30"/>
      <c r="P22" s="30"/>
      <c r="Q22" s="30"/>
      <c r="R22" s="30"/>
      <c r="S22" s="30"/>
    </row>
    <row r="23" spans="2:19" x14ac:dyDescent="0.3">
      <c r="B23" t="s">
        <v>211</v>
      </c>
      <c r="C23" s="30">
        <v>4486</v>
      </c>
      <c r="D23" s="30">
        <v>4945</v>
      </c>
      <c r="E23" s="30">
        <v>4903</v>
      </c>
      <c r="F23" s="30">
        <v>6287</v>
      </c>
      <c r="G23" s="30">
        <v>7423</v>
      </c>
      <c r="H23" s="30">
        <v>8650</v>
      </c>
      <c r="I23" s="30">
        <v>9936</v>
      </c>
      <c r="J23" s="30">
        <v>11898</v>
      </c>
      <c r="K23" s="30">
        <v>12353</v>
      </c>
      <c r="L23" s="30">
        <v>12925</v>
      </c>
    </row>
    <row r="24" spans="2:19" x14ac:dyDescent="0.3">
      <c r="B24" t="s">
        <v>212</v>
      </c>
      <c r="C24" s="30">
        <v>1444</v>
      </c>
      <c r="D24" s="30">
        <v>1277</v>
      </c>
      <c r="E24" s="30">
        <v>1393</v>
      </c>
      <c r="F24" s="30">
        <v>1620</v>
      </c>
      <c r="G24" s="30">
        <v>2073</v>
      </c>
      <c r="H24" s="30">
        <v>2149</v>
      </c>
      <c r="I24" s="30">
        <v>2279</v>
      </c>
      <c r="J24" s="30">
        <v>2303</v>
      </c>
      <c r="K24" s="30">
        <v>2326</v>
      </c>
      <c r="L24" s="30">
        <v>2340</v>
      </c>
    </row>
    <row r="25" spans="2:19" x14ac:dyDescent="0.3">
      <c r="B25" t="s">
        <v>213</v>
      </c>
      <c r="C25">
        <v>29</v>
      </c>
      <c r="D25">
        <v>31</v>
      </c>
      <c r="E25">
        <v>31</v>
      </c>
      <c r="F25">
        <v>38</v>
      </c>
      <c r="G25">
        <v>69</v>
      </c>
      <c r="H25">
        <v>74</v>
      </c>
      <c r="I25">
        <v>71</v>
      </c>
      <c r="J25">
        <v>60</v>
      </c>
      <c r="K25">
        <v>62</v>
      </c>
      <c r="L25">
        <v>72</v>
      </c>
    </row>
    <row r="26" spans="2:19" x14ac:dyDescent="0.3">
      <c r="B26" t="s">
        <v>214</v>
      </c>
      <c r="C26" s="30">
        <v>3858</v>
      </c>
      <c r="D26" s="30">
        <v>3743</v>
      </c>
      <c r="E26" s="30">
        <v>2237</v>
      </c>
      <c r="F26" s="30">
        <v>3640</v>
      </c>
      <c r="G26" s="30">
        <v>5527</v>
      </c>
      <c r="H26" s="30">
        <v>6372</v>
      </c>
      <c r="I26" s="30">
        <v>6495</v>
      </c>
      <c r="J26" s="30">
        <v>7594</v>
      </c>
      <c r="K26" s="30">
        <v>7653</v>
      </c>
      <c r="L26" s="30">
        <v>10626</v>
      </c>
      <c r="O26" s="30"/>
    </row>
    <row r="27" spans="2:19" x14ac:dyDescent="0.3">
      <c r="B27" t="s">
        <v>215</v>
      </c>
      <c r="C27">
        <v>931</v>
      </c>
      <c r="D27">
        <v>899</v>
      </c>
      <c r="E27">
        <v>545</v>
      </c>
      <c r="F27" s="30">
        <v>1093</v>
      </c>
      <c r="G27" s="30">
        <v>2289</v>
      </c>
      <c r="H27" s="30">
        <v>2730</v>
      </c>
      <c r="I27" s="30">
        <v>2766</v>
      </c>
      <c r="J27" s="30">
        <v>3281</v>
      </c>
      <c r="K27" s="30">
        <v>3294</v>
      </c>
      <c r="L27" s="30">
        <v>5184</v>
      </c>
    </row>
    <row r="28" spans="2:19" x14ac:dyDescent="0.3">
      <c r="F28" s="30"/>
      <c r="G28" s="30"/>
      <c r="H28" s="30"/>
      <c r="I28" s="30"/>
      <c r="J28" s="30"/>
      <c r="K28" s="30"/>
      <c r="L28" s="30"/>
    </row>
    <row r="29" spans="2:19" x14ac:dyDescent="0.3">
      <c r="B29" t="s">
        <v>216</v>
      </c>
      <c r="C29" s="30">
        <v>21293</v>
      </c>
      <c r="D29" s="30">
        <v>23379</v>
      </c>
      <c r="E29" s="30">
        <v>22980</v>
      </c>
      <c r="F29" s="30">
        <v>28065</v>
      </c>
      <c r="G29" s="30">
        <v>38885</v>
      </c>
      <c r="H29" s="30">
        <v>43006</v>
      </c>
      <c r="I29" s="30">
        <v>45010</v>
      </c>
      <c r="J29" s="30">
        <v>48877</v>
      </c>
      <c r="K29" s="30">
        <v>49196</v>
      </c>
      <c r="L29" s="30">
        <v>54691</v>
      </c>
    </row>
    <row r="30" spans="2:19" x14ac:dyDescent="0.3">
      <c r="C30" s="30"/>
      <c r="D30" s="30"/>
      <c r="E30" s="30"/>
      <c r="F30" s="30"/>
      <c r="G30" s="30"/>
      <c r="H30" s="30"/>
      <c r="I30" s="30"/>
      <c r="J30" s="30"/>
      <c r="K30" s="30"/>
      <c r="L30" s="30"/>
    </row>
    <row r="31" spans="2:19" x14ac:dyDescent="0.3">
      <c r="B31" t="s">
        <v>217</v>
      </c>
      <c r="C31" s="30">
        <v>7907</v>
      </c>
      <c r="D31" s="30">
        <v>9200</v>
      </c>
      <c r="E31" s="30">
        <v>10406</v>
      </c>
      <c r="F31" s="30">
        <v>12355</v>
      </c>
      <c r="G31" s="30">
        <v>15096</v>
      </c>
      <c r="H31" s="30">
        <v>17501</v>
      </c>
      <c r="I31" s="30">
        <v>19210</v>
      </c>
      <c r="J31" s="30">
        <v>19652</v>
      </c>
      <c r="K31" s="30">
        <v>21574</v>
      </c>
      <c r="L31" s="30">
        <v>23730</v>
      </c>
    </row>
    <row r="32" spans="2:19" x14ac:dyDescent="0.3">
      <c r="C32" s="30"/>
      <c r="D32" s="30"/>
      <c r="E32" s="30"/>
      <c r="F32" s="30"/>
      <c r="G32" s="30"/>
      <c r="H32" s="30"/>
      <c r="I32" s="30"/>
      <c r="J32" s="30"/>
      <c r="K32" s="30"/>
      <c r="L32" s="30"/>
    </row>
    <row r="33" spans="2:15" x14ac:dyDescent="0.3">
      <c r="B33" t="s">
        <v>218</v>
      </c>
      <c r="C33">
        <v>960</v>
      </c>
      <c r="D33" s="30">
        <v>1365</v>
      </c>
      <c r="E33" s="30">
        <v>1606</v>
      </c>
      <c r="F33" s="30">
        <v>1388</v>
      </c>
      <c r="G33">
        <v>954</v>
      </c>
      <c r="H33">
        <v>922</v>
      </c>
      <c r="I33">
        <v>416</v>
      </c>
      <c r="J33">
        <v>288</v>
      </c>
      <c r="K33">
        <v>293</v>
      </c>
      <c r="L33">
        <v>814</v>
      </c>
      <c r="O33" s="30"/>
    </row>
    <row r="34" spans="2:15" x14ac:dyDescent="0.3">
      <c r="B34" t="s">
        <v>15</v>
      </c>
      <c r="C34" s="30">
        <v>1892</v>
      </c>
      <c r="D34" s="30">
        <v>16423</v>
      </c>
      <c r="E34" s="30">
        <v>12163</v>
      </c>
      <c r="F34" s="30">
        <v>11261</v>
      </c>
      <c r="G34" s="30">
        <v>8792</v>
      </c>
      <c r="H34" s="30">
        <v>14205</v>
      </c>
      <c r="I34" s="30">
        <v>20324</v>
      </c>
      <c r="J34" s="30">
        <v>19478</v>
      </c>
      <c r="K34" s="30">
        <v>24623</v>
      </c>
      <c r="L34" s="30">
        <v>23541</v>
      </c>
      <c r="O34" s="30"/>
    </row>
    <row r="35" spans="2:15" x14ac:dyDescent="0.3">
      <c r="C35" s="30"/>
      <c r="D35" s="30"/>
      <c r="E35" s="30"/>
      <c r="F35" s="30"/>
      <c r="G35" s="30"/>
      <c r="H35" s="30"/>
      <c r="I35" s="30"/>
      <c r="J35" s="30"/>
      <c r="K35" s="30"/>
      <c r="L35" s="30"/>
      <c r="O35" s="30"/>
    </row>
    <row r="36" spans="2:15" x14ac:dyDescent="0.3">
      <c r="B36" t="s">
        <v>227</v>
      </c>
      <c r="C36" s="30"/>
      <c r="D36" s="30"/>
      <c r="E36" s="30"/>
      <c r="F36" s="30"/>
      <c r="G36" s="30"/>
      <c r="H36" s="30"/>
      <c r="I36" s="30"/>
      <c r="J36" s="30"/>
      <c r="K36" s="30"/>
      <c r="L36" s="30"/>
      <c r="O36" s="30"/>
    </row>
    <row r="37" spans="2:15" x14ac:dyDescent="0.3">
      <c r="B37" t="s">
        <v>219</v>
      </c>
      <c r="C37" s="30">
        <v>11330</v>
      </c>
      <c r="D37" s="30">
        <v>12322</v>
      </c>
      <c r="E37" s="30">
        <v>13142</v>
      </c>
      <c r="F37" s="30">
        <v>14827</v>
      </c>
      <c r="G37" s="30">
        <v>18487</v>
      </c>
      <c r="H37" s="30">
        <v>19294</v>
      </c>
      <c r="I37" s="30">
        <v>22698</v>
      </c>
      <c r="J37" s="30">
        <v>25424</v>
      </c>
      <c r="K37" s="30">
        <v>30193</v>
      </c>
      <c r="L37" s="30">
        <v>31158</v>
      </c>
      <c r="O37" s="30"/>
    </row>
    <row r="38" spans="2:15" x14ac:dyDescent="0.3">
      <c r="B38" t="s">
        <v>220</v>
      </c>
      <c r="C38" s="30">
        <v>32697</v>
      </c>
      <c r="D38" s="30">
        <v>22625</v>
      </c>
      <c r="E38" s="30">
        <v>19818</v>
      </c>
      <c r="F38" s="30">
        <v>19568</v>
      </c>
      <c r="G38" s="30">
        <v>18649</v>
      </c>
      <c r="H38" s="30">
        <v>24714</v>
      </c>
      <c r="I38" s="30">
        <v>17472</v>
      </c>
      <c r="J38" s="30">
        <v>12173</v>
      </c>
      <c r="K38" s="30">
        <v>14786</v>
      </c>
      <c r="L38" s="30">
        <v>24455</v>
      </c>
      <c r="O38" s="30"/>
    </row>
    <row r="39" spans="2:15" x14ac:dyDescent="0.3">
      <c r="B39" t="s">
        <v>221</v>
      </c>
      <c r="C39">
        <v>614</v>
      </c>
      <c r="D39">
        <v>844</v>
      </c>
      <c r="E39">
        <v>830</v>
      </c>
      <c r="F39" s="30">
        <v>1524</v>
      </c>
      <c r="G39" s="30">
        <v>1359</v>
      </c>
      <c r="H39" s="30">
        <v>1460</v>
      </c>
      <c r="I39" s="30">
        <v>2491</v>
      </c>
      <c r="J39" s="30">
        <v>3242</v>
      </c>
      <c r="K39" s="30">
        <v>10330</v>
      </c>
      <c r="L39" s="30">
        <v>6717</v>
      </c>
      <c r="O39" s="30"/>
    </row>
    <row r="40" spans="2:15" x14ac:dyDescent="0.3">
      <c r="B40" t="s">
        <v>222</v>
      </c>
      <c r="C40" s="30">
        <v>14219</v>
      </c>
      <c r="D40" s="30">
        <v>15390</v>
      </c>
      <c r="E40" s="30">
        <v>19216</v>
      </c>
      <c r="F40" s="30">
        <v>19788</v>
      </c>
      <c r="G40" s="30">
        <v>19770</v>
      </c>
      <c r="H40" s="30" t="s">
        <v>412</v>
      </c>
      <c r="I40" s="30">
        <v>27528</v>
      </c>
      <c r="J40" s="30">
        <v>34766</v>
      </c>
      <c r="K40" s="30">
        <v>29513</v>
      </c>
      <c r="L40" s="30">
        <v>30149</v>
      </c>
      <c r="O40" s="30"/>
    </row>
    <row r="41" spans="2:15" x14ac:dyDescent="0.3">
      <c r="B41" s="98" t="s">
        <v>223</v>
      </c>
      <c r="C41" s="99">
        <v>75098</v>
      </c>
      <c r="D41" s="99">
        <v>83148</v>
      </c>
      <c r="E41" s="99">
        <v>79349</v>
      </c>
      <c r="F41" s="99">
        <v>84066</v>
      </c>
      <c r="G41" s="99">
        <v>91800</v>
      </c>
      <c r="H41" s="99">
        <v>107511</v>
      </c>
      <c r="I41" s="99">
        <v>116729</v>
      </c>
      <c r="J41" s="99">
        <v>124596</v>
      </c>
      <c r="K41" s="99">
        <v>137360</v>
      </c>
      <c r="L41" s="99">
        <v>147795</v>
      </c>
      <c r="O41" s="30"/>
    </row>
    <row r="43" spans="2:15" x14ac:dyDescent="0.3">
      <c r="E43">
        <f>10545-13386</f>
        <v>-2841</v>
      </c>
    </row>
  </sheetData>
  <pageMargins left="0.7" right="0.7" top="0.75" bottom="0.75" header="0.3" footer="0.3"/>
  <pageSetup scale="5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F833-0679-4831-AC80-5C259D4E7791}">
  <dimension ref="B2:O9"/>
  <sheetViews>
    <sheetView zoomScaleNormal="100" workbookViewId="0">
      <selection activeCell="J17" sqref="J17"/>
    </sheetView>
  </sheetViews>
  <sheetFormatPr defaultRowHeight="14.4" x14ac:dyDescent="0.3"/>
  <cols>
    <col min="2" max="2" width="5.44140625" bestFit="1" customWidth="1"/>
    <col min="3" max="3" width="16.109375" bestFit="1" customWidth="1"/>
    <col min="4" max="4" width="7.6640625" bestFit="1" customWidth="1"/>
    <col min="5" max="5" width="15.6640625" bestFit="1" customWidth="1"/>
    <col min="6" max="6" width="15.6640625" customWidth="1"/>
    <col min="7" max="7" width="10.109375" customWidth="1"/>
    <col min="8" max="8" width="13.6640625" bestFit="1" customWidth="1"/>
    <col min="9" max="10" width="13.6640625" customWidth="1"/>
    <col min="11" max="11" width="12.44140625" customWidth="1"/>
    <col min="12" max="12" width="12.88671875" customWidth="1"/>
    <col min="13" max="13" width="13.77734375" customWidth="1"/>
    <col min="14" max="14" width="17.77734375" customWidth="1"/>
    <col min="15" max="15" width="13.21875" bestFit="1" customWidth="1"/>
  </cols>
  <sheetData>
    <row r="2" spans="2:15" x14ac:dyDescent="0.3">
      <c r="B2" t="s">
        <v>288</v>
      </c>
      <c r="C2" t="s">
        <v>289</v>
      </c>
      <c r="D2" s="24" t="s">
        <v>290</v>
      </c>
      <c r="E2" s="24" t="s">
        <v>291</v>
      </c>
      <c r="F2" s="24" t="s">
        <v>299</v>
      </c>
      <c r="G2" t="s">
        <v>292</v>
      </c>
      <c r="H2" t="s">
        <v>293</v>
      </c>
      <c r="I2" s="24" t="s">
        <v>301</v>
      </c>
      <c r="J2" s="24" t="s">
        <v>300</v>
      </c>
      <c r="K2" s="24" t="s">
        <v>294</v>
      </c>
      <c r="L2" s="24" t="s">
        <v>295</v>
      </c>
      <c r="M2" s="24" t="s">
        <v>64</v>
      </c>
      <c r="N2" s="24" t="s">
        <v>296</v>
      </c>
    </row>
    <row r="3" spans="2:15" x14ac:dyDescent="0.3">
      <c r="B3">
        <v>1</v>
      </c>
      <c r="C3" t="s">
        <v>194</v>
      </c>
      <c r="D3" s="54">
        <v>2390.6</v>
      </c>
      <c r="E3" s="54">
        <v>361.81</v>
      </c>
      <c r="F3" s="54">
        <f>D3*E3</f>
        <v>864942.98599999992</v>
      </c>
      <c r="G3" s="54">
        <v>10932</v>
      </c>
      <c r="H3" s="54">
        <v>15463</v>
      </c>
      <c r="I3" s="54">
        <f>G3-H3</f>
        <v>-4531</v>
      </c>
      <c r="J3" s="54">
        <f>F3+G3-H3</f>
        <v>860411.98599999992</v>
      </c>
      <c r="K3" s="54">
        <v>260802</v>
      </c>
      <c r="L3">
        <v>11.52</v>
      </c>
      <c r="M3">
        <f>J3/L3</f>
        <v>74688.540451388879</v>
      </c>
      <c r="N3" s="54">
        <v>47963</v>
      </c>
      <c r="O3" s="54"/>
    </row>
    <row r="4" spans="2:15" x14ac:dyDescent="0.3">
      <c r="B4">
        <v>2</v>
      </c>
      <c r="C4" t="s">
        <v>195</v>
      </c>
      <c r="D4" s="54">
        <v>1255.9000000000001</v>
      </c>
      <c r="E4" s="54">
        <v>405.54</v>
      </c>
      <c r="F4" s="54">
        <f t="shared" ref="F4:F9" si="0">D4*E4</f>
        <v>509317.68600000005</v>
      </c>
      <c r="G4" s="54">
        <v>8796</v>
      </c>
      <c r="H4" s="54">
        <v>24455</v>
      </c>
      <c r="I4" s="54">
        <f t="shared" ref="I4:I9" si="1">G4-H4</f>
        <v>-15659</v>
      </c>
      <c r="J4" s="54">
        <f t="shared" ref="J4:J9" si="2">F4+G4-H4</f>
        <v>493658.68600000005</v>
      </c>
      <c r="K4" s="54">
        <v>173173</v>
      </c>
      <c r="L4">
        <v>10.99</v>
      </c>
      <c r="M4">
        <f t="shared" ref="M4:M9" si="3">J4/L4</f>
        <v>44918.897725204733</v>
      </c>
      <c r="N4" s="54">
        <v>28003</v>
      </c>
      <c r="O4" s="54"/>
    </row>
    <row r="5" spans="2:15" x14ac:dyDescent="0.3">
      <c r="B5">
        <v>3</v>
      </c>
      <c r="C5" t="s">
        <v>196</v>
      </c>
      <c r="D5" s="54">
        <v>1333.7</v>
      </c>
      <c r="E5" s="54">
        <v>271.37</v>
      </c>
      <c r="F5" s="54">
        <f t="shared" si="0"/>
        <v>361926.16899999999</v>
      </c>
      <c r="G5" s="54">
        <v>6780</v>
      </c>
      <c r="H5" s="54">
        <v>21289</v>
      </c>
      <c r="I5" s="54">
        <f t="shared" si="1"/>
        <v>-14509</v>
      </c>
      <c r="J5" s="54">
        <f t="shared" si="2"/>
        <v>347417.16899999999</v>
      </c>
      <c r="K5" s="54">
        <v>126409</v>
      </c>
      <c r="L5">
        <v>12.24</v>
      </c>
      <c r="M5">
        <f t="shared" si="3"/>
        <v>28383.755637254901</v>
      </c>
      <c r="N5" s="54">
        <v>16471</v>
      </c>
      <c r="O5" s="54"/>
    </row>
    <row r="6" spans="2:15" x14ac:dyDescent="0.3">
      <c r="B6">
        <v>4</v>
      </c>
      <c r="C6" t="s">
        <v>197</v>
      </c>
      <c r="D6" s="54">
        <v>190.9</v>
      </c>
      <c r="E6" s="54">
        <v>1048.8399999999999</v>
      </c>
      <c r="F6" s="54">
        <f t="shared" si="0"/>
        <v>200223.55599999998</v>
      </c>
      <c r="G6" s="54">
        <v>16163.7</v>
      </c>
      <c r="H6" s="54">
        <v>12197.4</v>
      </c>
      <c r="I6" s="54">
        <f t="shared" si="1"/>
        <v>3966.3000000000011</v>
      </c>
      <c r="J6" s="54">
        <f t="shared" si="2"/>
        <v>204189.856</v>
      </c>
      <c r="K6" s="54">
        <v>90891.9</v>
      </c>
      <c r="L6">
        <v>9.33</v>
      </c>
      <c r="M6">
        <f t="shared" si="3"/>
        <v>21885.300750267954</v>
      </c>
      <c r="N6" s="54">
        <v>13332</v>
      </c>
      <c r="O6" s="54"/>
    </row>
    <row r="7" spans="2:15" x14ac:dyDescent="0.3">
      <c r="B7">
        <v>5</v>
      </c>
      <c r="C7" t="s">
        <v>198</v>
      </c>
      <c r="D7" s="54">
        <v>1384.8</v>
      </c>
      <c r="E7" s="54">
        <v>97.98</v>
      </c>
      <c r="F7" s="54">
        <f t="shared" si="0"/>
        <v>135682.704</v>
      </c>
      <c r="G7" s="54">
        <v>1954.4</v>
      </c>
      <c r="H7" s="54">
        <v>4542.2</v>
      </c>
      <c r="I7" s="54">
        <f t="shared" si="1"/>
        <v>-2587.7999999999997</v>
      </c>
      <c r="J7" s="54">
        <f t="shared" si="2"/>
        <v>133094.90399999998</v>
      </c>
      <c r="K7" s="54">
        <v>55123.3</v>
      </c>
      <c r="L7">
        <v>15.3</v>
      </c>
      <c r="M7">
        <f t="shared" si="3"/>
        <v>8699.0133333333324</v>
      </c>
      <c r="N7" s="54">
        <v>4591</v>
      </c>
      <c r="O7" s="54"/>
    </row>
    <row r="8" spans="2:15" x14ac:dyDescent="0.3">
      <c r="B8">
        <v>6</v>
      </c>
      <c r="C8" t="s">
        <v>297</v>
      </c>
      <c r="D8" s="54">
        <v>4298.8</v>
      </c>
      <c r="E8" s="54">
        <v>29.65</v>
      </c>
      <c r="F8" s="54">
        <f t="shared" si="0"/>
        <v>127459.42</v>
      </c>
      <c r="G8" s="54">
        <v>2382.6</v>
      </c>
      <c r="H8" s="54">
        <v>3588.2</v>
      </c>
      <c r="I8" s="54">
        <f t="shared" si="1"/>
        <v>-1205.5999999999999</v>
      </c>
      <c r="J8" s="54">
        <f t="shared" si="2"/>
        <v>126253.82</v>
      </c>
      <c r="K8" s="54">
        <v>40787.599999999999</v>
      </c>
      <c r="L8">
        <v>15.19</v>
      </c>
      <c r="M8">
        <f t="shared" si="3"/>
        <v>8311.6405529953918</v>
      </c>
      <c r="N8" s="54">
        <v>4724</v>
      </c>
      <c r="O8" s="54"/>
    </row>
    <row r="9" spans="2:15" x14ac:dyDescent="0.3">
      <c r="B9">
        <v>7</v>
      </c>
      <c r="C9" t="s">
        <v>298</v>
      </c>
      <c r="D9" s="54">
        <v>4716.7</v>
      </c>
      <c r="E9" s="54">
        <v>15.78</v>
      </c>
      <c r="F9" s="54">
        <f t="shared" si="0"/>
        <v>74429.525999999998</v>
      </c>
      <c r="G9" s="54">
        <v>403.94</v>
      </c>
      <c r="H9" s="54">
        <v>1025.47</v>
      </c>
      <c r="I9" s="54">
        <f t="shared" si="1"/>
        <v>-621.53</v>
      </c>
      <c r="J9" s="54">
        <f t="shared" si="2"/>
        <v>73807.995999999999</v>
      </c>
      <c r="K9" s="54">
        <v>13934.63</v>
      </c>
      <c r="L9">
        <v>26.5</v>
      </c>
      <c r="M9">
        <f t="shared" si="3"/>
        <v>2785.2073962264149</v>
      </c>
      <c r="N9" s="54">
        <v>1731.62</v>
      </c>
      <c r="O9" s="54"/>
    </row>
  </sheetData>
  <pageMargins left="0.7" right="0.7" top="0.75" bottom="0.75" header="0.3" footer="0.3"/>
  <pageSetup scale="51"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19BA-134A-4CCC-8C8A-225C0059D568}">
  <sheetPr>
    <pageSetUpPr fitToPage="1"/>
  </sheetPr>
  <dimension ref="B2:F1241"/>
  <sheetViews>
    <sheetView zoomScaleNormal="100" workbookViewId="0">
      <selection activeCell="I1211" sqref="I1211"/>
    </sheetView>
  </sheetViews>
  <sheetFormatPr defaultRowHeight="14.4" x14ac:dyDescent="0.3"/>
  <cols>
    <col min="2" max="5" width="17.21875" customWidth="1"/>
    <col min="6" max="6" width="10" bestFit="1" customWidth="1"/>
  </cols>
  <sheetData>
    <row r="2" spans="2:6" x14ac:dyDescent="0.3">
      <c r="B2" s="24" t="s">
        <v>1128</v>
      </c>
      <c r="C2" s="24" t="s">
        <v>1127</v>
      </c>
      <c r="D2" s="24" t="s">
        <v>1126</v>
      </c>
      <c r="E2" s="24" t="s">
        <v>1165</v>
      </c>
    </row>
    <row r="3" spans="2:6" x14ac:dyDescent="0.3">
      <c r="B3" s="239">
        <v>46111</v>
      </c>
      <c r="C3" s="251">
        <v>1250.5999999999999</v>
      </c>
      <c r="D3" s="253" t="s">
        <v>1125</v>
      </c>
      <c r="E3">
        <f t="shared" ref="E3:E66" si="0">(VALUE(LEFT(D3,LEN(D3)-1)*1000000))/100000</f>
        <v>141.1</v>
      </c>
      <c r="F3">
        <v>100000</v>
      </c>
    </row>
    <row r="4" spans="2:6" x14ac:dyDescent="0.3">
      <c r="B4" s="239">
        <v>46108</v>
      </c>
      <c r="C4" s="251">
        <v>1269.7</v>
      </c>
      <c r="D4" s="253" t="s">
        <v>1124</v>
      </c>
      <c r="E4">
        <f t="shared" si="0"/>
        <v>130.9</v>
      </c>
      <c r="F4" s="240"/>
    </row>
    <row r="5" spans="2:6" x14ac:dyDescent="0.3">
      <c r="B5" s="239">
        <v>46106</v>
      </c>
      <c r="C5" s="251">
        <v>1279.0999999999999</v>
      </c>
      <c r="D5" s="253" t="s">
        <v>1123</v>
      </c>
      <c r="E5">
        <f t="shared" si="0"/>
        <v>108.2</v>
      </c>
      <c r="F5" s="240"/>
    </row>
    <row r="6" spans="2:6" x14ac:dyDescent="0.3">
      <c r="B6" s="239">
        <v>46105</v>
      </c>
      <c r="C6" s="251">
        <v>1278.3</v>
      </c>
      <c r="D6" s="253" t="s">
        <v>1122</v>
      </c>
      <c r="E6">
        <f t="shared" si="0"/>
        <v>136.1</v>
      </c>
      <c r="F6" s="240"/>
    </row>
    <row r="7" spans="2:6" x14ac:dyDescent="0.3">
      <c r="B7" s="239">
        <v>46104</v>
      </c>
      <c r="C7" s="251">
        <v>1256.8</v>
      </c>
      <c r="D7" s="253" t="s">
        <v>1121</v>
      </c>
      <c r="E7">
        <f t="shared" si="0"/>
        <v>124.2</v>
      </c>
      <c r="F7" s="240"/>
    </row>
    <row r="8" spans="2:6" x14ac:dyDescent="0.3">
      <c r="B8" s="239">
        <v>46101</v>
      </c>
      <c r="C8" s="251">
        <v>1255.9000000000001</v>
      </c>
      <c r="D8" s="253" t="s">
        <v>1120</v>
      </c>
      <c r="E8">
        <f t="shared" si="0"/>
        <v>273</v>
      </c>
      <c r="F8" s="240"/>
    </row>
    <row r="9" spans="2:6" x14ac:dyDescent="0.3">
      <c r="B9" s="239">
        <v>46100</v>
      </c>
      <c r="C9" s="251">
        <v>1220.8</v>
      </c>
      <c r="D9" s="252" t="s">
        <v>1119</v>
      </c>
      <c r="E9">
        <f t="shared" si="0"/>
        <v>91.6</v>
      </c>
      <c r="F9" s="240"/>
    </row>
    <row r="10" spans="2:6" x14ac:dyDescent="0.3">
      <c r="B10" s="239">
        <v>46099</v>
      </c>
      <c r="C10" s="251">
        <v>1267.0999999999999</v>
      </c>
      <c r="D10" s="252" t="s">
        <v>1118</v>
      </c>
      <c r="E10">
        <f t="shared" si="0"/>
        <v>123.7</v>
      </c>
      <c r="F10" s="240"/>
    </row>
    <row r="11" spans="2:6" x14ac:dyDescent="0.3">
      <c r="B11" s="239">
        <v>46098</v>
      </c>
      <c r="C11" s="251">
        <v>1232.9000000000001</v>
      </c>
      <c r="D11" s="252" t="s">
        <v>1117</v>
      </c>
      <c r="E11">
        <f t="shared" si="0"/>
        <v>112.2</v>
      </c>
      <c r="F11" s="240"/>
    </row>
    <row r="12" spans="2:6" x14ac:dyDescent="0.3">
      <c r="B12" s="239">
        <v>46097</v>
      </c>
      <c r="C12" s="251">
        <v>1249.8</v>
      </c>
      <c r="D12" s="252" t="s">
        <v>1116</v>
      </c>
      <c r="E12">
        <f t="shared" si="0"/>
        <v>123.1</v>
      </c>
      <c r="F12" s="240"/>
    </row>
    <row r="13" spans="2:6" x14ac:dyDescent="0.3">
      <c r="B13" s="239">
        <v>46094</v>
      </c>
      <c r="C13" s="251">
        <v>1248.3</v>
      </c>
      <c r="D13" s="252" t="s">
        <v>537</v>
      </c>
      <c r="E13">
        <f t="shared" si="0"/>
        <v>73.7</v>
      </c>
      <c r="F13" s="240"/>
    </row>
    <row r="14" spans="2:6" x14ac:dyDescent="0.3">
      <c r="B14" s="239">
        <v>46093</v>
      </c>
      <c r="C14" s="251">
        <v>1265.8</v>
      </c>
      <c r="D14" s="252" t="s">
        <v>503</v>
      </c>
      <c r="E14">
        <f t="shared" si="0"/>
        <v>76</v>
      </c>
      <c r="F14" s="240"/>
    </row>
    <row r="15" spans="2:6" x14ac:dyDescent="0.3">
      <c r="B15" s="239">
        <v>46092</v>
      </c>
      <c r="C15" s="251">
        <v>1276.3</v>
      </c>
      <c r="D15" s="252" t="s">
        <v>1115</v>
      </c>
      <c r="E15">
        <f t="shared" si="0"/>
        <v>78.7</v>
      </c>
      <c r="F15" s="240"/>
    </row>
    <row r="16" spans="2:6" x14ac:dyDescent="0.3">
      <c r="B16" s="239">
        <v>46091</v>
      </c>
      <c r="C16" s="251">
        <v>1295.5999999999999</v>
      </c>
      <c r="D16" s="252" t="s">
        <v>1114</v>
      </c>
      <c r="E16">
        <f t="shared" si="0"/>
        <v>96</v>
      </c>
      <c r="F16" s="240"/>
    </row>
    <row r="17" spans="2:6" x14ac:dyDescent="0.3">
      <c r="B17" s="239">
        <v>46090</v>
      </c>
      <c r="C17" s="251">
        <v>1315</v>
      </c>
      <c r="D17" s="252" t="s">
        <v>1004</v>
      </c>
      <c r="E17">
        <f t="shared" si="0"/>
        <v>100.7</v>
      </c>
      <c r="F17" s="240"/>
    </row>
    <row r="18" spans="2:6" x14ac:dyDescent="0.3">
      <c r="B18" s="239">
        <v>46087</v>
      </c>
      <c r="C18" s="251">
        <v>1308.4000000000001</v>
      </c>
      <c r="D18" s="252" t="s">
        <v>1113</v>
      </c>
      <c r="E18">
        <f t="shared" si="0"/>
        <v>87.2</v>
      </c>
      <c r="F18" s="240"/>
    </row>
    <row r="19" spans="2:6" x14ac:dyDescent="0.3">
      <c r="B19" s="239">
        <v>46086</v>
      </c>
      <c r="C19" s="251">
        <v>1305.8</v>
      </c>
      <c r="D19" s="252" t="s">
        <v>1112</v>
      </c>
      <c r="E19">
        <f t="shared" si="0"/>
        <v>103.6</v>
      </c>
      <c r="F19" s="240"/>
    </row>
    <row r="20" spans="2:6" x14ac:dyDescent="0.3">
      <c r="B20" s="239">
        <v>46085</v>
      </c>
      <c r="C20" s="251">
        <v>1307.4000000000001</v>
      </c>
      <c r="D20" s="252" t="s">
        <v>1111</v>
      </c>
      <c r="E20">
        <f t="shared" si="0"/>
        <v>151.5</v>
      </c>
      <c r="F20" s="240"/>
    </row>
    <row r="21" spans="2:6" x14ac:dyDescent="0.3">
      <c r="B21" s="239">
        <v>46083</v>
      </c>
      <c r="C21" s="251">
        <v>1288.9000000000001</v>
      </c>
      <c r="D21" s="252" t="s">
        <v>1110</v>
      </c>
      <c r="E21">
        <f t="shared" si="0"/>
        <v>97</v>
      </c>
      <c r="F21" s="240"/>
    </row>
    <row r="22" spans="2:6" x14ac:dyDescent="0.3">
      <c r="B22" s="239">
        <v>46080</v>
      </c>
      <c r="C22" s="251">
        <v>1300.0999999999999</v>
      </c>
      <c r="D22" s="252" t="s">
        <v>1109</v>
      </c>
      <c r="E22">
        <f t="shared" si="0"/>
        <v>231.4</v>
      </c>
      <c r="F22" s="240"/>
    </row>
    <row r="23" spans="2:6" x14ac:dyDescent="0.3">
      <c r="B23" s="239">
        <v>46079</v>
      </c>
      <c r="C23" s="251">
        <v>1289.0999999999999</v>
      </c>
      <c r="D23" s="252" t="s">
        <v>1108</v>
      </c>
      <c r="E23">
        <f t="shared" si="0"/>
        <v>114.9</v>
      </c>
      <c r="F23" s="240"/>
    </row>
    <row r="24" spans="2:6" x14ac:dyDescent="0.3">
      <c r="B24" s="239">
        <v>46078</v>
      </c>
      <c r="C24" s="251">
        <v>1290.0999999999999</v>
      </c>
      <c r="D24" s="252" t="s">
        <v>1107</v>
      </c>
      <c r="E24">
        <f t="shared" si="0"/>
        <v>166.70000000000002</v>
      </c>
      <c r="F24" s="240"/>
    </row>
    <row r="25" spans="2:6" x14ac:dyDescent="0.3">
      <c r="B25" s="239">
        <v>46077</v>
      </c>
      <c r="C25" s="251">
        <v>1275.5</v>
      </c>
      <c r="D25" s="252" t="s">
        <v>1106</v>
      </c>
      <c r="E25">
        <f t="shared" si="0"/>
        <v>278.39999999999998</v>
      </c>
      <c r="F25" s="240"/>
    </row>
    <row r="26" spans="2:6" x14ac:dyDescent="0.3">
      <c r="B26" s="239">
        <v>46076</v>
      </c>
      <c r="C26" s="251">
        <v>1327.5</v>
      </c>
      <c r="D26" s="252" t="s">
        <v>1105</v>
      </c>
      <c r="E26">
        <f t="shared" si="0"/>
        <v>128.9</v>
      </c>
      <c r="F26" s="240"/>
    </row>
    <row r="27" spans="2:6" x14ac:dyDescent="0.3">
      <c r="B27" s="239">
        <v>46073</v>
      </c>
      <c r="C27" s="251">
        <v>1353.2</v>
      </c>
      <c r="D27" s="252" t="s">
        <v>1104</v>
      </c>
      <c r="E27">
        <f t="shared" si="0"/>
        <v>126.3</v>
      </c>
      <c r="F27" s="240"/>
    </row>
    <row r="28" spans="2:6" x14ac:dyDescent="0.3">
      <c r="B28" s="239">
        <v>46072</v>
      </c>
      <c r="C28" s="251">
        <v>1370.5</v>
      </c>
      <c r="D28" s="252" t="s">
        <v>1103</v>
      </c>
      <c r="E28">
        <f t="shared" si="0"/>
        <v>145.69999999999999</v>
      </c>
    </row>
    <row r="29" spans="2:6" x14ac:dyDescent="0.3">
      <c r="B29" s="239">
        <v>46071</v>
      </c>
      <c r="C29" s="251">
        <v>1373.7</v>
      </c>
      <c r="D29" s="252" t="s">
        <v>1102</v>
      </c>
      <c r="E29">
        <f t="shared" si="0"/>
        <v>202.4</v>
      </c>
    </row>
    <row r="30" spans="2:6" x14ac:dyDescent="0.3">
      <c r="B30" s="239">
        <v>46070</v>
      </c>
      <c r="C30" s="251">
        <v>1391.2</v>
      </c>
      <c r="D30" s="252" t="s">
        <v>1101</v>
      </c>
      <c r="E30">
        <f t="shared" si="0"/>
        <v>253.5</v>
      </c>
    </row>
    <row r="31" spans="2:6" x14ac:dyDescent="0.3">
      <c r="B31" s="239">
        <v>46069</v>
      </c>
      <c r="C31" s="251">
        <v>1365.6</v>
      </c>
      <c r="D31" s="252" t="s">
        <v>1100</v>
      </c>
      <c r="E31">
        <f t="shared" si="0"/>
        <v>146.19999999999999</v>
      </c>
    </row>
    <row r="32" spans="2:6" x14ac:dyDescent="0.3">
      <c r="B32" s="239">
        <v>46066</v>
      </c>
      <c r="C32" s="251">
        <v>1369.1</v>
      </c>
      <c r="D32" s="252" t="s">
        <v>1099</v>
      </c>
      <c r="E32">
        <f t="shared" si="0"/>
        <v>457.9</v>
      </c>
    </row>
    <row r="33" spans="2:5" x14ac:dyDescent="0.3">
      <c r="B33" s="239">
        <v>46065</v>
      </c>
      <c r="C33" s="251">
        <v>1386</v>
      </c>
      <c r="D33" s="252" t="s">
        <v>1098</v>
      </c>
      <c r="E33">
        <f t="shared" si="0"/>
        <v>260.5</v>
      </c>
    </row>
    <row r="34" spans="2:5" x14ac:dyDescent="0.3">
      <c r="B34" s="239">
        <v>46064</v>
      </c>
      <c r="C34" s="251">
        <v>1471.9</v>
      </c>
      <c r="D34" s="252" t="s">
        <v>930</v>
      </c>
      <c r="E34">
        <f t="shared" si="0"/>
        <v>79.3</v>
      </c>
    </row>
    <row r="35" spans="2:5" x14ac:dyDescent="0.3">
      <c r="B35" s="239">
        <v>46063</v>
      </c>
      <c r="C35" s="251">
        <v>1497.8</v>
      </c>
      <c r="D35" s="252" t="s">
        <v>835</v>
      </c>
      <c r="E35">
        <f t="shared" si="0"/>
        <v>86.6</v>
      </c>
    </row>
    <row r="36" spans="2:5" x14ac:dyDescent="0.3">
      <c r="B36" s="239">
        <v>46062</v>
      </c>
      <c r="C36" s="251">
        <v>1497.2</v>
      </c>
      <c r="D36" s="252" t="s">
        <v>797</v>
      </c>
      <c r="E36">
        <f t="shared" si="0"/>
        <v>82.899999999999991</v>
      </c>
    </row>
    <row r="37" spans="2:5" x14ac:dyDescent="0.3">
      <c r="B37" s="239">
        <v>46059</v>
      </c>
      <c r="C37" s="251">
        <v>1507.1</v>
      </c>
      <c r="D37" s="252" t="s">
        <v>1097</v>
      </c>
      <c r="E37">
        <f t="shared" si="0"/>
        <v>139</v>
      </c>
    </row>
    <row r="38" spans="2:5" x14ac:dyDescent="0.3">
      <c r="B38" s="239">
        <v>46058</v>
      </c>
      <c r="C38" s="251">
        <v>1520.2</v>
      </c>
      <c r="D38" s="252" t="s">
        <v>1096</v>
      </c>
      <c r="E38">
        <f t="shared" si="0"/>
        <v>106.3</v>
      </c>
    </row>
    <row r="39" spans="2:5" x14ac:dyDescent="0.3">
      <c r="B39" s="239">
        <v>46057</v>
      </c>
      <c r="C39" s="251">
        <v>1535.8</v>
      </c>
      <c r="D39" s="252" t="s">
        <v>1095</v>
      </c>
      <c r="E39">
        <f t="shared" si="0"/>
        <v>288.3</v>
      </c>
    </row>
    <row r="40" spans="2:5" x14ac:dyDescent="0.3">
      <c r="B40" s="239">
        <v>46056</v>
      </c>
      <c r="C40" s="251">
        <v>1656</v>
      </c>
      <c r="D40" s="252" t="s">
        <v>778</v>
      </c>
      <c r="E40">
        <f t="shared" si="0"/>
        <v>88.1</v>
      </c>
    </row>
    <row r="41" spans="2:5" x14ac:dyDescent="0.3">
      <c r="B41" s="239">
        <v>46055</v>
      </c>
      <c r="C41" s="251">
        <v>1629.4</v>
      </c>
      <c r="D41" s="252" t="s">
        <v>836</v>
      </c>
      <c r="E41">
        <f t="shared" si="0"/>
        <v>67.8</v>
      </c>
    </row>
    <row r="42" spans="2:5" x14ac:dyDescent="0.3">
      <c r="B42" s="239">
        <v>46054</v>
      </c>
      <c r="C42" s="251">
        <v>1654.5</v>
      </c>
      <c r="D42" s="252" t="s">
        <v>735</v>
      </c>
      <c r="E42">
        <f t="shared" si="0"/>
        <v>62.4</v>
      </c>
    </row>
    <row r="43" spans="2:5" x14ac:dyDescent="0.3">
      <c r="B43" s="239">
        <v>46052</v>
      </c>
      <c r="C43" s="251">
        <v>1641</v>
      </c>
      <c r="D43" s="252" t="s">
        <v>877</v>
      </c>
      <c r="E43">
        <f t="shared" si="0"/>
        <v>92.1</v>
      </c>
    </row>
    <row r="44" spans="2:5" x14ac:dyDescent="0.3">
      <c r="B44" s="239">
        <v>46051</v>
      </c>
      <c r="C44" s="251">
        <v>1659.5</v>
      </c>
      <c r="D44" s="252" t="s">
        <v>1094</v>
      </c>
      <c r="E44">
        <f t="shared" si="0"/>
        <v>47.5</v>
      </c>
    </row>
    <row r="45" spans="2:5" x14ac:dyDescent="0.3">
      <c r="B45" s="239">
        <v>46050</v>
      </c>
      <c r="C45" s="251">
        <v>1666.5</v>
      </c>
      <c r="D45" s="252" t="s">
        <v>1031</v>
      </c>
      <c r="E45">
        <f t="shared" si="0"/>
        <v>85.9</v>
      </c>
    </row>
    <row r="46" spans="2:5" x14ac:dyDescent="0.3">
      <c r="B46" s="239">
        <v>46049</v>
      </c>
      <c r="C46" s="251">
        <v>1682.7</v>
      </c>
      <c r="D46" s="252" t="s">
        <v>1093</v>
      </c>
      <c r="E46">
        <f t="shared" si="0"/>
        <v>106.7</v>
      </c>
    </row>
    <row r="47" spans="2:5" x14ac:dyDescent="0.3">
      <c r="B47" s="239">
        <v>46045</v>
      </c>
      <c r="C47" s="251">
        <v>1670.8</v>
      </c>
      <c r="D47" s="252" t="s">
        <v>538</v>
      </c>
      <c r="E47">
        <f t="shared" si="0"/>
        <v>58.7</v>
      </c>
    </row>
    <row r="48" spans="2:5" x14ac:dyDescent="0.3">
      <c r="B48" s="239">
        <v>46044</v>
      </c>
      <c r="C48" s="251">
        <v>1663.5</v>
      </c>
      <c r="D48" s="252" t="s">
        <v>491</v>
      </c>
      <c r="E48">
        <f t="shared" si="0"/>
        <v>62.3</v>
      </c>
    </row>
    <row r="49" spans="2:5" x14ac:dyDescent="0.3">
      <c r="B49" s="239">
        <v>46043</v>
      </c>
      <c r="C49" s="251">
        <v>1654.4</v>
      </c>
      <c r="D49" s="252" t="s">
        <v>634</v>
      </c>
      <c r="E49">
        <f t="shared" si="0"/>
        <v>62.2</v>
      </c>
    </row>
    <row r="50" spans="2:5" x14ac:dyDescent="0.3">
      <c r="B50" s="239">
        <v>46042</v>
      </c>
      <c r="C50" s="251">
        <v>1658.9</v>
      </c>
      <c r="D50" s="252" t="s">
        <v>1092</v>
      </c>
      <c r="E50">
        <f t="shared" si="0"/>
        <v>64.099999999999994</v>
      </c>
    </row>
    <row r="51" spans="2:5" x14ac:dyDescent="0.3">
      <c r="B51" s="239">
        <v>46041</v>
      </c>
      <c r="C51" s="251">
        <v>1681.2</v>
      </c>
      <c r="D51" s="252" t="s">
        <v>769</v>
      </c>
      <c r="E51">
        <f t="shared" si="0"/>
        <v>51</v>
      </c>
    </row>
    <row r="52" spans="2:5" x14ac:dyDescent="0.3">
      <c r="B52" s="239">
        <v>46038</v>
      </c>
      <c r="C52" s="251">
        <v>1689.8</v>
      </c>
      <c r="D52" s="252" t="s">
        <v>1091</v>
      </c>
      <c r="E52">
        <f t="shared" si="0"/>
        <v>193.4</v>
      </c>
    </row>
    <row r="53" spans="2:5" x14ac:dyDescent="0.3">
      <c r="B53" s="239">
        <v>46036</v>
      </c>
      <c r="C53" s="251">
        <v>1599.8</v>
      </c>
      <c r="D53" s="252" t="s">
        <v>772</v>
      </c>
      <c r="E53">
        <f t="shared" si="0"/>
        <v>75.599999999999994</v>
      </c>
    </row>
    <row r="54" spans="2:5" x14ac:dyDescent="0.3">
      <c r="B54" s="239">
        <v>46035</v>
      </c>
      <c r="C54" s="251">
        <v>1599</v>
      </c>
      <c r="D54" s="252" t="s">
        <v>689</v>
      </c>
      <c r="E54">
        <f t="shared" si="0"/>
        <v>80.8</v>
      </c>
    </row>
    <row r="55" spans="2:5" x14ac:dyDescent="0.3">
      <c r="B55" s="239">
        <v>46034</v>
      </c>
      <c r="C55" s="251">
        <v>1595.9</v>
      </c>
      <c r="D55" s="252" t="s">
        <v>650</v>
      </c>
      <c r="E55">
        <f t="shared" si="0"/>
        <v>69.900000000000006</v>
      </c>
    </row>
    <row r="56" spans="2:5" x14ac:dyDescent="0.3">
      <c r="B56" s="239">
        <v>46031</v>
      </c>
      <c r="C56" s="251">
        <v>1614.1</v>
      </c>
      <c r="D56" s="252" t="s">
        <v>1090</v>
      </c>
      <c r="E56">
        <f t="shared" si="0"/>
        <v>68.2</v>
      </c>
    </row>
    <row r="57" spans="2:5" x14ac:dyDescent="0.3">
      <c r="B57" s="239">
        <v>46030</v>
      </c>
      <c r="C57" s="251">
        <v>1613.3</v>
      </c>
      <c r="D57" s="252" t="s">
        <v>434</v>
      </c>
      <c r="E57">
        <f t="shared" si="0"/>
        <v>39.4</v>
      </c>
    </row>
    <row r="58" spans="2:5" x14ac:dyDescent="0.3">
      <c r="B58" s="239">
        <v>46029</v>
      </c>
      <c r="C58" s="251">
        <v>1639</v>
      </c>
      <c r="D58" s="252" t="s">
        <v>658</v>
      </c>
      <c r="E58">
        <f t="shared" si="0"/>
        <v>45.1</v>
      </c>
    </row>
    <row r="59" spans="2:5" x14ac:dyDescent="0.3">
      <c r="B59" s="239">
        <v>46028</v>
      </c>
      <c r="C59" s="251">
        <v>1612.2</v>
      </c>
      <c r="D59" s="252" t="s">
        <v>1089</v>
      </c>
      <c r="E59">
        <f t="shared" si="0"/>
        <v>44.7</v>
      </c>
    </row>
    <row r="60" spans="2:5" x14ac:dyDescent="0.3">
      <c r="B60" s="239">
        <v>46027</v>
      </c>
      <c r="C60" s="251">
        <v>1606.4</v>
      </c>
      <c r="D60" s="252" t="s">
        <v>748</v>
      </c>
      <c r="E60">
        <f t="shared" si="0"/>
        <v>59.2</v>
      </c>
    </row>
    <row r="61" spans="2:5" x14ac:dyDescent="0.3">
      <c r="B61" s="239">
        <v>46024</v>
      </c>
      <c r="C61" s="251">
        <v>1640.4</v>
      </c>
      <c r="D61" s="252" t="s">
        <v>1088</v>
      </c>
      <c r="E61">
        <f t="shared" si="0"/>
        <v>25.2</v>
      </c>
    </row>
    <row r="62" spans="2:5" x14ac:dyDescent="0.3">
      <c r="B62" s="239">
        <v>46023</v>
      </c>
      <c r="C62" s="251">
        <v>1629.8</v>
      </c>
      <c r="D62" s="252" t="s">
        <v>764</v>
      </c>
      <c r="E62">
        <f t="shared" si="0"/>
        <v>36.6</v>
      </c>
    </row>
    <row r="63" spans="2:5" x14ac:dyDescent="0.3">
      <c r="B63" s="239">
        <v>46022</v>
      </c>
      <c r="C63" s="251">
        <v>1615.4</v>
      </c>
      <c r="D63" s="252" t="s">
        <v>1087</v>
      </c>
      <c r="E63">
        <f t="shared" si="0"/>
        <v>65.400000000000006</v>
      </c>
    </row>
    <row r="64" spans="2:5" x14ac:dyDescent="0.3">
      <c r="B64" s="239">
        <v>46021</v>
      </c>
      <c r="C64" s="251">
        <v>1621.6</v>
      </c>
      <c r="D64" s="252" t="s">
        <v>648</v>
      </c>
      <c r="E64">
        <f t="shared" si="0"/>
        <v>94</v>
      </c>
    </row>
    <row r="65" spans="2:5" x14ac:dyDescent="0.3">
      <c r="B65" s="239">
        <v>46020</v>
      </c>
      <c r="C65" s="251">
        <v>1644.7</v>
      </c>
      <c r="D65" s="252" t="s">
        <v>474</v>
      </c>
      <c r="E65">
        <f t="shared" si="0"/>
        <v>40.599999999999994</v>
      </c>
    </row>
    <row r="66" spans="2:5" x14ac:dyDescent="0.3">
      <c r="B66" s="239">
        <v>46017</v>
      </c>
      <c r="C66" s="251">
        <v>1656.1</v>
      </c>
      <c r="D66" s="252" t="s">
        <v>1086</v>
      </c>
      <c r="E66">
        <f t="shared" si="0"/>
        <v>20.099999999999998</v>
      </c>
    </row>
    <row r="67" spans="2:5" x14ac:dyDescent="0.3">
      <c r="B67" s="239">
        <v>46015</v>
      </c>
      <c r="C67" s="251">
        <v>1663.4</v>
      </c>
      <c r="D67" s="252" t="s">
        <v>527</v>
      </c>
      <c r="E67">
        <f t="shared" ref="E67:E130" si="1">(VALUE(LEFT(D67,LEN(D67)-1)*1000000))/100000</f>
        <v>42.7</v>
      </c>
    </row>
    <row r="68" spans="2:5" x14ac:dyDescent="0.3">
      <c r="B68" s="239">
        <v>46014</v>
      </c>
      <c r="C68" s="251">
        <v>1668.3</v>
      </c>
      <c r="D68" s="252" t="s">
        <v>638</v>
      </c>
      <c r="E68">
        <f t="shared" si="1"/>
        <v>65.900000000000006</v>
      </c>
    </row>
    <row r="69" spans="2:5" x14ac:dyDescent="0.3">
      <c r="B69" s="239">
        <v>46013</v>
      </c>
      <c r="C69" s="251">
        <v>1689.6</v>
      </c>
      <c r="D69" s="252" t="s">
        <v>1085</v>
      </c>
      <c r="E69">
        <f t="shared" si="1"/>
        <v>231</v>
      </c>
    </row>
    <row r="70" spans="2:5" x14ac:dyDescent="0.3">
      <c r="B70" s="239">
        <v>46010</v>
      </c>
      <c r="C70" s="251">
        <v>1638.7</v>
      </c>
      <c r="D70" s="252" t="s">
        <v>1028</v>
      </c>
      <c r="E70">
        <f t="shared" si="1"/>
        <v>131.5</v>
      </c>
    </row>
    <row r="71" spans="2:5" x14ac:dyDescent="0.3">
      <c r="B71" s="239">
        <v>46009</v>
      </c>
      <c r="C71" s="251">
        <v>1626.8</v>
      </c>
      <c r="D71" s="252" t="s">
        <v>900</v>
      </c>
      <c r="E71">
        <f t="shared" si="1"/>
        <v>65.8</v>
      </c>
    </row>
    <row r="72" spans="2:5" x14ac:dyDescent="0.3">
      <c r="B72" s="239">
        <v>46008</v>
      </c>
      <c r="C72" s="251">
        <v>1602</v>
      </c>
      <c r="D72" s="252" t="s">
        <v>440</v>
      </c>
      <c r="E72">
        <f t="shared" si="1"/>
        <v>48.2</v>
      </c>
    </row>
    <row r="73" spans="2:5" x14ac:dyDescent="0.3">
      <c r="B73" s="239">
        <v>46007</v>
      </c>
      <c r="C73" s="251">
        <v>1592.9</v>
      </c>
      <c r="D73" s="252" t="s">
        <v>833</v>
      </c>
      <c r="E73">
        <f t="shared" si="1"/>
        <v>55</v>
      </c>
    </row>
    <row r="74" spans="2:5" x14ac:dyDescent="0.3">
      <c r="B74" s="239">
        <v>46006</v>
      </c>
      <c r="C74" s="251">
        <v>1606.8</v>
      </c>
      <c r="D74" s="252" t="s">
        <v>455</v>
      </c>
      <c r="E74">
        <f t="shared" si="1"/>
        <v>41.900000000000006</v>
      </c>
    </row>
    <row r="75" spans="2:5" x14ac:dyDescent="0.3">
      <c r="B75" s="239">
        <v>46003</v>
      </c>
      <c r="C75" s="251">
        <v>1598.2</v>
      </c>
      <c r="D75" s="252" t="s">
        <v>847</v>
      </c>
      <c r="E75">
        <f t="shared" si="1"/>
        <v>46.3</v>
      </c>
    </row>
    <row r="76" spans="2:5" x14ac:dyDescent="0.3">
      <c r="B76" s="239">
        <v>46002</v>
      </c>
      <c r="C76" s="251">
        <v>1598</v>
      </c>
      <c r="D76" s="252" t="s">
        <v>888</v>
      </c>
      <c r="E76">
        <f t="shared" si="1"/>
        <v>51.6</v>
      </c>
    </row>
    <row r="77" spans="2:5" x14ac:dyDescent="0.3">
      <c r="B77" s="239">
        <v>46001</v>
      </c>
      <c r="C77" s="251">
        <v>1584.8</v>
      </c>
      <c r="D77" s="252" t="s">
        <v>454</v>
      </c>
      <c r="E77">
        <f t="shared" si="1"/>
        <v>51.2</v>
      </c>
    </row>
    <row r="78" spans="2:5" x14ac:dyDescent="0.3">
      <c r="B78" s="239">
        <v>46000</v>
      </c>
      <c r="C78" s="251">
        <v>1599</v>
      </c>
      <c r="D78" s="252" t="s">
        <v>751</v>
      </c>
      <c r="E78">
        <f t="shared" si="1"/>
        <v>69.599999999999994</v>
      </c>
    </row>
    <row r="79" spans="2:5" x14ac:dyDescent="0.3">
      <c r="B79" s="239">
        <v>45999</v>
      </c>
      <c r="C79" s="251">
        <v>1610.8</v>
      </c>
      <c r="D79" s="252" t="s">
        <v>598</v>
      </c>
      <c r="E79">
        <f t="shared" si="1"/>
        <v>75.5</v>
      </c>
    </row>
    <row r="80" spans="2:5" x14ac:dyDescent="0.3">
      <c r="B80" s="239">
        <v>45996</v>
      </c>
      <c r="C80" s="251">
        <v>1616.2</v>
      </c>
      <c r="D80" s="252" t="s">
        <v>1084</v>
      </c>
      <c r="E80">
        <f t="shared" si="1"/>
        <v>103.4</v>
      </c>
    </row>
    <row r="81" spans="2:5" x14ac:dyDescent="0.3">
      <c r="B81" s="239">
        <v>45995</v>
      </c>
      <c r="C81" s="251">
        <v>1597.6</v>
      </c>
      <c r="D81" s="252" t="s">
        <v>1083</v>
      </c>
      <c r="E81">
        <f t="shared" si="1"/>
        <v>126.1</v>
      </c>
    </row>
    <row r="82" spans="2:5" x14ac:dyDescent="0.3">
      <c r="B82" s="239">
        <v>45994</v>
      </c>
      <c r="C82" s="251">
        <v>1578.7</v>
      </c>
      <c r="D82" s="252" t="s">
        <v>1053</v>
      </c>
      <c r="E82">
        <f t="shared" si="1"/>
        <v>129</v>
      </c>
    </row>
    <row r="83" spans="2:5" x14ac:dyDescent="0.3">
      <c r="B83" s="239">
        <v>45993</v>
      </c>
      <c r="C83" s="251">
        <v>1561</v>
      </c>
      <c r="D83" s="252" t="s">
        <v>1082</v>
      </c>
      <c r="E83">
        <f t="shared" si="1"/>
        <v>63.4</v>
      </c>
    </row>
    <row r="84" spans="2:5" x14ac:dyDescent="0.3">
      <c r="B84" s="239">
        <v>45992</v>
      </c>
      <c r="C84" s="251">
        <v>1564</v>
      </c>
      <c r="D84" s="252" t="s">
        <v>511</v>
      </c>
      <c r="E84">
        <f t="shared" si="1"/>
        <v>53.4</v>
      </c>
    </row>
    <row r="85" spans="2:5" x14ac:dyDescent="0.3">
      <c r="B85" s="239">
        <v>45989</v>
      </c>
      <c r="C85" s="251">
        <v>1560.1</v>
      </c>
      <c r="D85" s="252" t="s">
        <v>807</v>
      </c>
      <c r="E85">
        <f t="shared" si="1"/>
        <v>44.5</v>
      </c>
    </row>
    <row r="86" spans="2:5" x14ac:dyDescent="0.3">
      <c r="B86" s="239">
        <v>45988</v>
      </c>
      <c r="C86" s="251">
        <v>1566.4</v>
      </c>
      <c r="D86" s="252" t="s">
        <v>598</v>
      </c>
      <c r="E86">
        <f t="shared" si="1"/>
        <v>75.5</v>
      </c>
    </row>
    <row r="87" spans="2:5" x14ac:dyDescent="0.3">
      <c r="B87" s="239">
        <v>45987</v>
      </c>
      <c r="C87" s="251">
        <v>1557.9</v>
      </c>
      <c r="D87" s="252" t="s">
        <v>1081</v>
      </c>
      <c r="E87">
        <f t="shared" si="1"/>
        <v>75.8</v>
      </c>
    </row>
    <row r="88" spans="2:5" x14ac:dyDescent="0.3">
      <c r="B88" s="239">
        <v>45986</v>
      </c>
      <c r="C88" s="251">
        <v>1530.6</v>
      </c>
      <c r="D88" s="252" t="s">
        <v>1080</v>
      </c>
      <c r="E88">
        <f t="shared" si="1"/>
        <v>81.099999999999994</v>
      </c>
    </row>
    <row r="89" spans="2:5" x14ac:dyDescent="0.3">
      <c r="B89" s="239">
        <v>45985</v>
      </c>
      <c r="C89" s="251">
        <v>1548</v>
      </c>
      <c r="D89" s="252" t="s">
        <v>1079</v>
      </c>
      <c r="E89">
        <f t="shared" si="1"/>
        <v>192.7</v>
      </c>
    </row>
    <row r="90" spans="2:5" x14ac:dyDescent="0.3">
      <c r="B90" s="239">
        <v>45982</v>
      </c>
      <c r="C90" s="251">
        <v>1545</v>
      </c>
      <c r="D90" s="252" t="s">
        <v>822</v>
      </c>
      <c r="E90">
        <f t="shared" si="1"/>
        <v>91.9</v>
      </c>
    </row>
    <row r="91" spans="2:5" x14ac:dyDescent="0.3">
      <c r="B91" s="239">
        <v>45981</v>
      </c>
      <c r="C91" s="251">
        <v>1536.5</v>
      </c>
      <c r="D91" s="252" t="s">
        <v>1002</v>
      </c>
      <c r="E91">
        <f t="shared" si="1"/>
        <v>73.900000000000006</v>
      </c>
    </row>
    <row r="92" spans="2:5" x14ac:dyDescent="0.3">
      <c r="B92" s="239">
        <v>45980</v>
      </c>
      <c r="C92" s="251">
        <v>1541.1</v>
      </c>
      <c r="D92" s="252" t="s">
        <v>608</v>
      </c>
      <c r="E92">
        <f t="shared" si="1"/>
        <v>109.8</v>
      </c>
    </row>
    <row r="93" spans="2:5" x14ac:dyDescent="0.3">
      <c r="B93" s="239">
        <v>45979</v>
      </c>
      <c r="C93" s="251">
        <v>1486.4</v>
      </c>
      <c r="D93" s="252" t="s">
        <v>986</v>
      </c>
      <c r="E93">
        <f t="shared" si="1"/>
        <v>75.3</v>
      </c>
    </row>
    <row r="94" spans="2:5" x14ac:dyDescent="0.3">
      <c r="B94" s="239">
        <v>45978</v>
      </c>
      <c r="C94" s="251">
        <v>1507.6</v>
      </c>
      <c r="D94" s="252" t="s">
        <v>1078</v>
      </c>
      <c r="E94">
        <f t="shared" si="1"/>
        <v>79.099999999999994</v>
      </c>
    </row>
    <row r="95" spans="2:5" x14ac:dyDescent="0.3">
      <c r="B95" s="239">
        <v>45975</v>
      </c>
      <c r="C95" s="251">
        <v>1502.8</v>
      </c>
      <c r="D95" s="252" t="s">
        <v>603</v>
      </c>
      <c r="E95">
        <f t="shared" si="1"/>
        <v>97.4</v>
      </c>
    </row>
    <row r="96" spans="2:5" x14ac:dyDescent="0.3">
      <c r="B96" s="239">
        <v>45974</v>
      </c>
      <c r="C96" s="251">
        <v>1541.8</v>
      </c>
      <c r="D96" s="252" t="s">
        <v>533</v>
      </c>
      <c r="E96">
        <f t="shared" si="1"/>
        <v>196.6</v>
      </c>
    </row>
    <row r="97" spans="2:5" x14ac:dyDescent="0.3">
      <c r="B97" s="239">
        <v>45973</v>
      </c>
      <c r="C97" s="251">
        <v>1551.7</v>
      </c>
      <c r="D97" s="252" t="s">
        <v>1077</v>
      </c>
      <c r="E97">
        <f t="shared" si="1"/>
        <v>146.4</v>
      </c>
    </row>
    <row r="98" spans="2:5" x14ac:dyDescent="0.3">
      <c r="B98" s="239">
        <v>45972</v>
      </c>
      <c r="C98" s="251">
        <v>1530.3</v>
      </c>
      <c r="D98" s="252" t="s">
        <v>818</v>
      </c>
      <c r="E98">
        <f t="shared" si="1"/>
        <v>136.9</v>
      </c>
    </row>
    <row r="99" spans="2:5" x14ac:dyDescent="0.3">
      <c r="B99" s="239">
        <v>45971</v>
      </c>
      <c r="C99" s="251">
        <v>1513.5</v>
      </c>
      <c r="D99" s="252" t="s">
        <v>830</v>
      </c>
      <c r="E99">
        <f t="shared" si="1"/>
        <v>97.9</v>
      </c>
    </row>
    <row r="100" spans="2:5" x14ac:dyDescent="0.3">
      <c r="B100" s="239">
        <v>45968</v>
      </c>
      <c r="C100" s="251">
        <v>1476.8</v>
      </c>
      <c r="D100" s="252" t="s">
        <v>1076</v>
      </c>
      <c r="E100">
        <f t="shared" si="1"/>
        <v>87.7</v>
      </c>
    </row>
    <row r="101" spans="2:5" x14ac:dyDescent="0.3">
      <c r="B101" s="239">
        <v>45967</v>
      </c>
      <c r="C101" s="251">
        <v>1466.7</v>
      </c>
      <c r="D101" s="252" t="s">
        <v>1038</v>
      </c>
      <c r="E101">
        <f t="shared" si="1"/>
        <v>79.400000000000006</v>
      </c>
    </row>
    <row r="102" spans="2:5" x14ac:dyDescent="0.3">
      <c r="B102" s="239">
        <v>45965</v>
      </c>
      <c r="C102" s="251">
        <v>1467.9</v>
      </c>
      <c r="D102" s="252" t="s">
        <v>789</v>
      </c>
      <c r="E102">
        <f t="shared" si="1"/>
        <v>86.9</v>
      </c>
    </row>
    <row r="103" spans="2:5" x14ac:dyDescent="0.3">
      <c r="B103" s="239">
        <v>45964</v>
      </c>
      <c r="C103" s="251">
        <v>1485.5</v>
      </c>
      <c r="D103" s="252" t="s">
        <v>620</v>
      </c>
      <c r="E103">
        <f t="shared" si="1"/>
        <v>54.7</v>
      </c>
    </row>
    <row r="104" spans="2:5" x14ac:dyDescent="0.3">
      <c r="B104" s="239">
        <v>45961</v>
      </c>
      <c r="C104" s="251">
        <v>1482.3</v>
      </c>
      <c r="D104" s="252" t="s">
        <v>440</v>
      </c>
      <c r="E104">
        <f t="shared" si="1"/>
        <v>48.2</v>
      </c>
    </row>
    <row r="105" spans="2:5" x14ac:dyDescent="0.3">
      <c r="B105" s="239">
        <v>45960</v>
      </c>
      <c r="C105" s="251">
        <v>1493.8</v>
      </c>
      <c r="D105" s="252" t="s">
        <v>498</v>
      </c>
      <c r="E105">
        <f t="shared" si="1"/>
        <v>56.1</v>
      </c>
    </row>
    <row r="106" spans="2:5" x14ac:dyDescent="0.3">
      <c r="B106" s="239">
        <v>45959</v>
      </c>
      <c r="C106" s="251">
        <v>1510.4</v>
      </c>
      <c r="D106" s="252" t="s">
        <v>429</v>
      </c>
      <c r="E106">
        <f t="shared" si="1"/>
        <v>48.8</v>
      </c>
    </row>
    <row r="107" spans="2:5" x14ac:dyDescent="0.3">
      <c r="B107" s="239">
        <v>45958</v>
      </c>
      <c r="C107" s="251">
        <v>1500.2</v>
      </c>
      <c r="D107" s="252" t="s">
        <v>1075</v>
      </c>
      <c r="E107">
        <f t="shared" si="1"/>
        <v>82.100000000000009</v>
      </c>
    </row>
    <row r="108" spans="2:5" x14ac:dyDescent="0.3">
      <c r="B108" s="239">
        <v>45957</v>
      </c>
      <c r="C108" s="251">
        <v>1504.5</v>
      </c>
      <c r="D108" s="252" t="s">
        <v>673</v>
      </c>
      <c r="E108">
        <f t="shared" si="1"/>
        <v>72.7</v>
      </c>
    </row>
    <row r="109" spans="2:5" x14ac:dyDescent="0.3">
      <c r="B109" s="239">
        <v>45954</v>
      </c>
      <c r="C109" s="251">
        <v>1525.4</v>
      </c>
      <c r="D109" s="252" t="s">
        <v>1041</v>
      </c>
      <c r="E109">
        <f t="shared" si="1"/>
        <v>86.5</v>
      </c>
    </row>
    <row r="110" spans="2:5" x14ac:dyDescent="0.3">
      <c r="B110" s="239">
        <v>45953</v>
      </c>
      <c r="C110" s="251">
        <v>1528.5</v>
      </c>
      <c r="D110" s="252" t="s">
        <v>1074</v>
      </c>
      <c r="E110">
        <f t="shared" si="1"/>
        <v>203.6</v>
      </c>
    </row>
    <row r="111" spans="2:5" x14ac:dyDescent="0.3">
      <c r="B111" s="239">
        <v>45951</v>
      </c>
      <c r="C111" s="251">
        <v>1472.4</v>
      </c>
      <c r="D111" s="252" t="s">
        <v>990</v>
      </c>
      <c r="E111">
        <f t="shared" si="1"/>
        <v>17</v>
      </c>
    </row>
    <row r="112" spans="2:5" x14ac:dyDescent="0.3">
      <c r="B112" s="239">
        <v>45950</v>
      </c>
      <c r="C112" s="251">
        <v>1460.9</v>
      </c>
      <c r="D112" s="252" t="s">
        <v>650</v>
      </c>
      <c r="E112">
        <f t="shared" si="1"/>
        <v>69.900000000000006</v>
      </c>
    </row>
    <row r="113" spans="2:5" x14ac:dyDescent="0.3">
      <c r="B113" s="239">
        <v>45947</v>
      </c>
      <c r="C113" s="251">
        <v>1441.1</v>
      </c>
      <c r="D113" s="252" t="s">
        <v>1073</v>
      </c>
      <c r="E113">
        <f t="shared" si="1"/>
        <v>169.6</v>
      </c>
    </row>
    <row r="114" spans="2:5" x14ac:dyDescent="0.3">
      <c r="B114" s="239">
        <v>45946</v>
      </c>
      <c r="C114" s="251">
        <v>1471.5</v>
      </c>
      <c r="D114" s="252" t="s">
        <v>934</v>
      </c>
      <c r="E114">
        <f t="shared" si="1"/>
        <v>80.099999999999994</v>
      </c>
    </row>
    <row r="115" spans="2:5" x14ac:dyDescent="0.3">
      <c r="B115" s="239">
        <v>45945</v>
      </c>
      <c r="C115" s="251">
        <v>1474.4</v>
      </c>
      <c r="D115" s="252" t="s">
        <v>650</v>
      </c>
      <c r="E115">
        <f t="shared" si="1"/>
        <v>69.900000000000006</v>
      </c>
    </row>
    <row r="116" spans="2:5" x14ac:dyDescent="0.3">
      <c r="B116" s="239">
        <v>45944</v>
      </c>
      <c r="C116" s="251">
        <v>1489.9</v>
      </c>
      <c r="D116" s="252" t="s">
        <v>600</v>
      </c>
      <c r="E116">
        <f t="shared" si="1"/>
        <v>56</v>
      </c>
    </row>
    <row r="117" spans="2:5" x14ac:dyDescent="0.3">
      <c r="B117" s="239">
        <v>45943</v>
      </c>
      <c r="C117" s="251">
        <v>1493.2</v>
      </c>
      <c r="D117" s="252" t="s">
        <v>910</v>
      </c>
      <c r="E117">
        <f t="shared" si="1"/>
        <v>58.6</v>
      </c>
    </row>
    <row r="118" spans="2:5" x14ac:dyDescent="0.3">
      <c r="B118" s="239">
        <v>45940</v>
      </c>
      <c r="C118" s="251">
        <v>1514.9</v>
      </c>
      <c r="D118" s="252" t="s">
        <v>914</v>
      </c>
      <c r="E118">
        <f t="shared" si="1"/>
        <v>37.4</v>
      </c>
    </row>
    <row r="119" spans="2:5" x14ac:dyDescent="0.3">
      <c r="B119" s="239">
        <v>45939</v>
      </c>
      <c r="C119" s="251">
        <v>1509.3</v>
      </c>
      <c r="D119" s="252" t="s">
        <v>635</v>
      </c>
      <c r="E119">
        <f t="shared" si="1"/>
        <v>70.3</v>
      </c>
    </row>
    <row r="120" spans="2:5" x14ac:dyDescent="0.3">
      <c r="B120" s="239">
        <v>45938</v>
      </c>
      <c r="C120" s="251">
        <v>1495</v>
      </c>
      <c r="D120" s="252" t="s">
        <v>490</v>
      </c>
      <c r="E120">
        <f t="shared" si="1"/>
        <v>46.6</v>
      </c>
    </row>
    <row r="121" spans="2:5" x14ac:dyDescent="0.3">
      <c r="B121" s="239">
        <v>45937</v>
      </c>
      <c r="C121" s="251">
        <v>1458.5</v>
      </c>
      <c r="D121" s="252" t="s">
        <v>951</v>
      </c>
      <c r="E121">
        <f t="shared" si="1"/>
        <v>55.7</v>
      </c>
    </row>
    <row r="122" spans="2:5" x14ac:dyDescent="0.3">
      <c r="B122" s="239">
        <v>45936</v>
      </c>
      <c r="C122" s="251">
        <v>1476</v>
      </c>
      <c r="D122" s="252" t="s">
        <v>847</v>
      </c>
      <c r="E122">
        <f t="shared" si="1"/>
        <v>46.3</v>
      </c>
    </row>
    <row r="123" spans="2:5" x14ac:dyDescent="0.3">
      <c r="B123" s="239">
        <v>45933</v>
      </c>
      <c r="C123" s="251">
        <v>1446.6</v>
      </c>
      <c r="D123" s="252" t="s">
        <v>869</v>
      </c>
      <c r="E123">
        <f t="shared" si="1"/>
        <v>68.8</v>
      </c>
    </row>
    <row r="124" spans="2:5" x14ac:dyDescent="0.3">
      <c r="B124" s="239">
        <v>45931</v>
      </c>
      <c r="C124" s="251">
        <v>1445.8</v>
      </c>
      <c r="D124" s="252" t="s">
        <v>656</v>
      </c>
      <c r="E124">
        <f t="shared" si="1"/>
        <v>62.5</v>
      </c>
    </row>
    <row r="125" spans="2:5" x14ac:dyDescent="0.3">
      <c r="B125" s="239">
        <v>45930</v>
      </c>
      <c r="C125" s="251">
        <v>1441.8</v>
      </c>
      <c r="D125" s="252" t="s">
        <v>772</v>
      </c>
      <c r="E125">
        <f t="shared" si="1"/>
        <v>75.599999999999994</v>
      </c>
    </row>
    <row r="126" spans="2:5" x14ac:dyDescent="0.3">
      <c r="B126" s="239">
        <v>45929</v>
      </c>
      <c r="C126" s="251">
        <v>1441.8</v>
      </c>
      <c r="D126" s="252" t="s">
        <v>1072</v>
      </c>
      <c r="E126">
        <f t="shared" si="1"/>
        <v>105.1</v>
      </c>
    </row>
    <row r="127" spans="2:5" x14ac:dyDescent="0.3">
      <c r="B127" s="239">
        <v>45926</v>
      </c>
      <c r="C127" s="251">
        <v>1448.9</v>
      </c>
      <c r="D127" s="252" t="s">
        <v>1071</v>
      </c>
      <c r="E127">
        <f t="shared" si="1"/>
        <v>86</v>
      </c>
    </row>
    <row r="128" spans="2:5" x14ac:dyDescent="0.3">
      <c r="B128" s="239">
        <v>45925</v>
      </c>
      <c r="C128" s="251">
        <v>1484.8</v>
      </c>
      <c r="D128" s="252" t="s">
        <v>1070</v>
      </c>
      <c r="E128">
        <f t="shared" si="1"/>
        <v>94.9</v>
      </c>
    </row>
    <row r="129" spans="2:5" x14ac:dyDescent="0.3">
      <c r="B129" s="239">
        <v>45924</v>
      </c>
      <c r="C129" s="251">
        <v>1494.6</v>
      </c>
      <c r="D129" s="252" t="s">
        <v>707</v>
      </c>
      <c r="E129">
        <f t="shared" si="1"/>
        <v>49.4</v>
      </c>
    </row>
    <row r="130" spans="2:5" x14ac:dyDescent="0.3">
      <c r="B130" s="239">
        <v>45923</v>
      </c>
      <c r="C130" s="251">
        <v>1497.5</v>
      </c>
      <c r="D130" s="252" t="s">
        <v>632</v>
      </c>
      <c r="E130">
        <f t="shared" si="1"/>
        <v>98.3</v>
      </c>
    </row>
    <row r="131" spans="2:5" x14ac:dyDescent="0.3">
      <c r="B131" s="239">
        <v>45922</v>
      </c>
      <c r="C131" s="251">
        <v>1499.5</v>
      </c>
      <c r="D131" s="252" t="s">
        <v>1069</v>
      </c>
      <c r="E131">
        <f t="shared" ref="E131:E194" si="2">(VALUE(LEFT(D131,LEN(D131)-1)*1000000))/100000</f>
        <v>156.6</v>
      </c>
    </row>
    <row r="132" spans="2:5" x14ac:dyDescent="0.3">
      <c r="B132" s="239">
        <v>45919</v>
      </c>
      <c r="C132" s="251">
        <v>1540.2</v>
      </c>
      <c r="D132" s="252" t="s">
        <v>1068</v>
      </c>
      <c r="E132">
        <f t="shared" si="2"/>
        <v>129.9</v>
      </c>
    </row>
    <row r="133" spans="2:5" x14ac:dyDescent="0.3">
      <c r="B133" s="239">
        <v>45918</v>
      </c>
      <c r="C133" s="251">
        <v>1540.6</v>
      </c>
      <c r="D133" s="252" t="s">
        <v>1067</v>
      </c>
      <c r="E133">
        <f t="shared" si="2"/>
        <v>93.3</v>
      </c>
    </row>
    <row r="134" spans="2:5" x14ac:dyDescent="0.3">
      <c r="B134" s="239">
        <v>45917</v>
      </c>
      <c r="C134" s="251">
        <v>1522.4</v>
      </c>
      <c r="D134" s="252" t="s">
        <v>476</v>
      </c>
      <c r="E134">
        <f t="shared" si="2"/>
        <v>48</v>
      </c>
    </row>
    <row r="135" spans="2:5" x14ac:dyDescent="0.3">
      <c r="B135" s="239">
        <v>45916</v>
      </c>
      <c r="C135" s="251">
        <v>1511.3</v>
      </c>
      <c r="D135" s="252" t="s">
        <v>1066</v>
      </c>
      <c r="E135">
        <f t="shared" si="2"/>
        <v>89.2</v>
      </c>
    </row>
    <row r="136" spans="2:5" x14ac:dyDescent="0.3">
      <c r="B136" s="239">
        <v>45915</v>
      </c>
      <c r="C136" s="251">
        <v>1508.4</v>
      </c>
      <c r="D136" s="252" t="s">
        <v>619</v>
      </c>
      <c r="E136">
        <f t="shared" si="2"/>
        <v>61.7</v>
      </c>
    </row>
    <row r="137" spans="2:5" x14ac:dyDescent="0.3">
      <c r="B137" s="239">
        <v>45912</v>
      </c>
      <c r="C137" s="251">
        <v>1525.6</v>
      </c>
      <c r="D137" s="252" t="s">
        <v>1065</v>
      </c>
      <c r="E137">
        <f t="shared" si="2"/>
        <v>128.6</v>
      </c>
    </row>
    <row r="138" spans="2:5" x14ac:dyDescent="0.3">
      <c r="B138" s="239">
        <v>45911</v>
      </c>
      <c r="C138" s="251">
        <v>1509.7</v>
      </c>
      <c r="D138" s="252" t="s">
        <v>1064</v>
      </c>
      <c r="E138">
        <f t="shared" si="2"/>
        <v>80</v>
      </c>
    </row>
    <row r="139" spans="2:5" x14ac:dyDescent="0.3">
      <c r="B139" s="239">
        <v>45910</v>
      </c>
      <c r="C139" s="251">
        <v>1532.6</v>
      </c>
      <c r="D139" s="252" t="s">
        <v>901</v>
      </c>
      <c r="E139">
        <f t="shared" si="2"/>
        <v>72.8</v>
      </c>
    </row>
    <row r="140" spans="2:5" x14ac:dyDescent="0.3">
      <c r="B140" s="239">
        <v>45909</v>
      </c>
      <c r="C140" s="251">
        <v>1504.3</v>
      </c>
      <c r="D140" s="252" t="s">
        <v>1063</v>
      </c>
      <c r="E140">
        <f t="shared" si="2"/>
        <v>130.69999999999999</v>
      </c>
    </row>
    <row r="141" spans="2:5" x14ac:dyDescent="0.3">
      <c r="B141" s="239">
        <v>45908</v>
      </c>
      <c r="C141" s="251">
        <v>1432.9</v>
      </c>
      <c r="D141" s="252" t="s">
        <v>1062</v>
      </c>
      <c r="E141">
        <f t="shared" si="2"/>
        <v>38.1</v>
      </c>
    </row>
    <row r="142" spans="2:5" x14ac:dyDescent="0.3">
      <c r="B142" s="239">
        <v>45905</v>
      </c>
      <c r="C142" s="251">
        <v>1444.6</v>
      </c>
      <c r="D142" s="252" t="s">
        <v>620</v>
      </c>
      <c r="E142">
        <f t="shared" si="2"/>
        <v>54.7</v>
      </c>
    </row>
    <row r="143" spans="2:5" x14ac:dyDescent="0.3">
      <c r="B143" s="239">
        <v>45904</v>
      </c>
      <c r="C143" s="251">
        <v>1463</v>
      </c>
      <c r="D143" s="252" t="s">
        <v>415</v>
      </c>
      <c r="E143">
        <f t="shared" si="2"/>
        <v>57.9</v>
      </c>
    </row>
    <row r="144" spans="2:5" x14ac:dyDescent="0.3">
      <c r="B144" s="239">
        <v>45903</v>
      </c>
      <c r="C144" s="251">
        <v>1479.1</v>
      </c>
      <c r="D144" s="252" t="s">
        <v>575</v>
      </c>
      <c r="E144">
        <f t="shared" si="2"/>
        <v>46.2</v>
      </c>
    </row>
    <row r="145" spans="2:5" x14ac:dyDescent="0.3">
      <c r="B145" s="239">
        <v>45902</v>
      </c>
      <c r="C145" s="251">
        <v>1498.7</v>
      </c>
      <c r="D145" s="252" t="s">
        <v>1061</v>
      </c>
      <c r="E145">
        <f t="shared" si="2"/>
        <v>52.2</v>
      </c>
    </row>
    <row r="146" spans="2:5" x14ac:dyDescent="0.3">
      <c r="B146" s="239">
        <v>45901</v>
      </c>
      <c r="C146" s="251">
        <v>1499.4</v>
      </c>
      <c r="D146" s="252" t="s">
        <v>518</v>
      </c>
      <c r="E146">
        <f t="shared" si="2"/>
        <v>45.5</v>
      </c>
    </row>
    <row r="147" spans="2:5" x14ac:dyDescent="0.3">
      <c r="B147" s="239">
        <v>45898</v>
      </c>
      <c r="C147" s="251">
        <v>1469.6</v>
      </c>
      <c r="D147" s="252" t="s">
        <v>1060</v>
      </c>
      <c r="E147">
        <f t="shared" si="2"/>
        <v>81.7</v>
      </c>
    </row>
    <row r="148" spans="2:5" x14ac:dyDescent="0.3">
      <c r="B148" s="239">
        <v>45897</v>
      </c>
      <c r="C148" s="251">
        <v>1500.1</v>
      </c>
      <c r="D148" s="252" t="s">
        <v>972</v>
      </c>
      <c r="E148">
        <f t="shared" si="2"/>
        <v>54.4</v>
      </c>
    </row>
    <row r="149" spans="2:5" x14ac:dyDescent="0.3">
      <c r="B149" s="239">
        <v>45895</v>
      </c>
      <c r="C149" s="251">
        <v>1529.6</v>
      </c>
      <c r="D149" s="252" t="s">
        <v>1059</v>
      </c>
      <c r="E149">
        <f t="shared" si="2"/>
        <v>159.9</v>
      </c>
    </row>
    <row r="150" spans="2:5" x14ac:dyDescent="0.3">
      <c r="B150" s="239">
        <v>45894</v>
      </c>
      <c r="C150" s="251">
        <v>1532.1</v>
      </c>
      <c r="D150" s="252" t="s">
        <v>1058</v>
      </c>
      <c r="E150">
        <f t="shared" si="2"/>
        <v>106.9</v>
      </c>
    </row>
    <row r="151" spans="2:5" x14ac:dyDescent="0.3">
      <c r="B151" s="239">
        <v>45891</v>
      </c>
      <c r="C151" s="251">
        <v>1487.5</v>
      </c>
      <c r="D151" s="252" t="s">
        <v>1057</v>
      </c>
      <c r="E151">
        <f t="shared" si="2"/>
        <v>55.4</v>
      </c>
    </row>
    <row r="152" spans="2:5" x14ac:dyDescent="0.3">
      <c r="B152" s="239">
        <v>45890</v>
      </c>
      <c r="C152" s="251">
        <v>1496.4</v>
      </c>
      <c r="D152" s="252" t="s">
        <v>1056</v>
      </c>
      <c r="E152">
        <f t="shared" si="2"/>
        <v>65.7</v>
      </c>
    </row>
    <row r="153" spans="2:5" x14ac:dyDescent="0.3">
      <c r="B153" s="239">
        <v>45889</v>
      </c>
      <c r="C153" s="251">
        <v>1496.2</v>
      </c>
      <c r="D153" s="252" t="s">
        <v>1055</v>
      </c>
      <c r="E153">
        <f t="shared" si="2"/>
        <v>104.1</v>
      </c>
    </row>
    <row r="154" spans="2:5" x14ac:dyDescent="0.3">
      <c r="B154" s="239">
        <v>45888</v>
      </c>
      <c r="C154" s="251">
        <v>1440</v>
      </c>
      <c r="D154" s="252" t="s">
        <v>558</v>
      </c>
      <c r="E154">
        <f t="shared" si="2"/>
        <v>39.9</v>
      </c>
    </row>
    <row r="155" spans="2:5" x14ac:dyDescent="0.3">
      <c r="B155" s="239">
        <v>45887</v>
      </c>
      <c r="C155" s="251">
        <v>1435.8</v>
      </c>
      <c r="D155" s="252" t="s">
        <v>1054</v>
      </c>
      <c r="E155">
        <f t="shared" si="2"/>
        <v>72.5</v>
      </c>
    </row>
    <row r="156" spans="2:5" x14ac:dyDescent="0.3">
      <c r="B156" s="239">
        <v>45883</v>
      </c>
      <c r="C156" s="251">
        <v>1447.7</v>
      </c>
      <c r="D156" s="252" t="s">
        <v>1053</v>
      </c>
      <c r="E156">
        <f t="shared" si="2"/>
        <v>129</v>
      </c>
    </row>
    <row r="157" spans="2:5" x14ac:dyDescent="0.3">
      <c r="B157" s="239">
        <v>45882</v>
      </c>
      <c r="C157" s="251">
        <v>1426.6</v>
      </c>
      <c r="D157" s="252" t="s">
        <v>535</v>
      </c>
      <c r="E157">
        <f t="shared" si="2"/>
        <v>103.2</v>
      </c>
    </row>
    <row r="158" spans="2:5" x14ac:dyDescent="0.3">
      <c r="B158" s="239">
        <v>45881</v>
      </c>
      <c r="C158" s="251">
        <v>1424.1</v>
      </c>
      <c r="D158" s="252" t="s">
        <v>1052</v>
      </c>
      <c r="E158">
        <f t="shared" si="2"/>
        <v>99</v>
      </c>
    </row>
    <row r="159" spans="2:5" x14ac:dyDescent="0.3">
      <c r="B159" s="239">
        <v>45880</v>
      </c>
      <c r="C159" s="251">
        <v>1428.2</v>
      </c>
      <c r="D159" s="252" t="s">
        <v>708</v>
      </c>
      <c r="E159">
        <f t="shared" si="2"/>
        <v>66.3</v>
      </c>
    </row>
    <row r="160" spans="2:5" x14ac:dyDescent="0.3">
      <c r="B160" s="239">
        <v>45877</v>
      </c>
      <c r="C160" s="251">
        <v>1423.1</v>
      </c>
      <c r="D160" s="252" t="s">
        <v>1051</v>
      </c>
      <c r="E160">
        <f t="shared" si="2"/>
        <v>100.5</v>
      </c>
    </row>
    <row r="161" spans="2:5" x14ac:dyDescent="0.3">
      <c r="B161" s="239">
        <v>45876</v>
      </c>
      <c r="C161" s="251">
        <v>1436.9</v>
      </c>
      <c r="D161" s="252" t="s">
        <v>1005</v>
      </c>
      <c r="E161">
        <f t="shared" si="2"/>
        <v>98.9</v>
      </c>
    </row>
    <row r="162" spans="2:5" x14ac:dyDescent="0.3">
      <c r="B162" s="239">
        <v>45875</v>
      </c>
      <c r="C162" s="251">
        <v>1436.7</v>
      </c>
      <c r="D162" s="252" t="s">
        <v>1050</v>
      </c>
      <c r="E162">
        <f t="shared" si="2"/>
        <v>105.7</v>
      </c>
    </row>
    <row r="163" spans="2:5" x14ac:dyDescent="0.3">
      <c r="B163" s="239">
        <v>45874</v>
      </c>
      <c r="C163" s="251">
        <v>1460.3</v>
      </c>
      <c r="D163" s="252" t="s">
        <v>1049</v>
      </c>
      <c r="E163">
        <f t="shared" si="2"/>
        <v>102.1</v>
      </c>
    </row>
    <row r="164" spans="2:5" x14ac:dyDescent="0.3">
      <c r="B164" s="239">
        <v>45873</v>
      </c>
      <c r="C164" s="251">
        <v>1480.5</v>
      </c>
      <c r="D164" s="252" t="s">
        <v>1027</v>
      </c>
      <c r="E164">
        <f t="shared" si="2"/>
        <v>86.1</v>
      </c>
    </row>
    <row r="165" spans="2:5" x14ac:dyDescent="0.3">
      <c r="B165" s="239">
        <v>45870</v>
      </c>
      <c r="C165" s="251">
        <v>1469.6</v>
      </c>
      <c r="D165" s="252" t="s">
        <v>1048</v>
      </c>
      <c r="E165">
        <f t="shared" si="2"/>
        <v>87</v>
      </c>
    </row>
    <row r="166" spans="2:5" x14ac:dyDescent="0.3">
      <c r="B166" s="239">
        <v>45869</v>
      </c>
      <c r="C166" s="251">
        <v>1509</v>
      </c>
      <c r="D166" s="252" t="s">
        <v>448</v>
      </c>
      <c r="E166">
        <f t="shared" si="2"/>
        <v>68.5</v>
      </c>
    </row>
    <row r="167" spans="2:5" x14ac:dyDescent="0.3">
      <c r="B167" s="239">
        <v>45868</v>
      </c>
      <c r="C167" s="251">
        <v>1519</v>
      </c>
      <c r="D167" s="252" t="s">
        <v>1047</v>
      </c>
      <c r="E167">
        <f t="shared" si="2"/>
        <v>57.2</v>
      </c>
    </row>
    <row r="168" spans="2:5" x14ac:dyDescent="0.3">
      <c r="B168" s="239">
        <v>45867</v>
      </c>
      <c r="C168" s="251">
        <v>1513.7</v>
      </c>
      <c r="D168" s="252" t="s">
        <v>633</v>
      </c>
      <c r="E168">
        <f t="shared" si="2"/>
        <v>70.7</v>
      </c>
    </row>
    <row r="169" spans="2:5" x14ac:dyDescent="0.3">
      <c r="B169" s="239">
        <v>45866</v>
      </c>
      <c r="C169" s="251">
        <v>1516</v>
      </c>
      <c r="D169" s="252" t="s">
        <v>734</v>
      </c>
      <c r="E169">
        <f t="shared" si="2"/>
        <v>64.400000000000006</v>
      </c>
    </row>
    <row r="170" spans="2:5" x14ac:dyDescent="0.3">
      <c r="B170" s="239">
        <v>45863</v>
      </c>
      <c r="C170" s="251">
        <v>1515.7</v>
      </c>
      <c r="D170" s="252" t="s">
        <v>1046</v>
      </c>
      <c r="E170">
        <f t="shared" si="2"/>
        <v>108.5</v>
      </c>
    </row>
    <row r="171" spans="2:5" x14ac:dyDescent="0.3">
      <c r="B171" s="239">
        <v>45862</v>
      </c>
      <c r="C171" s="251">
        <v>1552.5</v>
      </c>
      <c r="D171" s="252" t="s">
        <v>1045</v>
      </c>
      <c r="E171">
        <f t="shared" si="2"/>
        <v>141.69999999999999</v>
      </c>
    </row>
    <row r="172" spans="2:5" x14ac:dyDescent="0.3">
      <c r="B172" s="239">
        <v>45861</v>
      </c>
      <c r="C172" s="251">
        <v>1574.5</v>
      </c>
      <c r="D172" s="252" t="s">
        <v>732</v>
      </c>
      <c r="E172">
        <f t="shared" si="2"/>
        <v>80.399999999999991</v>
      </c>
    </row>
    <row r="173" spans="2:5" x14ac:dyDescent="0.3">
      <c r="B173" s="239">
        <v>45860</v>
      </c>
      <c r="C173" s="251">
        <v>1570.9</v>
      </c>
      <c r="D173" s="252" t="s">
        <v>974</v>
      </c>
      <c r="E173">
        <f t="shared" si="2"/>
        <v>84.7</v>
      </c>
    </row>
    <row r="174" spans="2:5" x14ac:dyDescent="0.3">
      <c r="B174" s="239">
        <v>45859</v>
      </c>
      <c r="C174" s="251">
        <v>1584.3</v>
      </c>
      <c r="D174" s="252" t="s">
        <v>1044</v>
      </c>
      <c r="E174">
        <f t="shared" si="2"/>
        <v>36.799999999999997</v>
      </c>
    </row>
    <row r="175" spans="2:5" x14ac:dyDescent="0.3">
      <c r="B175" s="239">
        <v>45856</v>
      </c>
      <c r="C175" s="251">
        <v>1586.1</v>
      </c>
      <c r="D175" s="252" t="s">
        <v>888</v>
      </c>
      <c r="E175">
        <f t="shared" si="2"/>
        <v>51.6</v>
      </c>
    </row>
    <row r="176" spans="2:5" x14ac:dyDescent="0.3">
      <c r="B176" s="239">
        <v>45855</v>
      </c>
      <c r="C176" s="251">
        <v>1583.5</v>
      </c>
      <c r="D176" s="252" t="s">
        <v>537</v>
      </c>
      <c r="E176">
        <f t="shared" si="2"/>
        <v>73.7</v>
      </c>
    </row>
    <row r="177" spans="2:5" x14ac:dyDescent="0.3">
      <c r="B177" s="239">
        <v>45854</v>
      </c>
      <c r="C177" s="251">
        <v>1607.9</v>
      </c>
      <c r="D177" s="252" t="s">
        <v>634</v>
      </c>
      <c r="E177">
        <f t="shared" si="2"/>
        <v>62.2</v>
      </c>
    </row>
    <row r="178" spans="2:5" x14ac:dyDescent="0.3">
      <c r="B178" s="239">
        <v>45853</v>
      </c>
      <c r="C178" s="251">
        <v>1585.6</v>
      </c>
      <c r="D178" s="252" t="s">
        <v>776</v>
      </c>
      <c r="E178">
        <f t="shared" si="2"/>
        <v>76.099999999999994</v>
      </c>
    </row>
    <row r="179" spans="2:5" x14ac:dyDescent="0.3">
      <c r="B179" s="239">
        <v>45852</v>
      </c>
      <c r="C179" s="251">
        <v>1570.3</v>
      </c>
      <c r="D179" s="252" t="s">
        <v>661</v>
      </c>
      <c r="E179">
        <f t="shared" si="2"/>
        <v>91.7</v>
      </c>
    </row>
    <row r="180" spans="2:5" x14ac:dyDescent="0.3">
      <c r="B180" s="239">
        <v>45849</v>
      </c>
      <c r="C180" s="251">
        <v>1594.9</v>
      </c>
      <c r="D180" s="252" t="s">
        <v>1043</v>
      </c>
      <c r="E180">
        <f t="shared" si="2"/>
        <v>113.9</v>
      </c>
    </row>
    <row r="181" spans="2:5" x14ac:dyDescent="0.3">
      <c r="B181" s="239">
        <v>45848</v>
      </c>
      <c r="C181" s="251">
        <v>1615.8</v>
      </c>
      <c r="D181" s="252" t="s">
        <v>540</v>
      </c>
      <c r="E181">
        <f t="shared" si="2"/>
        <v>53.3</v>
      </c>
    </row>
    <row r="182" spans="2:5" x14ac:dyDescent="0.3">
      <c r="B182" s="239">
        <v>45847</v>
      </c>
      <c r="C182" s="251">
        <v>1633.7</v>
      </c>
      <c r="D182" s="252" t="s">
        <v>513</v>
      </c>
      <c r="E182">
        <f t="shared" si="2"/>
        <v>45.8</v>
      </c>
    </row>
    <row r="183" spans="2:5" x14ac:dyDescent="0.3">
      <c r="B183" s="239">
        <v>45846</v>
      </c>
      <c r="C183" s="251">
        <v>1638.7</v>
      </c>
      <c r="D183" s="252" t="s">
        <v>479</v>
      </c>
      <c r="E183">
        <f t="shared" si="2"/>
        <v>45.9</v>
      </c>
    </row>
    <row r="184" spans="2:5" x14ac:dyDescent="0.3">
      <c r="B184" s="239">
        <v>45845</v>
      </c>
      <c r="C184" s="251">
        <v>1627</v>
      </c>
      <c r="D184" s="252" t="s">
        <v>1042</v>
      </c>
      <c r="E184">
        <f t="shared" si="2"/>
        <v>32.9</v>
      </c>
    </row>
    <row r="185" spans="2:5" x14ac:dyDescent="0.3">
      <c r="B185" s="239">
        <v>45842</v>
      </c>
      <c r="C185" s="251">
        <v>1640.7</v>
      </c>
      <c r="D185" s="252" t="s">
        <v>659</v>
      </c>
      <c r="E185">
        <f t="shared" si="2"/>
        <v>44.1</v>
      </c>
    </row>
    <row r="186" spans="2:5" x14ac:dyDescent="0.3">
      <c r="B186" s="239">
        <v>45841</v>
      </c>
      <c r="C186" s="251">
        <v>1618.7</v>
      </c>
      <c r="D186" s="252" t="s">
        <v>585</v>
      </c>
      <c r="E186">
        <f t="shared" si="2"/>
        <v>52.6</v>
      </c>
    </row>
    <row r="187" spans="2:5" x14ac:dyDescent="0.3">
      <c r="B187" s="239">
        <v>45840</v>
      </c>
      <c r="C187" s="251">
        <v>1610.5</v>
      </c>
      <c r="D187" s="252" t="s">
        <v>1041</v>
      </c>
      <c r="E187">
        <f t="shared" si="2"/>
        <v>86.5</v>
      </c>
    </row>
    <row r="188" spans="2:5" x14ac:dyDescent="0.3">
      <c r="B188" s="239">
        <v>45839</v>
      </c>
      <c r="C188" s="251">
        <v>1606.8</v>
      </c>
      <c r="D188" s="252" t="s">
        <v>487</v>
      </c>
      <c r="E188">
        <f t="shared" si="2"/>
        <v>41.8</v>
      </c>
    </row>
    <row r="189" spans="2:5" x14ac:dyDescent="0.3">
      <c r="B189" s="239">
        <v>45838</v>
      </c>
      <c r="C189" s="251">
        <v>1601.8</v>
      </c>
      <c r="D189" s="252" t="s">
        <v>1040</v>
      </c>
      <c r="E189">
        <f t="shared" si="2"/>
        <v>62.9</v>
      </c>
    </row>
    <row r="190" spans="2:5" x14ac:dyDescent="0.3">
      <c r="B190" s="239">
        <v>45835</v>
      </c>
      <c r="C190" s="251">
        <v>1608</v>
      </c>
      <c r="D190" s="252" t="s">
        <v>1039</v>
      </c>
      <c r="E190">
        <f t="shared" si="2"/>
        <v>89.1</v>
      </c>
    </row>
    <row r="191" spans="2:5" x14ac:dyDescent="0.3">
      <c r="B191" s="239">
        <v>45834</v>
      </c>
      <c r="C191" s="251">
        <v>1616</v>
      </c>
      <c r="D191" s="252" t="s">
        <v>637</v>
      </c>
      <c r="E191">
        <f t="shared" si="2"/>
        <v>65.2</v>
      </c>
    </row>
    <row r="192" spans="2:5" x14ac:dyDescent="0.3">
      <c r="B192" s="239">
        <v>45833</v>
      </c>
      <c r="C192" s="251">
        <v>1614.9</v>
      </c>
      <c r="D192" s="252" t="s">
        <v>889</v>
      </c>
      <c r="E192">
        <f t="shared" si="2"/>
        <v>78.099999999999994</v>
      </c>
    </row>
    <row r="193" spans="2:5" x14ac:dyDescent="0.3">
      <c r="B193" s="239">
        <v>45832</v>
      </c>
      <c r="C193" s="251">
        <v>1581.6</v>
      </c>
      <c r="D193" s="252" t="s">
        <v>689</v>
      </c>
      <c r="E193">
        <f t="shared" si="2"/>
        <v>80.8</v>
      </c>
    </row>
    <row r="194" spans="2:5" x14ac:dyDescent="0.3">
      <c r="B194" s="239">
        <v>45831</v>
      </c>
      <c r="C194" s="251">
        <v>1584</v>
      </c>
      <c r="D194" s="252" t="s">
        <v>1038</v>
      </c>
      <c r="E194">
        <f t="shared" si="2"/>
        <v>79.400000000000006</v>
      </c>
    </row>
    <row r="195" spans="2:5" x14ac:dyDescent="0.3">
      <c r="B195" s="239">
        <v>45828</v>
      </c>
      <c r="C195" s="251">
        <v>1622.9</v>
      </c>
      <c r="D195" s="252" t="s">
        <v>1037</v>
      </c>
      <c r="E195">
        <f t="shared" ref="E195:E258" si="3">(VALUE(LEFT(D195,LEN(D195)-1)*1000000))/100000</f>
        <v>92</v>
      </c>
    </row>
    <row r="196" spans="2:5" x14ac:dyDescent="0.3">
      <c r="B196" s="239">
        <v>45827</v>
      </c>
      <c r="C196" s="251">
        <v>1618.4</v>
      </c>
      <c r="D196" s="252" t="s">
        <v>456</v>
      </c>
      <c r="E196">
        <f t="shared" si="3"/>
        <v>51.5</v>
      </c>
    </row>
    <row r="197" spans="2:5" x14ac:dyDescent="0.3">
      <c r="B197" s="239">
        <v>45826</v>
      </c>
      <c r="C197" s="251">
        <v>1632.9</v>
      </c>
      <c r="D197" s="252" t="s">
        <v>991</v>
      </c>
      <c r="E197">
        <f t="shared" si="3"/>
        <v>56.3</v>
      </c>
    </row>
    <row r="198" spans="2:5" x14ac:dyDescent="0.3">
      <c r="B198" s="239">
        <v>45825</v>
      </c>
      <c r="C198" s="251">
        <v>1639.9</v>
      </c>
      <c r="D198" s="252" t="s">
        <v>1036</v>
      </c>
      <c r="E198">
        <f t="shared" si="3"/>
        <v>76.2</v>
      </c>
    </row>
    <row r="199" spans="2:5" x14ac:dyDescent="0.3">
      <c r="B199" s="239">
        <v>45824</v>
      </c>
      <c r="C199" s="251">
        <v>1623.8</v>
      </c>
      <c r="D199" s="252" t="s">
        <v>1035</v>
      </c>
      <c r="E199">
        <f t="shared" si="3"/>
        <v>55.9</v>
      </c>
    </row>
    <row r="200" spans="2:5" x14ac:dyDescent="0.3">
      <c r="B200" s="239">
        <v>45821</v>
      </c>
      <c r="C200" s="251">
        <v>1602</v>
      </c>
      <c r="D200" s="252" t="s">
        <v>1034</v>
      </c>
      <c r="E200">
        <f t="shared" si="3"/>
        <v>69.7</v>
      </c>
    </row>
    <row r="201" spans="2:5" x14ac:dyDescent="0.3">
      <c r="B201" s="239">
        <v>45820</v>
      </c>
      <c r="C201" s="251">
        <v>1608.6</v>
      </c>
      <c r="D201" s="252" t="s">
        <v>1033</v>
      </c>
      <c r="E201">
        <f t="shared" si="3"/>
        <v>104.8</v>
      </c>
    </row>
    <row r="202" spans="2:5" x14ac:dyDescent="0.3">
      <c r="B202" s="239">
        <v>45819</v>
      </c>
      <c r="C202" s="251">
        <v>1631.1</v>
      </c>
      <c r="D202" s="252" t="s">
        <v>1032</v>
      </c>
      <c r="E202">
        <f t="shared" si="3"/>
        <v>106</v>
      </c>
    </row>
    <row r="203" spans="2:5" x14ac:dyDescent="0.3">
      <c r="B203" s="239">
        <v>45818</v>
      </c>
      <c r="C203" s="251">
        <v>1596</v>
      </c>
      <c r="D203" s="252" t="s">
        <v>1031</v>
      </c>
      <c r="E203">
        <f t="shared" si="3"/>
        <v>85.9</v>
      </c>
    </row>
    <row r="204" spans="2:5" x14ac:dyDescent="0.3">
      <c r="B204" s="239">
        <v>45817</v>
      </c>
      <c r="C204" s="251">
        <v>1572.9</v>
      </c>
      <c r="D204" s="252" t="s">
        <v>1030</v>
      </c>
      <c r="E204">
        <f t="shared" si="3"/>
        <v>29</v>
      </c>
    </row>
    <row r="205" spans="2:5" x14ac:dyDescent="0.3">
      <c r="B205" s="239">
        <v>45814</v>
      </c>
      <c r="C205" s="251">
        <v>1563.8</v>
      </c>
      <c r="D205" s="252" t="s">
        <v>1029</v>
      </c>
      <c r="E205">
        <f t="shared" si="3"/>
        <v>39.6</v>
      </c>
    </row>
    <row r="206" spans="2:5" x14ac:dyDescent="0.3">
      <c r="B206" s="239">
        <v>45813</v>
      </c>
      <c r="C206" s="251">
        <v>1554.3</v>
      </c>
      <c r="D206" s="252" t="s">
        <v>781</v>
      </c>
      <c r="E206">
        <f t="shared" si="3"/>
        <v>69.5</v>
      </c>
    </row>
    <row r="207" spans="2:5" x14ac:dyDescent="0.3">
      <c r="B207" s="239">
        <v>45812</v>
      </c>
      <c r="C207" s="251">
        <v>1551.2</v>
      </c>
      <c r="D207" s="252" t="s">
        <v>518</v>
      </c>
      <c r="E207">
        <f t="shared" si="3"/>
        <v>45.5</v>
      </c>
    </row>
    <row r="208" spans="2:5" x14ac:dyDescent="0.3">
      <c r="B208" s="239">
        <v>45811</v>
      </c>
      <c r="C208" s="251">
        <v>1543</v>
      </c>
      <c r="D208" s="252" t="s">
        <v>448</v>
      </c>
      <c r="E208">
        <f t="shared" si="3"/>
        <v>68.5</v>
      </c>
    </row>
    <row r="209" spans="2:5" x14ac:dyDescent="0.3">
      <c r="B209" s="239">
        <v>45810</v>
      </c>
      <c r="C209" s="251">
        <v>1553.8</v>
      </c>
      <c r="D209" s="252" t="s">
        <v>526</v>
      </c>
      <c r="E209">
        <f t="shared" si="3"/>
        <v>43.7</v>
      </c>
    </row>
    <row r="210" spans="2:5" x14ac:dyDescent="0.3">
      <c r="B210" s="239">
        <v>45807</v>
      </c>
      <c r="C210" s="251">
        <v>1562.7</v>
      </c>
      <c r="D210" s="252" t="s">
        <v>1028</v>
      </c>
      <c r="E210">
        <f t="shared" si="3"/>
        <v>131.5</v>
      </c>
    </row>
    <row r="211" spans="2:5" x14ac:dyDescent="0.3">
      <c r="B211" s="239">
        <v>45806</v>
      </c>
      <c r="C211" s="251">
        <v>1585.6</v>
      </c>
      <c r="D211" s="252" t="s">
        <v>1027</v>
      </c>
      <c r="E211">
        <f t="shared" si="3"/>
        <v>86.1</v>
      </c>
    </row>
    <row r="212" spans="2:5" x14ac:dyDescent="0.3">
      <c r="B212" s="239">
        <v>45805</v>
      </c>
      <c r="C212" s="251">
        <v>1571.8</v>
      </c>
      <c r="D212" s="252" t="s">
        <v>981</v>
      </c>
      <c r="E212">
        <f t="shared" si="3"/>
        <v>36.200000000000003</v>
      </c>
    </row>
    <row r="213" spans="2:5" x14ac:dyDescent="0.3">
      <c r="B213" s="239">
        <v>45804</v>
      </c>
      <c r="C213" s="251">
        <v>1570.1</v>
      </c>
      <c r="D213" s="252" t="s">
        <v>1026</v>
      </c>
      <c r="E213">
        <f t="shared" si="3"/>
        <v>77.8</v>
      </c>
    </row>
    <row r="214" spans="2:5" x14ac:dyDescent="0.3">
      <c r="B214" s="239">
        <v>45803</v>
      </c>
      <c r="C214" s="251">
        <v>1580.5</v>
      </c>
      <c r="D214" s="252" t="s">
        <v>721</v>
      </c>
      <c r="E214">
        <f t="shared" si="3"/>
        <v>31.7</v>
      </c>
    </row>
    <row r="215" spans="2:5" x14ac:dyDescent="0.3">
      <c r="B215" s="239">
        <v>45800</v>
      </c>
      <c r="C215" s="251">
        <v>1564.8</v>
      </c>
      <c r="D215" s="252" t="s">
        <v>760</v>
      </c>
      <c r="E215">
        <f t="shared" si="3"/>
        <v>50.4</v>
      </c>
    </row>
    <row r="216" spans="2:5" x14ac:dyDescent="0.3">
      <c r="B216" s="239">
        <v>45799</v>
      </c>
      <c r="C216" s="251">
        <v>1547.5</v>
      </c>
      <c r="D216" s="252" t="s">
        <v>667</v>
      </c>
      <c r="E216">
        <f t="shared" si="3"/>
        <v>61.6</v>
      </c>
    </row>
    <row r="217" spans="2:5" x14ac:dyDescent="0.3">
      <c r="B217" s="239">
        <v>45798</v>
      </c>
      <c r="C217" s="251">
        <v>1568.5</v>
      </c>
      <c r="D217" s="252" t="s">
        <v>569</v>
      </c>
      <c r="E217">
        <f t="shared" si="3"/>
        <v>41.6</v>
      </c>
    </row>
    <row r="218" spans="2:5" x14ac:dyDescent="0.3">
      <c r="B218" s="239">
        <v>45797</v>
      </c>
      <c r="C218" s="251">
        <v>1560.6</v>
      </c>
      <c r="D218" s="252" t="s">
        <v>613</v>
      </c>
      <c r="E218">
        <f t="shared" si="3"/>
        <v>71.400000000000006</v>
      </c>
    </row>
    <row r="219" spans="2:5" x14ac:dyDescent="0.3">
      <c r="B219" s="239">
        <v>45796</v>
      </c>
      <c r="C219" s="251">
        <v>1559.8</v>
      </c>
      <c r="D219" s="252" t="s">
        <v>820</v>
      </c>
      <c r="E219">
        <f t="shared" si="3"/>
        <v>88.6</v>
      </c>
    </row>
    <row r="220" spans="2:5" x14ac:dyDescent="0.3">
      <c r="B220" s="239">
        <v>45793</v>
      </c>
      <c r="C220" s="251">
        <v>1589.9</v>
      </c>
      <c r="D220" s="252" t="s">
        <v>513</v>
      </c>
      <c r="E220">
        <f t="shared" si="3"/>
        <v>45.8</v>
      </c>
    </row>
    <row r="221" spans="2:5" x14ac:dyDescent="0.3">
      <c r="B221" s="239">
        <v>45792</v>
      </c>
      <c r="C221" s="251">
        <v>1613</v>
      </c>
      <c r="D221" s="252" t="s">
        <v>1025</v>
      </c>
      <c r="E221">
        <f t="shared" si="3"/>
        <v>111.5</v>
      </c>
    </row>
    <row r="222" spans="2:5" x14ac:dyDescent="0.3">
      <c r="B222" s="239">
        <v>45791</v>
      </c>
      <c r="C222" s="251">
        <v>1592.4</v>
      </c>
      <c r="D222" s="252" t="s">
        <v>1024</v>
      </c>
      <c r="E222">
        <f t="shared" si="3"/>
        <v>48.7</v>
      </c>
    </row>
    <row r="223" spans="2:5" x14ac:dyDescent="0.3">
      <c r="B223" s="239">
        <v>45790</v>
      </c>
      <c r="C223" s="251">
        <v>1568.6</v>
      </c>
      <c r="D223" s="252" t="s">
        <v>1023</v>
      </c>
      <c r="E223">
        <f t="shared" si="3"/>
        <v>128.5</v>
      </c>
    </row>
    <row r="224" spans="2:5" x14ac:dyDescent="0.3">
      <c r="B224" s="239">
        <v>45789</v>
      </c>
      <c r="C224" s="251">
        <v>1626.9</v>
      </c>
      <c r="D224" s="252" t="s">
        <v>942</v>
      </c>
      <c r="E224">
        <f t="shared" si="3"/>
        <v>113.7</v>
      </c>
    </row>
    <row r="225" spans="2:5" x14ac:dyDescent="0.3">
      <c r="B225" s="239">
        <v>45786</v>
      </c>
      <c r="C225" s="251">
        <v>1507.6</v>
      </c>
      <c r="D225" s="252" t="s">
        <v>553</v>
      </c>
      <c r="E225">
        <f t="shared" si="3"/>
        <v>44.8</v>
      </c>
    </row>
    <row r="226" spans="2:5" x14ac:dyDescent="0.3">
      <c r="B226" s="239">
        <v>45785</v>
      </c>
      <c r="C226" s="251">
        <v>1511.4</v>
      </c>
      <c r="D226" s="252" t="s">
        <v>1022</v>
      </c>
      <c r="E226">
        <f t="shared" si="3"/>
        <v>84.2</v>
      </c>
    </row>
    <row r="227" spans="2:5" x14ac:dyDescent="0.3">
      <c r="B227" s="239">
        <v>45784</v>
      </c>
      <c r="C227" s="251">
        <v>1508.3</v>
      </c>
      <c r="D227" s="252" t="s">
        <v>641</v>
      </c>
      <c r="E227">
        <f t="shared" si="3"/>
        <v>56.9</v>
      </c>
    </row>
    <row r="228" spans="2:5" x14ac:dyDescent="0.3">
      <c r="B228" s="239">
        <v>45783</v>
      </c>
      <c r="C228" s="251">
        <v>1511.5</v>
      </c>
      <c r="D228" s="252" t="s">
        <v>527</v>
      </c>
      <c r="E228">
        <f t="shared" si="3"/>
        <v>42.7</v>
      </c>
    </row>
    <row r="229" spans="2:5" x14ac:dyDescent="0.3">
      <c r="B229" s="239">
        <v>45782</v>
      </c>
      <c r="C229" s="251">
        <v>1508.6</v>
      </c>
      <c r="D229" s="252" t="s">
        <v>729</v>
      </c>
      <c r="E229">
        <f t="shared" si="3"/>
        <v>42.8</v>
      </c>
    </row>
    <row r="230" spans="2:5" x14ac:dyDescent="0.3">
      <c r="B230" s="239">
        <v>45779</v>
      </c>
      <c r="C230" s="251">
        <v>1506.8</v>
      </c>
      <c r="D230" s="252" t="s">
        <v>1021</v>
      </c>
      <c r="E230">
        <f t="shared" si="3"/>
        <v>87.3</v>
      </c>
    </row>
    <row r="231" spans="2:5" x14ac:dyDescent="0.3">
      <c r="B231" s="239">
        <v>45777</v>
      </c>
      <c r="C231" s="251">
        <v>1500.1</v>
      </c>
      <c r="D231" s="252" t="s">
        <v>1020</v>
      </c>
      <c r="E231">
        <f t="shared" si="3"/>
        <v>77</v>
      </c>
    </row>
    <row r="232" spans="2:5" x14ac:dyDescent="0.3">
      <c r="B232" s="239">
        <v>45776</v>
      </c>
      <c r="C232" s="251">
        <v>1497.5</v>
      </c>
      <c r="D232" s="252" t="s">
        <v>911</v>
      </c>
      <c r="E232">
        <f t="shared" si="3"/>
        <v>80.600000000000009</v>
      </c>
    </row>
    <row r="233" spans="2:5" x14ac:dyDescent="0.3">
      <c r="B233" s="239">
        <v>45775</v>
      </c>
      <c r="C233" s="251">
        <v>1482.1</v>
      </c>
      <c r="D233" s="252" t="s">
        <v>488</v>
      </c>
      <c r="E233">
        <f t="shared" si="3"/>
        <v>58.9</v>
      </c>
    </row>
    <row r="234" spans="2:5" x14ac:dyDescent="0.3">
      <c r="B234" s="239">
        <v>45772</v>
      </c>
      <c r="C234" s="251">
        <v>1480.2</v>
      </c>
      <c r="D234" s="252" t="s">
        <v>1019</v>
      </c>
      <c r="E234">
        <f t="shared" si="3"/>
        <v>83.3</v>
      </c>
    </row>
    <row r="235" spans="2:5" x14ac:dyDescent="0.3">
      <c r="B235" s="239">
        <v>45771</v>
      </c>
      <c r="C235" s="251">
        <v>1471.4</v>
      </c>
      <c r="D235" s="252" t="s">
        <v>940</v>
      </c>
      <c r="E235">
        <f t="shared" si="3"/>
        <v>71.099999999999994</v>
      </c>
    </row>
    <row r="236" spans="2:5" x14ac:dyDescent="0.3">
      <c r="B236" s="239">
        <v>45770</v>
      </c>
      <c r="C236" s="251">
        <v>1474.9</v>
      </c>
      <c r="D236" s="252" t="s">
        <v>1018</v>
      </c>
      <c r="E236">
        <f t="shared" si="3"/>
        <v>111.4</v>
      </c>
    </row>
    <row r="237" spans="2:5" x14ac:dyDescent="0.3">
      <c r="B237" s="239">
        <v>45769</v>
      </c>
      <c r="C237" s="251">
        <v>1422.8</v>
      </c>
      <c r="D237" s="252" t="s">
        <v>648</v>
      </c>
      <c r="E237">
        <f t="shared" si="3"/>
        <v>94</v>
      </c>
    </row>
    <row r="238" spans="2:5" x14ac:dyDescent="0.3">
      <c r="B238" s="239">
        <v>45768</v>
      </c>
      <c r="C238" s="251">
        <v>1451</v>
      </c>
      <c r="D238" s="252" t="s">
        <v>1017</v>
      </c>
      <c r="E238">
        <f t="shared" si="3"/>
        <v>156.5</v>
      </c>
    </row>
    <row r="239" spans="2:5" x14ac:dyDescent="0.3">
      <c r="B239" s="239">
        <v>45764</v>
      </c>
      <c r="C239" s="251">
        <v>1419.5</v>
      </c>
      <c r="D239" s="252" t="s">
        <v>1016</v>
      </c>
      <c r="E239">
        <f t="shared" si="3"/>
        <v>142.6</v>
      </c>
    </row>
    <row r="240" spans="2:5" x14ac:dyDescent="0.3">
      <c r="B240" s="239">
        <v>45763</v>
      </c>
      <c r="C240" s="251">
        <v>1413.1</v>
      </c>
      <c r="D240" s="252" t="s">
        <v>1015</v>
      </c>
      <c r="E240">
        <f t="shared" si="3"/>
        <v>120.2</v>
      </c>
    </row>
    <row r="241" spans="2:5" x14ac:dyDescent="0.3">
      <c r="B241" s="239">
        <v>45762</v>
      </c>
      <c r="C241" s="251">
        <v>1426</v>
      </c>
      <c r="D241" s="252" t="s">
        <v>1014</v>
      </c>
      <c r="E241">
        <f t="shared" si="3"/>
        <v>101.8</v>
      </c>
    </row>
    <row r="242" spans="2:5" x14ac:dyDescent="0.3">
      <c r="B242" s="239">
        <v>45758</v>
      </c>
      <c r="C242" s="251">
        <v>1409.45</v>
      </c>
      <c r="D242" s="252" t="s">
        <v>1013</v>
      </c>
      <c r="E242">
        <f t="shared" si="3"/>
        <v>125.7</v>
      </c>
    </row>
    <row r="243" spans="2:5" x14ac:dyDescent="0.3">
      <c r="B243" s="239">
        <v>45756</v>
      </c>
      <c r="C243" s="251">
        <v>1403.7</v>
      </c>
      <c r="D243" s="252" t="s">
        <v>855</v>
      </c>
      <c r="E243">
        <f t="shared" si="3"/>
        <v>85.5</v>
      </c>
    </row>
    <row r="244" spans="2:5" x14ac:dyDescent="0.3">
      <c r="B244" s="239">
        <v>45755</v>
      </c>
      <c r="C244" s="251">
        <v>1428.8</v>
      </c>
      <c r="D244" s="252" t="s">
        <v>1012</v>
      </c>
      <c r="E244">
        <f t="shared" si="3"/>
        <v>128.1</v>
      </c>
    </row>
    <row r="245" spans="2:5" x14ac:dyDescent="0.3">
      <c r="B245" s="239">
        <v>45754</v>
      </c>
      <c r="C245" s="251">
        <v>1396.75</v>
      </c>
      <c r="D245" s="252" t="s">
        <v>1011</v>
      </c>
      <c r="E245">
        <f t="shared" si="3"/>
        <v>217.2</v>
      </c>
    </row>
    <row r="246" spans="2:5" x14ac:dyDescent="0.3">
      <c r="B246" s="239">
        <v>45751</v>
      </c>
      <c r="C246" s="251">
        <v>1451.65</v>
      </c>
      <c r="D246" s="252" t="s">
        <v>1010</v>
      </c>
      <c r="E246">
        <f t="shared" si="3"/>
        <v>95.9</v>
      </c>
    </row>
    <row r="247" spans="2:5" x14ac:dyDescent="0.3">
      <c r="B247" s="239">
        <v>45750</v>
      </c>
      <c r="C247" s="251">
        <v>1496.5</v>
      </c>
      <c r="D247" s="252" t="s">
        <v>1009</v>
      </c>
      <c r="E247">
        <f t="shared" si="3"/>
        <v>104.6</v>
      </c>
    </row>
    <row r="248" spans="2:5" x14ac:dyDescent="0.3">
      <c r="B248" s="239">
        <v>45749</v>
      </c>
      <c r="C248" s="251">
        <v>1550.15</v>
      </c>
      <c r="D248" s="252" t="s">
        <v>502</v>
      </c>
      <c r="E248">
        <f t="shared" si="3"/>
        <v>61.9</v>
      </c>
    </row>
    <row r="249" spans="2:5" x14ac:dyDescent="0.3">
      <c r="B249" s="239">
        <v>45748</v>
      </c>
      <c r="C249" s="251">
        <v>1526.5</v>
      </c>
      <c r="D249" s="252" t="s">
        <v>1008</v>
      </c>
      <c r="E249">
        <f t="shared" si="3"/>
        <v>126.8</v>
      </c>
    </row>
    <row r="250" spans="2:5" x14ac:dyDescent="0.3">
      <c r="B250" s="239">
        <v>45744</v>
      </c>
      <c r="C250" s="251">
        <v>1570.65</v>
      </c>
      <c r="D250" s="252" t="s">
        <v>821</v>
      </c>
      <c r="E250">
        <f t="shared" si="3"/>
        <v>68</v>
      </c>
    </row>
    <row r="251" spans="2:5" x14ac:dyDescent="0.3">
      <c r="B251" s="239">
        <v>45743</v>
      </c>
      <c r="C251" s="251">
        <v>1603.55</v>
      </c>
      <c r="D251" s="252" t="s">
        <v>1007</v>
      </c>
      <c r="E251">
        <f t="shared" si="3"/>
        <v>94.3</v>
      </c>
    </row>
    <row r="252" spans="2:5" x14ac:dyDescent="0.3">
      <c r="B252" s="239">
        <v>45742</v>
      </c>
      <c r="C252" s="251">
        <v>1599.45</v>
      </c>
      <c r="D252" s="252" t="s">
        <v>1006</v>
      </c>
      <c r="E252">
        <f t="shared" si="3"/>
        <v>66.5</v>
      </c>
    </row>
    <row r="253" spans="2:5" x14ac:dyDescent="0.3">
      <c r="B253" s="239">
        <v>45741</v>
      </c>
      <c r="C253" s="251">
        <v>1628.45</v>
      </c>
      <c r="D253" s="252" t="s">
        <v>1005</v>
      </c>
      <c r="E253">
        <f t="shared" si="3"/>
        <v>98.9</v>
      </c>
    </row>
    <row r="254" spans="2:5" x14ac:dyDescent="0.3">
      <c r="B254" s="239">
        <v>45740</v>
      </c>
      <c r="C254" s="251">
        <v>1592.75</v>
      </c>
      <c r="D254" s="252" t="s">
        <v>820</v>
      </c>
      <c r="E254">
        <f t="shared" si="3"/>
        <v>88.6</v>
      </c>
    </row>
    <row r="255" spans="2:5" x14ac:dyDescent="0.3">
      <c r="B255" s="239">
        <v>45737</v>
      </c>
      <c r="C255" s="251">
        <v>1592.55</v>
      </c>
      <c r="D255" s="252" t="s">
        <v>1004</v>
      </c>
      <c r="E255">
        <f t="shared" si="3"/>
        <v>100.7</v>
      </c>
    </row>
    <row r="256" spans="2:5" x14ac:dyDescent="0.3">
      <c r="B256" s="239">
        <v>45736</v>
      </c>
      <c r="C256" s="251">
        <v>1615.55</v>
      </c>
      <c r="D256" s="252" t="s">
        <v>1003</v>
      </c>
      <c r="E256">
        <f t="shared" si="3"/>
        <v>71.900000000000006</v>
      </c>
    </row>
    <row r="257" spans="2:5" x14ac:dyDescent="0.3">
      <c r="B257" s="239">
        <v>45735</v>
      </c>
      <c r="C257" s="251">
        <v>1586.55</v>
      </c>
      <c r="D257" s="252" t="s">
        <v>1002</v>
      </c>
      <c r="E257">
        <f t="shared" si="3"/>
        <v>73.900000000000006</v>
      </c>
    </row>
    <row r="258" spans="2:5" x14ac:dyDescent="0.3">
      <c r="B258" s="239">
        <v>45734</v>
      </c>
      <c r="C258" s="251">
        <v>1609.35</v>
      </c>
      <c r="D258" s="252" t="s">
        <v>736</v>
      </c>
      <c r="E258">
        <f t="shared" si="3"/>
        <v>63</v>
      </c>
    </row>
    <row r="259" spans="2:5" x14ac:dyDescent="0.3">
      <c r="B259" s="239">
        <v>45733</v>
      </c>
      <c r="C259" s="251">
        <v>1590.05</v>
      </c>
      <c r="D259" s="252" t="s">
        <v>986</v>
      </c>
      <c r="E259">
        <f t="shared" ref="E259:E322" si="4">(VALUE(LEFT(D259,LEN(D259)-1)*1000000))/100000</f>
        <v>75.3</v>
      </c>
    </row>
    <row r="260" spans="2:5" x14ac:dyDescent="0.3">
      <c r="B260" s="239">
        <v>45729</v>
      </c>
      <c r="C260" s="251">
        <v>1579.85</v>
      </c>
      <c r="D260" s="252" t="s">
        <v>1001</v>
      </c>
      <c r="E260">
        <f t="shared" si="4"/>
        <v>78.2</v>
      </c>
    </row>
    <row r="261" spans="2:5" x14ac:dyDescent="0.3">
      <c r="B261" s="239">
        <v>45728</v>
      </c>
      <c r="C261" s="251">
        <v>1590.85</v>
      </c>
      <c r="D261" s="252" t="s">
        <v>1000</v>
      </c>
      <c r="E261">
        <f t="shared" si="4"/>
        <v>148.69999999999999</v>
      </c>
    </row>
    <row r="262" spans="2:5" x14ac:dyDescent="0.3">
      <c r="B262" s="239">
        <v>45727</v>
      </c>
      <c r="C262" s="251">
        <v>1661.6</v>
      </c>
      <c r="D262" s="252" t="s">
        <v>999</v>
      </c>
      <c r="E262">
        <f t="shared" si="4"/>
        <v>126.7</v>
      </c>
    </row>
    <row r="263" spans="2:5" x14ac:dyDescent="0.3">
      <c r="B263" s="239">
        <v>45726</v>
      </c>
      <c r="C263" s="251">
        <v>1701.45</v>
      </c>
      <c r="D263" s="252" t="s">
        <v>772</v>
      </c>
      <c r="E263">
        <f t="shared" si="4"/>
        <v>75.599999999999994</v>
      </c>
    </row>
    <row r="264" spans="2:5" x14ac:dyDescent="0.3">
      <c r="B264" s="239">
        <v>45723</v>
      </c>
      <c r="C264" s="251">
        <v>1686</v>
      </c>
      <c r="D264" s="252" t="s">
        <v>792</v>
      </c>
      <c r="E264">
        <f t="shared" si="4"/>
        <v>80.2</v>
      </c>
    </row>
    <row r="265" spans="2:5" x14ac:dyDescent="0.3">
      <c r="B265" s="239">
        <v>45722</v>
      </c>
      <c r="C265" s="251">
        <v>1715.85</v>
      </c>
      <c r="D265" s="252" t="s">
        <v>998</v>
      </c>
      <c r="E265">
        <f t="shared" si="4"/>
        <v>106.1</v>
      </c>
    </row>
    <row r="266" spans="2:5" x14ac:dyDescent="0.3">
      <c r="B266" s="239">
        <v>45721</v>
      </c>
      <c r="C266" s="251">
        <v>1711.5</v>
      </c>
      <c r="D266" s="252" t="s">
        <v>997</v>
      </c>
      <c r="E266">
        <f t="shared" si="4"/>
        <v>81.8</v>
      </c>
    </row>
    <row r="267" spans="2:5" x14ac:dyDescent="0.3">
      <c r="B267" s="239">
        <v>45720</v>
      </c>
      <c r="C267" s="251">
        <v>1688.3</v>
      </c>
      <c r="D267" s="252" t="s">
        <v>718</v>
      </c>
      <c r="E267">
        <f t="shared" si="4"/>
        <v>67.599999999999994</v>
      </c>
    </row>
    <row r="268" spans="2:5" x14ac:dyDescent="0.3">
      <c r="B268" s="239">
        <v>45719</v>
      </c>
      <c r="C268" s="251">
        <v>1708.6</v>
      </c>
      <c r="D268" s="252" t="s">
        <v>961</v>
      </c>
      <c r="E268">
        <f t="shared" si="4"/>
        <v>75</v>
      </c>
    </row>
    <row r="269" spans="2:5" x14ac:dyDescent="0.3">
      <c r="B269" s="239">
        <v>45716</v>
      </c>
      <c r="C269" s="251">
        <v>1687.7</v>
      </c>
      <c r="D269" s="252" t="s">
        <v>996</v>
      </c>
      <c r="E269">
        <f t="shared" si="4"/>
        <v>121.8</v>
      </c>
    </row>
    <row r="270" spans="2:5" x14ac:dyDescent="0.3">
      <c r="B270" s="239">
        <v>45715</v>
      </c>
      <c r="C270" s="251">
        <v>1764.3</v>
      </c>
      <c r="D270" s="252" t="s">
        <v>882</v>
      </c>
      <c r="E270">
        <f t="shared" si="4"/>
        <v>57.6</v>
      </c>
    </row>
    <row r="271" spans="2:5" x14ac:dyDescent="0.3">
      <c r="B271" s="239">
        <v>45713</v>
      </c>
      <c r="C271" s="251">
        <v>1767.7</v>
      </c>
      <c r="D271" s="252" t="s">
        <v>539</v>
      </c>
      <c r="E271">
        <f t="shared" si="4"/>
        <v>50.9</v>
      </c>
    </row>
    <row r="272" spans="2:5" x14ac:dyDescent="0.3">
      <c r="B272" s="239">
        <v>45712</v>
      </c>
      <c r="C272" s="251">
        <v>1764.1</v>
      </c>
      <c r="D272" s="252" t="s">
        <v>995</v>
      </c>
      <c r="E272">
        <f t="shared" si="4"/>
        <v>75.900000000000006</v>
      </c>
    </row>
    <row r="273" spans="2:5" x14ac:dyDescent="0.3">
      <c r="B273" s="239">
        <v>45709</v>
      </c>
      <c r="C273" s="251">
        <v>1815</v>
      </c>
      <c r="D273" s="252" t="s">
        <v>994</v>
      </c>
      <c r="E273">
        <f t="shared" si="4"/>
        <v>33.799999999999997</v>
      </c>
    </row>
    <row r="274" spans="2:5" x14ac:dyDescent="0.3">
      <c r="B274" s="239">
        <v>45708</v>
      </c>
      <c r="C274" s="251">
        <v>1825.15</v>
      </c>
      <c r="D274" s="252" t="s">
        <v>993</v>
      </c>
      <c r="E274">
        <f t="shared" si="4"/>
        <v>22.2</v>
      </c>
    </row>
    <row r="275" spans="2:5" x14ac:dyDescent="0.3">
      <c r="B275" s="239">
        <v>45707</v>
      </c>
      <c r="C275" s="251">
        <v>1810.8</v>
      </c>
      <c r="D275" s="252" t="s">
        <v>832</v>
      </c>
      <c r="E275">
        <f t="shared" si="4"/>
        <v>46.1</v>
      </c>
    </row>
    <row r="276" spans="2:5" x14ac:dyDescent="0.3">
      <c r="B276" s="239">
        <v>45706</v>
      </c>
      <c r="C276" s="251">
        <v>1851.95</v>
      </c>
      <c r="D276" s="252" t="s">
        <v>526</v>
      </c>
      <c r="E276">
        <f t="shared" si="4"/>
        <v>43.7</v>
      </c>
    </row>
    <row r="277" spans="2:5" x14ac:dyDescent="0.3">
      <c r="B277" s="239">
        <v>45705</v>
      </c>
      <c r="C277" s="251">
        <v>1842.3</v>
      </c>
      <c r="D277" s="252" t="s">
        <v>451</v>
      </c>
      <c r="E277">
        <f t="shared" si="4"/>
        <v>44.3</v>
      </c>
    </row>
    <row r="278" spans="2:5" x14ac:dyDescent="0.3">
      <c r="B278" s="239">
        <v>45702</v>
      </c>
      <c r="C278" s="251">
        <v>1856.4</v>
      </c>
      <c r="D278" s="252" t="s">
        <v>992</v>
      </c>
      <c r="E278">
        <f t="shared" si="4"/>
        <v>52.9</v>
      </c>
    </row>
    <row r="279" spans="2:5" x14ac:dyDescent="0.3">
      <c r="B279" s="239">
        <v>45701</v>
      </c>
      <c r="C279" s="251">
        <v>1843.25</v>
      </c>
      <c r="D279" s="252" t="s">
        <v>439</v>
      </c>
      <c r="E279">
        <f t="shared" si="4"/>
        <v>52.4</v>
      </c>
    </row>
    <row r="280" spans="2:5" x14ac:dyDescent="0.3">
      <c r="B280" s="239">
        <v>45700</v>
      </c>
      <c r="C280" s="251">
        <v>1863.15</v>
      </c>
      <c r="D280" s="252" t="s">
        <v>991</v>
      </c>
      <c r="E280">
        <f t="shared" si="4"/>
        <v>56.3</v>
      </c>
    </row>
    <row r="281" spans="2:5" x14ac:dyDescent="0.3">
      <c r="B281" s="239">
        <v>45699</v>
      </c>
      <c r="C281" s="251">
        <v>1875.65</v>
      </c>
      <c r="D281" s="252" t="s">
        <v>659</v>
      </c>
      <c r="E281">
        <f t="shared" si="4"/>
        <v>44.1</v>
      </c>
    </row>
    <row r="282" spans="2:5" x14ac:dyDescent="0.3">
      <c r="B282" s="239">
        <v>45698</v>
      </c>
      <c r="C282" s="251">
        <v>1880.3</v>
      </c>
      <c r="D282" s="252" t="s">
        <v>519</v>
      </c>
      <c r="E282">
        <f t="shared" si="4"/>
        <v>38.299999999999997</v>
      </c>
    </row>
    <row r="283" spans="2:5" x14ac:dyDescent="0.3">
      <c r="B283" s="239">
        <v>45695</v>
      </c>
      <c r="C283" s="251">
        <v>1903.65</v>
      </c>
      <c r="D283" s="252" t="s">
        <v>966</v>
      </c>
      <c r="E283">
        <f t="shared" si="4"/>
        <v>41.3</v>
      </c>
    </row>
    <row r="284" spans="2:5" x14ac:dyDescent="0.3">
      <c r="B284" s="239">
        <v>45694</v>
      </c>
      <c r="C284" s="251">
        <v>1915.65</v>
      </c>
      <c r="D284" s="252" t="s">
        <v>564</v>
      </c>
      <c r="E284">
        <f t="shared" si="4"/>
        <v>47.7</v>
      </c>
    </row>
    <row r="285" spans="2:5" x14ac:dyDescent="0.3">
      <c r="B285" s="239">
        <v>45693</v>
      </c>
      <c r="C285" s="251">
        <v>1897.05</v>
      </c>
      <c r="D285" s="252" t="s">
        <v>804</v>
      </c>
      <c r="E285">
        <f t="shared" si="4"/>
        <v>50</v>
      </c>
    </row>
    <row r="286" spans="2:5" x14ac:dyDescent="0.3">
      <c r="B286" s="239">
        <v>45692</v>
      </c>
      <c r="C286" s="251">
        <v>1898.8</v>
      </c>
      <c r="D286" s="252" t="s">
        <v>552</v>
      </c>
      <c r="E286">
        <f t="shared" si="4"/>
        <v>73.3</v>
      </c>
    </row>
    <row r="287" spans="2:5" x14ac:dyDescent="0.3">
      <c r="B287" s="239">
        <v>45691</v>
      </c>
      <c r="C287" s="251">
        <v>1863.3</v>
      </c>
      <c r="D287" s="252" t="s">
        <v>440</v>
      </c>
      <c r="E287">
        <f t="shared" si="4"/>
        <v>48.2</v>
      </c>
    </row>
    <row r="288" spans="2:5" x14ac:dyDescent="0.3">
      <c r="B288" s="239">
        <v>45689</v>
      </c>
      <c r="C288" s="251">
        <v>1851.35</v>
      </c>
      <c r="D288" s="252" t="s">
        <v>990</v>
      </c>
      <c r="E288">
        <f t="shared" si="4"/>
        <v>17</v>
      </c>
    </row>
    <row r="289" spans="2:5" x14ac:dyDescent="0.3">
      <c r="B289" s="239">
        <v>45688</v>
      </c>
      <c r="C289" s="251">
        <v>1879.8</v>
      </c>
      <c r="D289" s="252" t="s">
        <v>919</v>
      </c>
      <c r="E289">
        <f t="shared" si="4"/>
        <v>58.2</v>
      </c>
    </row>
    <row r="290" spans="2:5" x14ac:dyDescent="0.3">
      <c r="B290" s="239">
        <v>45687</v>
      </c>
      <c r="C290" s="251">
        <v>1859.95</v>
      </c>
      <c r="D290" s="252" t="s">
        <v>606</v>
      </c>
      <c r="E290">
        <f t="shared" si="4"/>
        <v>73.400000000000006</v>
      </c>
    </row>
    <row r="291" spans="2:5" x14ac:dyDescent="0.3">
      <c r="B291" s="239">
        <v>45686</v>
      </c>
      <c r="C291" s="251">
        <v>1881.25</v>
      </c>
      <c r="D291" s="252" t="s">
        <v>456</v>
      </c>
      <c r="E291">
        <f t="shared" si="4"/>
        <v>51.5</v>
      </c>
    </row>
    <row r="292" spans="2:5" x14ac:dyDescent="0.3">
      <c r="B292" s="239">
        <v>45685</v>
      </c>
      <c r="C292" s="251">
        <v>1829.75</v>
      </c>
      <c r="D292" s="252" t="s">
        <v>577</v>
      </c>
      <c r="E292">
        <f t="shared" si="4"/>
        <v>70</v>
      </c>
    </row>
    <row r="293" spans="2:5" x14ac:dyDescent="0.3">
      <c r="B293" s="239">
        <v>45684</v>
      </c>
      <c r="C293" s="251">
        <v>1822</v>
      </c>
      <c r="D293" s="252" t="s">
        <v>989</v>
      </c>
      <c r="E293">
        <f t="shared" si="4"/>
        <v>76.5</v>
      </c>
    </row>
    <row r="294" spans="2:5" x14ac:dyDescent="0.3">
      <c r="B294" s="239">
        <v>45681</v>
      </c>
      <c r="C294" s="251">
        <v>1875.45</v>
      </c>
      <c r="D294" s="252" t="s">
        <v>433</v>
      </c>
      <c r="E294">
        <f t="shared" si="4"/>
        <v>48.9</v>
      </c>
    </row>
    <row r="295" spans="2:5" x14ac:dyDescent="0.3">
      <c r="B295" s="239">
        <v>45680</v>
      </c>
      <c r="C295" s="251">
        <v>1865.45</v>
      </c>
      <c r="D295" s="252" t="s">
        <v>471</v>
      </c>
      <c r="E295">
        <f t="shared" si="4"/>
        <v>59.1</v>
      </c>
    </row>
    <row r="296" spans="2:5" x14ac:dyDescent="0.3">
      <c r="B296" s="239">
        <v>45679</v>
      </c>
      <c r="C296" s="251">
        <v>1856.45</v>
      </c>
      <c r="D296" s="252" t="s">
        <v>988</v>
      </c>
      <c r="E296">
        <f t="shared" si="4"/>
        <v>83.699999999999989</v>
      </c>
    </row>
    <row r="297" spans="2:5" x14ac:dyDescent="0.3">
      <c r="B297" s="239">
        <v>45678</v>
      </c>
      <c r="C297" s="251">
        <v>1800.7</v>
      </c>
      <c r="D297" s="252" t="s">
        <v>917</v>
      </c>
      <c r="E297">
        <f t="shared" si="4"/>
        <v>71.7</v>
      </c>
    </row>
    <row r="298" spans="2:5" x14ac:dyDescent="0.3">
      <c r="B298" s="239">
        <v>45677</v>
      </c>
      <c r="C298" s="251">
        <v>1813.3</v>
      </c>
      <c r="D298" s="252" t="s">
        <v>550</v>
      </c>
      <c r="E298">
        <f t="shared" si="4"/>
        <v>43.3</v>
      </c>
    </row>
    <row r="299" spans="2:5" x14ac:dyDescent="0.3">
      <c r="B299" s="239">
        <v>45674</v>
      </c>
      <c r="C299" s="251">
        <v>1815.45</v>
      </c>
      <c r="D299" s="252" t="s">
        <v>987</v>
      </c>
      <c r="E299">
        <f t="shared" si="4"/>
        <v>164.1</v>
      </c>
    </row>
    <row r="300" spans="2:5" x14ac:dyDescent="0.3">
      <c r="B300" s="239">
        <v>45673</v>
      </c>
      <c r="C300" s="251">
        <v>1928.45</v>
      </c>
      <c r="D300" s="252" t="s">
        <v>986</v>
      </c>
      <c r="E300">
        <f t="shared" si="4"/>
        <v>75.3</v>
      </c>
    </row>
    <row r="301" spans="2:5" x14ac:dyDescent="0.3">
      <c r="B301" s="239">
        <v>45672</v>
      </c>
      <c r="C301" s="251">
        <v>1949.65</v>
      </c>
      <c r="D301" s="252" t="s">
        <v>985</v>
      </c>
      <c r="E301">
        <f t="shared" si="4"/>
        <v>29.9</v>
      </c>
    </row>
    <row r="302" spans="2:5" x14ac:dyDescent="0.3">
      <c r="B302" s="239">
        <v>45671</v>
      </c>
      <c r="C302" s="251">
        <v>1940.05</v>
      </c>
      <c r="D302" s="252" t="s">
        <v>415</v>
      </c>
      <c r="E302">
        <f t="shared" si="4"/>
        <v>57.9</v>
      </c>
    </row>
    <row r="303" spans="2:5" x14ac:dyDescent="0.3">
      <c r="B303" s="239">
        <v>45670</v>
      </c>
      <c r="C303" s="251">
        <v>1962.2</v>
      </c>
      <c r="D303" s="252" t="s">
        <v>621</v>
      </c>
      <c r="E303">
        <f t="shared" si="4"/>
        <v>58</v>
      </c>
    </row>
    <row r="304" spans="2:5" x14ac:dyDescent="0.3">
      <c r="B304" s="239">
        <v>45667</v>
      </c>
      <c r="C304" s="251">
        <v>1966.95</v>
      </c>
      <c r="D304" s="252" t="s">
        <v>732</v>
      </c>
      <c r="E304">
        <f t="shared" si="4"/>
        <v>80.399999999999991</v>
      </c>
    </row>
    <row r="305" spans="2:5" x14ac:dyDescent="0.3">
      <c r="B305" s="239">
        <v>45666</v>
      </c>
      <c r="C305" s="251">
        <v>1917.3</v>
      </c>
      <c r="D305" s="252" t="s">
        <v>510</v>
      </c>
      <c r="E305">
        <f t="shared" si="4"/>
        <v>68.3</v>
      </c>
    </row>
    <row r="306" spans="2:5" x14ac:dyDescent="0.3">
      <c r="B306" s="239">
        <v>45665</v>
      </c>
      <c r="C306" s="251">
        <v>1933.15</v>
      </c>
      <c r="D306" s="252" t="s">
        <v>528</v>
      </c>
      <c r="E306">
        <f t="shared" si="4"/>
        <v>54.8</v>
      </c>
    </row>
    <row r="307" spans="2:5" x14ac:dyDescent="0.3">
      <c r="B307" s="239">
        <v>45664</v>
      </c>
      <c r="C307" s="251">
        <v>1930.85</v>
      </c>
      <c r="D307" s="252" t="s">
        <v>713</v>
      </c>
      <c r="E307">
        <f t="shared" si="4"/>
        <v>42.9</v>
      </c>
    </row>
    <row r="308" spans="2:5" x14ac:dyDescent="0.3">
      <c r="B308" s="239">
        <v>45663</v>
      </c>
      <c r="C308" s="251">
        <v>1937.85</v>
      </c>
      <c r="D308" s="252" t="s">
        <v>745</v>
      </c>
      <c r="E308">
        <f t="shared" si="4"/>
        <v>71.599999999999994</v>
      </c>
    </row>
    <row r="309" spans="2:5" x14ac:dyDescent="0.3">
      <c r="B309" s="239">
        <v>45660</v>
      </c>
      <c r="C309" s="251">
        <v>1938.75</v>
      </c>
      <c r="D309" s="252" t="s">
        <v>634</v>
      </c>
      <c r="E309">
        <f t="shared" si="4"/>
        <v>62.2</v>
      </c>
    </row>
    <row r="310" spans="2:5" x14ac:dyDescent="0.3">
      <c r="B310" s="239">
        <v>45659</v>
      </c>
      <c r="C310" s="251">
        <v>1957.85</v>
      </c>
      <c r="D310" s="252" t="s">
        <v>984</v>
      </c>
      <c r="E310">
        <f t="shared" si="4"/>
        <v>70.8</v>
      </c>
    </row>
    <row r="311" spans="2:5" x14ac:dyDescent="0.3">
      <c r="B311" s="239">
        <v>45658</v>
      </c>
      <c r="C311" s="251">
        <v>1882.5</v>
      </c>
      <c r="D311" s="252" t="s">
        <v>983</v>
      </c>
      <c r="E311">
        <f t="shared" si="4"/>
        <v>18.399999999999999</v>
      </c>
    </row>
    <row r="312" spans="2:5" x14ac:dyDescent="0.3">
      <c r="B312" s="239">
        <v>45657</v>
      </c>
      <c r="C312" s="251">
        <v>1880</v>
      </c>
      <c r="D312" s="252" t="s">
        <v>982</v>
      </c>
      <c r="E312">
        <f t="shared" si="4"/>
        <v>36.1</v>
      </c>
    </row>
    <row r="313" spans="2:5" x14ac:dyDescent="0.3">
      <c r="B313" s="239">
        <v>45656</v>
      </c>
      <c r="C313" s="251">
        <v>1906</v>
      </c>
      <c r="D313" s="252" t="s">
        <v>522</v>
      </c>
      <c r="E313">
        <f t="shared" si="4"/>
        <v>77.900000000000006</v>
      </c>
    </row>
    <row r="314" spans="2:5" x14ac:dyDescent="0.3">
      <c r="B314" s="239">
        <v>45653</v>
      </c>
      <c r="C314" s="251">
        <v>1916.75</v>
      </c>
      <c r="D314" s="252" t="s">
        <v>434</v>
      </c>
      <c r="E314">
        <f t="shared" si="4"/>
        <v>39.4</v>
      </c>
    </row>
    <row r="315" spans="2:5" x14ac:dyDescent="0.3">
      <c r="B315" s="239">
        <v>45652</v>
      </c>
      <c r="C315" s="251">
        <v>1907.4</v>
      </c>
      <c r="D315" s="252" t="s">
        <v>981</v>
      </c>
      <c r="E315">
        <f t="shared" si="4"/>
        <v>36.200000000000003</v>
      </c>
    </row>
    <row r="316" spans="2:5" x14ac:dyDescent="0.3">
      <c r="B316" s="239">
        <v>45650</v>
      </c>
      <c r="C316" s="251">
        <v>1909.05</v>
      </c>
      <c r="D316" s="252" t="s">
        <v>980</v>
      </c>
      <c r="E316">
        <f t="shared" si="4"/>
        <v>23.6</v>
      </c>
    </row>
    <row r="317" spans="2:5" x14ac:dyDescent="0.3">
      <c r="B317" s="239">
        <v>45649</v>
      </c>
      <c r="C317" s="251">
        <v>1924.3</v>
      </c>
      <c r="D317" s="252" t="s">
        <v>887</v>
      </c>
      <c r="E317">
        <f t="shared" si="4"/>
        <v>27.8</v>
      </c>
    </row>
    <row r="318" spans="2:5" x14ac:dyDescent="0.3">
      <c r="B318" s="239">
        <v>45646</v>
      </c>
      <c r="C318" s="251">
        <v>1922.15</v>
      </c>
      <c r="D318" s="252" t="s">
        <v>896</v>
      </c>
      <c r="E318">
        <f t="shared" si="4"/>
        <v>110.6</v>
      </c>
    </row>
    <row r="319" spans="2:5" x14ac:dyDescent="0.3">
      <c r="B319" s="239">
        <v>45645</v>
      </c>
      <c r="C319" s="251">
        <v>1946.2</v>
      </c>
      <c r="D319" s="252" t="s">
        <v>868</v>
      </c>
      <c r="E319">
        <f t="shared" si="4"/>
        <v>53.2</v>
      </c>
    </row>
    <row r="320" spans="2:5" x14ac:dyDescent="0.3">
      <c r="B320" s="239">
        <v>45644</v>
      </c>
      <c r="C320" s="251">
        <v>1979.15</v>
      </c>
      <c r="D320" s="252" t="s">
        <v>979</v>
      </c>
      <c r="E320">
        <f t="shared" si="4"/>
        <v>30.6</v>
      </c>
    </row>
    <row r="321" spans="2:5" x14ac:dyDescent="0.3">
      <c r="B321" s="239">
        <v>45643</v>
      </c>
      <c r="C321" s="251">
        <v>1976.6</v>
      </c>
      <c r="D321" s="252" t="s">
        <v>840</v>
      </c>
      <c r="E321">
        <f t="shared" si="4"/>
        <v>58.1</v>
      </c>
    </row>
    <row r="322" spans="2:5" x14ac:dyDescent="0.3">
      <c r="B322" s="239">
        <v>45642</v>
      </c>
      <c r="C322" s="251">
        <v>1980.05</v>
      </c>
      <c r="D322" s="252" t="s">
        <v>978</v>
      </c>
      <c r="E322">
        <f t="shared" si="4"/>
        <v>31.2</v>
      </c>
    </row>
    <row r="323" spans="2:5" x14ac:dyDescent="0.3">
      <c r="B323" s="239">
        <v>45639</v>
      </c>
      <c r="C323" s="251">
        <v>1999.7</v>
      </c>
      <c r="D323" s="252" t="s">
        <v>582</v>
      </c>
      <c r="E323">
        <f t="shared" ref="E323:E350" si="5">(VALUE(LEFT(D323,LEN(D323)-1)*1000000))/100000</f>
        <v>53.6</v>
      </c>
    </row>
    <row r="324" spans="2:5" x14ac:dyDescent="0.3">
      <c r="B324" s="239">
        <v>45638</v>
      </c>
      <c r="C324" s="251">
        <v>1987</v>
      </c>
      <c r="D324" s="252" t="s">
        <v>623</v>
      </c>
      <c r="E324">
        <f t="shared" si="5"/>
        <v>64.599999999999994</v>
      </c>
    </row>
    <row r="325" spans="2:5" x14ac:dyDescent="0.3">
      <c r="B325" s="239">
        <v>45637</v>
      </c>
      <c r="C325" s="251">
        <v>1974.15</v>
      </c>
      <c r="D325" s="252" t="s">
        <v>740</v>
      </c>
      <c r="E325">
        <f t="shared" si="5"/>
        <v>50.3</v>
      </c>
    </row>
    <row r="326" spans="2:5" x14ac:dyDescent="0.3">
      <c r="B326" s="239">
        <v>45636</v>
      </c>
      <c r="C326" s="251">
        <v>1948.55</v>
      </c>
      <c r="D326" s="252" t="s">
        <v>619</v>
      </c>
      <c r="E326">
        <f t="shared" si="5"/>
        <v>61.7</v>
      </c>
    </row>
    <row r="327" spans="2:5" x14ac:dyDescent="0.3">
      <c r="B327" s="239">
        <v>45635</v>
      </c>
      <c r="C327" s="251">
        <v>1923.65</v>
      </c>
      <c r="D327" s="252" t="s">
        <v>527</v>
      </c>
      <c r="E327">
        <f t="shared" si="5"/>
        <v>42.7</v>
      </c>
    </row>
    <row r="328" spans="2:5" x14ac:dyDescent="0.3">
      <c r="B328" s="239">
        <v>45632</v>
      </c>
      <c r="C328" s="251">
        <v>1922.4</v>
      </c>
      <c r="D328" s="252" t="s">
        <v>841</v>
      </c>
      <c r="E328">
        <f t="shared" si="5"/>
        <v>35.700000000000003</v>
      </c>
    </row>
    <row r="329" spans="2:5" x14ac:dyDescent="0.3">
      <c r="B329" s="239">
        <v>45631</v>
      </c>
      <c r="C329" s="251">
        <v>1934.85</v>
      </c>
      <c r="D329" s="252" t="s">
        <v>977</v>
      </c>
      <c r="E329">
        <f t="shared" si="5"/>
        <v>90.5</v>
      </c>
    </row>
    <row r="330" spans="2:5" x14ac:dyDescent="0.3">
      <c r="B330" s="239">
        <v>45630</v>
      </c>
      <c r="C330" s="251">
        <v>1889.25</v>
      </c>
      <c r="D330" s="252" t="s">
        <v>666</v>
      </c>
      <c r="E330">
        <f t="shared" si="5"/>
        <v>47.1</v>
      </c>
    </row>
    <row r="331" spans="2:5" x14ac:dyDescent="0.3">
      <c r="B331" s="239">
        <v>45629</v>
      </c>
      <c r="C331" s="251">
        <v>1892.1</v>
      </c>
      <c r="D331" s="252" t="s">
        <v>976</v>
      </c>
      <c r="E331">
        <f t="shared" si="5"/>
        <v>47.2</v>
      </c>
    </row>
    <row r="332" spans="2:5" x14ac:dyDescent="0.3">
      <c r="B332" s="239">
        <v>45628</v>
      </c>
      <c r="C332" s="251">
        <v>1879.8</v>
      </c>
      <c r="D332" s="252" t="s">
        <v>975</v>
      </c>
      <c r="E332">
        <f t="shared" si="5"/>
        <v>28.7</v>
      </c>
    </row>
    <row r="333" spans="2:5" x14ac:dyDescent="0.3">
      <c r="B333" s="239">
        <v>45625</v>
      </c>
      <c r="C333" s="251">
        <v>1857.85</v>
      </c>
      <c r="D333" s="252" t="s">
        <v>439</v>
      </c>
      <c r="E333">
        <f t="shared" si="5"/>
        <v>52.4</v>
      </c>
    </row>
    <row r="334" spans="2:5" x14ac:dyDescent="0.3">
      <c r="B334" s="239">
        <v>45624</v>
      </c>
      <c r="C334" s="251">
        <v>1856.65</v>
      </c>
      <c r="D334" s="252" t="s">
        <v>974</v>
      </c>
      <c r="E334">
        <f t="shared" si="5"/>
        <v>84.7</v>
      </c>
    </row>
    <row r="335" spans="2:5" x14ac:dyDescent="0.3">
      <c r="B335" s="239">
        <v>45623</v>
      </c>
      <c r="C335" s="251">
        <v>1924.5</v>
      </c>
      <c r="D335" s="252" t="s">
        <v>807</v>
      </c>
      <c r="E335">
        <f t="shared" si="5"/>
        <v>44.5</v>
      </c>
    </row>
    <row r="336" spans="2:5" x14ac:dyDescent="0.3">
      <c r="B336" s="239">
        <v>45622</v>
      </c>
      <c r="C336" s="251">
        <v>1924.15</v>
      </c>
      <c r="D336" s="252" t="s">
        <v>448</v>
      </c>
      <c r="E336">
        <f t="shared" si="5"/>
        <v>68.5</v>
      </c>
    </row>
    <row r="337" spans="2:5" x14ac:dyDescent="0.3">
      <c r="B337" s="239">
        <v>45621</v>
      </c>
      <c r="C337" s="251">
        <v>1889.7</v>
      </c>
      <c r="D337" s="252" t="s">
        <v>973</v>
      </c>
      <c r="E337">
        <f t="shared" si="5"/>
        <v>127.6</v>
      </c>
    </row>
    <row r="338" spans="2:5" x14ac:dyDescent="0.3">
      <c r="B338" s="239">
        <v>45618</v>
      </c>
      <c r="C338" s="251">
        <v>1902.25</v>
      </c>
      <c r="D338" s="252" t="s">
        <v>736</v>
      </c>
      <c r="E338">
        <f t="shared" si="5"/>
        <v>63</v>
      </c>
    </row>
    <row r="339" spans="2:5" x14ac:dyDescent="0.3">
      <c r="B339" s="239">
        <v>45617</v>
      </c>
      <c r="C339" s="251">
        <v>1834.05</v>
      </c>
      <c r="D339" s="252" t="s">
        <v>972</v>
      </c>
      <c r="E339">
        <f t="shared" si="5"/>
        <v>54.4</v>
      </c>
    </row>
    <row r="340" spans="2:5" x14ac:dyDescent="0.3">
      <c r="B340" s="239">
        <v>45615</v>
      </c>
      <c r="C340" s="251">
        <v>1824.75</v>
      </c>
      <c r="D340" s="252" t="s">
        <v>517</v>
      </c>
      <c r="E340">
        <f t="shared" si="5"/>
        <v>46.7</v>
      </c>
    </row>
    <row r="341" spans="2:5" x14ac:dyDescent="0.3">
      <c r="B341" s="239">
        <v>45614</v>
      </c>
      <c r="C341" s="251">
        <v>1811.45</v>
      </c>
      <c r="D341" s="252" t="s">
        <v>971</v>
      </c>
      <c r="E341">
        <f t="shared" si="5"/>
        <v>48.4</v>
      </c>
    </row>
    <row r="342" spans="2:5" x14ac:dyDescent="0.3">
      <c r="B342" s="239">
        <v>45610</v>
      </c>
      <c r="C342" s="251">
        <v>1864.55</v>
      </c>
      <c r="D342" s="252" t="s">
        <v>596</v>
      </c>
      <c r="E342">
        <f t="shared" si="5"/>
        <v>43.1</v>
      </c>
    </row>
    <row r="343" spans="2:5" x14ac:dyDescent="0.3">
      <c r="B343" s="239">
        <v>45609</v>
      </c>
      <c r="C343" s="251">
        <v>1868.4</v>
      </c>
      <c r="D343" s="252" t="s">
        <v>450</v>
      </c>
      <c r="E343">
        <f t="shared" si="5"/>
        <v>42.6</v>
      </c>
    </row>
    <row r="344" spans="2:5" x14ac:dyDescent="0.3">
      <c r="B344" s="239">
        <v>45608</v>
      </c>
      <c r="C344" s="251">
        <v>1868.8</v>
      </c>
      <c r="D344" s="252" t="s">
        <v>671</v>
      </c>
      <c r="E344">
        <f t="shared" si="5"/>
        <v>50.1</v>
      </c>
    </row>
    <row r="345" spans="2:5" x14ac:dyDescent="0.3">
      <c r="B345" s="239">
        <v>45607</v>
      </c>
      <c r="C345" s="251">
        <v>1860.1</v>
      </c>
      <c r="D345" s="252" t="s">
        <v>741</v>
      </c>
      <c r="E345">
        <f t="shared" si="5"/>
        <v>38</v>
      </c>
    </row>
    <row r="346" spans="2:5" x14ac:dyDescent="0.3">
      <c r="B346" s="239">
        <v>45604</v>
      </c>
      <c r="C346" s="251">
        <v>1829.95</v>
      </c>
      <c r="D346" s="252" t="s">
        <v>731</v>
      </c>
      <c r="E346">
        <f t="shared" si="5"/>
        <v>42.1</v>
      </c>
    </row>
    <row r="347" spans="2:5" x14ac:dyDescent="0.3">
      <c r="B347" s="239">
        <v>45603</v>
      </c>
      <c r="C347" s="251">
        <v>1803.05</v>
      </c>
      <c r="D347" s="252" t="s">
        <v>518</v>
      </c>
      <c r="E347">
        <f t="shared" si="5"/>
        <v>45.5</v>
      </c>
    </row>
    <row r="348" spans="2:5" x14ac:dyDescent="0.3">
      <c r="B348" s="239">
        <v>45602</v>
      </c>
      <c r="C348" s="251">
        <v>1823.7</v>
      </c>
      <c r="D348" s="252" t="s">
        <v>970</v>
      </c>
      <c r="E348">
        <f t="shared" si="5"/>
        <v>104.2</v>
      </c>
    </row>
    <row r="349" spans="2:5" x14ac:dyDescent="0.3">
      <c r="B349" s="239">
        <v>45601</v>
      </c>
      <c r="C349" s="251">
        <v>1754.2</v>
      </c>
      <c r="D349" s="252" t="s">
        <v>969</v>
      </c>
      <c r="E349">
        <f t="shared" si="5"/>
        <v>31.6</v>
      </c>
    </row>
    <row r="350" spans="2:5" x14ac:dyDescent="0.3">
      <c r="B350" s="239">
        <v>45600</v>
      </c>
      <c r="C350" s="251">
        <v>1763.65</v>
      </c>
      <c r="D350" s="252" t="s">
        <v>606</v>
      </c>
      <c r="E350">
        <f t="shared" si="5"/>
        <v>73.400000000000006</v>
      </c>
    </row>
    <row r="351" spans="2:5" x14ac:dyDescent="0.3">
      <c r="B351" s="239">
        <v>45597</v>
      </c>
      <c r="C351" s="251">
        <v>1760.85</v>
      </c>
      <c r="D351" s="252" t="s">
        <v>968</v>
      </c>
      <c r="E351">
        <f>(VALUE(LEFT(D351,LEN(D351)-1)*1000))/100000</f>
        <v>3.7197</v>
      </c>
    </row>
    <row r="352" spans="2:5" x14ac:dyDescent="0.3">
      <c r="B352" s="239">
        <v>45596</v>
      </c>
      <c r="C352" s="251">
        <v>1757.25</v>
      </c>
      <c r="D352" s="252" t="s">
        <v>678</v>
      </c>
      <c r="E352">
        <f t="shared" ref="E352:E383" si="6">(VALUE(LEFT(D352,LEN(D352)-1)*1000000))/100000</f>
        <v>74</v>
      </c>
    </row>
    <row r="353" spans="2:5" x14ac:dyDescent="0.3">
      <c r="B353" s="239">
        <v>45595</v>
      </c>
      <c r="C353" s="251">
        <v>1802.1</v>
      </c>
      <c r="D353" s="252" t="s">
        <v>748</v>
      </c>
      <c r="E353">
        <f t="shared" si="6"/>
        <v>59.2</v>
      </c>
    </row>
    <row r="354" spans="2:5" x14ac:dyDescent="0.3">
      <c r="B354" s="239">
        <v>45594</v>
      </c>
      <c r="C354" s="251">
        <v>1839.3</v>
      </c>
      <c r="D354" s="252" t="s">
        <v>575</v>
      </c>
      <c r="E354">
        <f t="shared" si="6"/>
        <v>46.2</v>
      </c>
    </row>
    <row r="355" spans="2:5" x14ac:dyDescent="0.3">
      <c r="B355" s="239">
        <v>45593</v>
      </c>
      <c r="C355" s="251">
        <v>1865.35</v>
      </c>
      <c r="D355" s="252" t="s">
        <v>672</v>
      </c>
      <c r="E355">
        <f t="shared" si="6"/>
        <v>70.2</v>
      </c>
    </row>
    <row r="356" spans="2:5" x14ac:dyDescent="0.3">
      <c r="B356" s="239">
        <v>45590</v>
      </c>
      <c r="C356" s="251">
        <v>1862.05</v>
      </c>
      <c r="D356" s="252" t="s">
        <v>489</v>
      </c>
      <c r="E356">
        <f t="shared" si="6"/>
        <v>46.9</v>
      </c>
    </row>
    <row r="357" spans="2:5" x14ac:dyDescent="0.3">
      <c r="B357" s="239">
        <v>45589</v>
      </c>
      <c r="C357" s="251">
        <v>1863.35</v>
      </c>
      <c r="D357" s="252" t="s">
        <v>967</v>
      </c>
      <c r="E357">
        <f t="shared" si="6"/>
        <v>29.1</v>
      </c>
    </row>
    <row r="358" spans="2:5" x14ac:dyDescent="0.3">
      <c r="B358" s="239">
        <v>45588</v>
      </c>
      <c r="C358" s="251">
        <v>1873.4</v>
      </c>
      <c r="D358" s="252" t="s">
        <v>596</v>
      </c>
      <c r="E358">
        <f t="shared" si="6"/>
        <v>43.1</v>
      </c>
    </row>
    <row r="359" spans="2:5" x14ac:dyDescent="0.3">
      <c r="B359" s="239">
        <v>45587</v>
      </c>
      <c r="C359" s="251">
        <v>1851.6</v>
      </c>
      <c r="D359" s="252" t="s">
        <v>966</v>
      </c>
      <c r="E359">
        <f t="shared" si="6"/>
        <v>41.3</v>
      </c>
    </row>
    <row r="360" spans="2:5" x14ac:dyDescent="0.3">
      <c r="B360" s="239">
        <v>45586</v>
      </c>
      <c r="C360" s="251">
        <v>1852.75</v>
      </c>
      <c r="D360" s="252" t="s">
        <v>652</v>
      </c>
      <c r="E360">
        <f t="shared" si="6"/>
        <v>46.5</v>
      </c>
    </row>
    <row r="361" spans="2:5" x14ac:dyDescent="0.3">
      <c r="B361" s="239">
        <v>45583</v>
      </c>
      <c r="C361" s="251">
        <v>1879.6</v>
      </c>
      <c r="D361" s="252" t="s">
        <v>965</v>
      </c>
      <c r="E361">
        <f t="shared" si="6"/>
        <v>105.3</v>
      </c>
    </row>
    <row r="362" spans="2:5" x14ac:dyDescent="0.3">
      <c r="B362" s="239">
        <v>45582</v>
      </c>
      <c r="C362" s="251">
        <v>1968.1</v>
      </c>
      <c r="D362" s="252" t="s">
        <v>964</v>
      </c>
      <c r="E362">
        <f t="shared" si="6"/>
        <v>81.599999999999994</v>
      </c>
    </row>
    <row r="363" spans="2:5" x14ac:dyDescent="0.3">
      <c r="B363" s="239">
        <v>45581</v>
      </c>
      <c r="C363" s="251">
        <v>1920.1</v>
      </c>
      <c r="D363" s="252" t="s">
        <v>858</v>
      </c>
      <c r="E363">
        <f t="shared" si="6"/>
        <v>31.1</v>
      </c>
    </row>
    <row r="364" spans="2:5" x14ac:dyDescent="0.3">
      <c r="B364" s="239">
        <v>45580</v>
      </c>
      <c r="C364" s="251">
        <v>1959.3</v>
      </c>
      <c r="D364" s="252" t="s">
        <v>568</v>
      </c>
      <c r="E364">
        <f t="shared" si="6"/>
        <v>53.5</v>
      </c>
    </row>
    <row r="365" spans="2:5" x14ac:dyDescent="0.3">
      <c r="B365" s="239">
        <v>45579</v>
      </c>
      <c r="C365" s="251">
        <v>1958.9</v>
      </c>
      <c r="D365" s="252" t="s">
        <v>496</v>
      </c>
      <c r="E365">
        <f t="shared" si="6"/>
        <v>37.5</v>
      </c>
    </row>
    <row r="366" spans="2:5" x14ac:dyDescent="0.3">
      <c r="B366" s="239">
        <v>45576</v>
      </c>
      <c r="C366" s="251">
        <v>1935.1</v>
      </c>
      <c r="D366" s="252" t="s">
        <v>666</v>
      </c>
      <c r="E366">
        <f t="shared" si="6"/>
        <v>47.1</v>
      </c>
    </row>
    <row r="367" spans="2:5" x14ac:dyDescent="0.3">
      <c r="B367" s="239">
        <v>45575</v>
      </c>
      <c r="C367" s="251">
        <v>1919</v>
      </c>
      <c r="D367" s="252" t="s">
        <v>546</v>
      </c>
      <c r="E367">
        <f t="shared" si="6"/>
        <v>47.8</v>
      </c>
    </row>
    <row r="368" spans="2:5" x14ac:dyDescent="0.3">
      <c r="B368" s="239">
        <v>45574</v>
      </c>
      <c r="C368" s="251">
        <v>1952.75</v>
      </c>
      <c r="D368" s="252" t="s">
        <v>739</v>
      </c>
      <c r="E368">
        <f t="shared" si="6"/>
        <v>48.6</v>
      </c>
    </row>
    <row r="369" spans="2:5" x14ac:dyDescent="0.3">
      <c r="B369" s="239">
        <v>45573</v>
      </c>
      <c r="C369" s="251">
        <v>1948.55</v>
      </c>
      <c r="D369" s="252" t="s">
        <v>963</v>
      </c>
      <c r="E369">
        <f t="shared" si="6"/>
        <v>56.4</v>
      </c>
    </row>
    <row r="370" spans="2:5" x14ac:dyDescent="0.3">
      <c r="B370" s="239">
        <v>45572</v>
      </c>
      <c r="C370" s="251">
        <v>1934.3</v>
      </c>
      <c r="D370" s="252" t="s">
        <v>657</v>
      </c>
      <c r="E370">
        <f t="shared" si="6"/>
        <v>61.1</v>
      </c>
    </row>
    <row r="371" spans="2:5" x14ac:dyDescent="0.3">
      <c r="B371" s="239">
        <v>45569</v>
      </c>
      <c r="C371" s="251">
        <v>1918.15</v>
      </c>
      <c r="D371" s="252" t="s">
        <v>962</v>
      </c>
      <c r="E371">
        <f t="shared" si="6"/>
        <v>100</v>
      </c>
    </row>
    <row r="372" spans="2:5" x14ac:dyDescent="0.3">
      <c r="B372" s="239">
        <v>45568</v>
      </c>
      <c r="C372" s="251">
        <v>1893.4</v>
      </c>
      <c r="D372" s="252" t="s">
        <v>961</v>
      </c>
      <c r="E372">
        <f t="shared" si="6"/>
        <v>75</v>
      </c>
    </row>
    <row r="373" spans="2:5" x14ac:dyDescent="0.3">
      <c r="B373" s="239">
        <v>45566</v>
      </c>
      <c r="C373" s="251">
        <v>1904.35</v>
      </c>
      <c r="D373" s="252" t="s">
        <v>960</v>
      </c>
      <c r="E373">
        <f t="shared" si="6"/>
        <v>40.300000000000004</v>
      </c>
    </row>
    <row r="374" spans="2:5" x14ac:dyDescent="0.3">
      <c r="B374" s="239">
        <v>45565</v>
      </c>
      <c r="C374" s="251">
        <v>1875.6</v>
      </c>
      <c r="D374" s="252" t="s">
        <v>650</v>
      </c>
      <c r="E374">
        <f t="shared" si="6"/>
        <v>69.900000000000006</v>
      </c>
    </row>
    <row r="375" spans="2:5" x14ac:dyDescent="0.3">
      <c r="B375" s="239">
        <v>45562</v>
      </c>
      <c r="C375" s="251">
        <v>1906.75</v>
      </c>
      <c r="D375" s="252" t="s">
        <v>959</v>
      </c>
      <c r="E375">
        <f t="shared" si="6"/>
        <v>149.1</v>
      </c>
    </row>
    <row r="376" spans="2:5" x14ac:dyDescent="0.3">
      <c r="B376" s="239">
        <v>45561</v>
      </c>
      <c r="C376" s="251">
        <v>1900.25</v>
      </c>
      <c r="D376" s="252" t="s">
        <v>958</v>
      </c>
      <c r="E376">
        <f t="shared" si="6"/>
        <v>89.5</v>
      </c>
    </row>
    <row r="377" spans="2:5" x14ac:dyDescent="0.3">
      <c r="B377" s="239">
        <v>45560</v>
      </c>
      <c r="C377" s="251">
        <v>1895.3</v>
      </c>
      <c r="D377" s="252" t="s">
        <v>527</v>
      </c>
      <c r="E377">
        <f t="shared" si="6"/>
        <v>42.7</v>
      </c>
    </row>
    <row r="378" spans="2:5" x14ac:dyDescent="0.3">
      <c r="B378" s="239">
        <v>45559</v>
      </c>
      <c r="C378" s="251">
        <v>1898.6</v>
      </c>
      <c r="D378" s="252" t="s">
        <v>901</v>
      </c>
      <c r="E378">
        <f t="shared" si="6"/>
        <v>72.8</v>
      </c>
    </row>
    <row r="379" spans="2:5" x14ac:dyDescent="0.3">
      <c r="B379" s="239">
        <v>45558</v>
      </c>
      <c r="C379" s="251">
        <v>1896.45</v>
      </c>
      <c r="D379" s="252" t="s">
        <v>428</v>
      </c>
      <c r="E379">
        <f t="shared" si="6"/>
        <v>36.4</v>
      </c>
    </row>
    <row r="380" spans="2:5" x14ac:dyDescent="0.3">
      <c r="B380" s="239">
        <v>45555</v>
      </c>
      <c r="C380" s="251">
        <v>1905.75</v>
      </c>
      <c r="D380" s="252" t="s">
        <v>957</v>
      </c>
      <c r="E380">
        <f t="shared" si="6"/>
        <v>152.4</v>
      </c>
    </row>
    <row r="381" spans="2:5" x14ac:dyDescent="0.3">
      <c r="B381" s="239">
        <v>45554</v>
      </c>
      <c r="C381" s="251">
        <v>1894.2</v>
      </c>
      <c r="D381" s="252" t="s">
        <v>757</v>
      </c>
      <c r="E381">
        <f t="shared" si="6"/>
        <v>79.8</v>
      </c>
    </row>
    <row r="382" spans="2:5" x14ac:dyDescent="0.3">
      <c r="B382" s="239">
        <v>45553</v>
      </c>
      <c r="C382" s="251">
        <v>1892.15</v>
      </c>
      <c r="D382" s="252" t="s">
        <v>890</v>
      </c>
      <c r="E382">
        <f t="shared" si="6"/>
        <v>63.9</v>
      </c>
    </row>
    <row r="383" spans="2:5" x14ac:dyDescent="0.3">
      <c r="B383" s="239">
        <v>45552</v>
      </c>
      <c r="C383" s="251">
        <v>1952.55</v>
      </c>
      <c r="D383" s="252" t="s">
        <v>765</v>
      </c>
      <c r="E383">
        <f t="shared" si="6"/>
        <v>27.9</v>
      </c>
    </row>
    <row r="384" spans="2:5" x14ac:dyDescent="0.3">
      <c r="B384" s="239">
        <v>45551</v>
      </c>
      <c r="C384" s="251">
        <v>1950.25</v>
      </c>
      <c r="D384" s="252" t="s">
        <v>956</v>
      </c>
      <c r="E384">
        <f t="shared" ref="E384:E415" si="7">(VALUE(LEFT(D384,LEN(D384)-1)*1000000))/100000</f>
        <v>15.7</v>
      </c>
    </row>
    <row r="385" spans="2:5" x14ac:dyDescent="0.3">
      <c r="B385" s="239">
        <v>45548</v>
      </c>
      <c r="C385" s="251">
        <v>1944.1</v>
      </c>
      <c r="D385" s="252" t="s">
        <v>955</v>
      </c>
      <c r="E385">
        <f t="shared" si="7"/>
        <v>38.4</v>
      </c>
    </row>
    <row r="386" spans="2:5" x14ac:dyDescent="0.3">
      <c r="B386" s="239">
        <v>45547</v>
      </c>
      <c r="C386" s="251">
        <v>1950.45</v>
      </c>
      <c r="D386" s="252" t="s">
        <v>424</v>
      </c>
      <c r="E386">
        <f t="shared" si="7"/>
        <v>85.6</v>
      </c>
    </row>
    <row r="387" spans="2:5" x14ac:dyDescent="0.3">
      <c r="B387" s="239">
        <v>45546</v>
      </c>
      <c r="C387" s="251">
        <v>1910.15</v>
      </c>
      <c r="D387" s="252" t="s">
        <v>954</v>
      </c>
      <c r="E387">
        <f t="shared" si="7"/>
        <v>53.1</v>
      </c>
    </row>
    <row r="388" spans="2:5" x14ac:dyDescent="0.3">
      <c r="B388" s="239">
        <v>45545</v>
      </c>
      <c r="C388" s="251">
        <v>1912.3</v>
      </c>
      <c r="D388" s="252" t="s">
        <v>523</v>
      </c>
      <c r="E388">
        <f t="shared" si="7"/>
        <v>69.099999999999994</v>
      </c>
    </row>
    <row r="389" spans="2:5" x14ac:dyDescent="0.3">
      <c r="B389" s="239">
        <v>45544</v>
      </c>
      <c r="C389" s="251">
        <v>1894.65</v>
      </c>
      <c r="D389" s="252" t="s">
        <v>564</v>
      </c>
      <c r="E389">
        <f t="shared" si="7"/>
        <v>47.7</v>
      </c>
    </row>
    <row r="390" spans="2:5" x14ac:dyDescent="0.3">
      <c r="B390" s="239">
        <v>45541</v>
      </c>
      <c r="C390" s="251">
        <v>1901.85</v>
      </c>
      <c r="D390" s="252" t="s">
        <v>953</v>
      </c>
      <c r="E390">
        <f t="shared" si="7"/>
        <v>58.5</v>
      </c>
    </row>
    <row r="391" spans="2:5" x14ac:dyDescent="0.3">
      <c r="B391" s="239">
        <v>45540</v>
      </c>
      <c r="C391" s="251">
        <v>1933.15</v>
      </c>
      <c r="D391" s="252" t="s">
        <v>952</v>
      </c>
      <c r="E391">
        <f t="shared" si="7"/>
        <v>40.799999999999997</v>
      </c>
    </row>
    <row r="392" spans="2:5" x14ac:dyDescent="0.3">
      <c r="B392" s="239">
        <v>45539</v>
      </c>
      <c r="C392" s="251">
        <v>1922.45</v>
      </c>
      <c r="D392" s="252" t="s">
        <v>546</v>
      </c>
      <c r="E392">
        <f t="shared" si="7"/>
        <v>47.8</v>
      </c>
    </row>
    <row r="393" spans="2:5" x14ac:dyDescent="0.3">
      <c r="B393" s="239">
        <v>45538</v>
      </c>
      <c r="C393" s="251">
        <v>1941.25</v>
      </c>
      <c r="D393" s="252" t="s">
        <v>489</v>
      </c>
      <c r="E393">
        <f t="shared" si="7"/>
        <v>46.9</v>
      </c>
    </row>
    <row r="394" spans="2:5" x14ac:dyDescent="0.3">
      <c r="B394" s="239">
        <v>45537</v>
      </c>
      <c r="C394" s="251">
        <v>1964.5</v>
      </c>
      <c r="D394" s="252" t="s">
        <v>951</v>
      </c>
      <c r="E394">
        <f t="shared" si="7"/>
        <v>55.7</v>
      </c>
    </row>
    <row r="395" spans="2:5" x14ac:dyDescent="0.3">
      <c r="B395" s="239">
        <v>45534</v>
      </c>
      <c r="C395" s="251">
        <v>1943.7</v>
      </c>
      <c r="D395" s="252" t="s">
        <v>950</v>
      </c>
      <c r="E395">
        <f t="shared" si="7"/>
        <v>134.69999999999999</v>
      </c>
    </row>
    <row r="396" spans="2:5" x14ac:dyDescent="0.3">
      <c r="B396" s="239">
        <v>45533</v>
      </c>
      <c r="C396" s="251">
        <v>1933.35</v>
      </c>
      <c r="D396" s="252" t="s">
        <v>949</v>
      </c>
      <c r="E396">
        <f t="shared" si="7"/>
        <v>72.3</v>
      </c>
    </row>
    <row r="397" spans="2:5" x14ac:dyDescent="0.3">
      <c r="B397" s="239">
        <v>45532</v>
      </c>
      <c r="C397" s="251">
        <v>1939.1</v>
      </c>
      <c r="D397" s="252" t="s">
        <v>948</v>
      </c>
      <c r="E397">
        <f t="shared" si="7"/>
        <v>65.099999999999994</v>
      </c>
    </row>
    <row r="398" spans="2:5" x14ac:dyDescent="0.3">
      <c r="B398" s="239">
        <v>45531</v>
      </c>
      <c r="C398" s="251">
        <v>1900.1</v>
      </c>
      <c r="D398" s="252" t="s">
        <v>519</v>
      </c>
      <c r="E398">
        <f t="shared" si="7"/>
        <v>38.299999999999997</v>
      </c>
    </row>
    <row r="399" spans="2:5" x14ac:dyDescent="0.3">
      <c r="B399" s="239">
        <v>45530</v>
      </c>
      <c r="C399" s="251">
        <v>1876.15</v>
      </c>
      <c r="D399" s="252" t="s">
        <v>825</v>
      </c>
      <c r="E399">
        <f t="shared" si="7"/>
        <v>37.299999999999997</v>
      </c>
    </row>
    <row r="400" spans="2:5" x14ac:dyDescent="0.3">
      <c r="B400" s="239">
        <v>45527</v>
      </c>
      <c r="C400" s="251">
        <v>1862.1</v>
      </c>
      <c r="D400" s="252" t="s">
        <v>441</v>
      </c>
      <c r="E400">
        <f t="shared" si="7"/>
        <v>50.2</v>
      </c>
    </row>
    <row r="401" spans="2:5" x14ac:dyDescent="0.3">
      <c r="B401" s="239">
        <v>45526</v>
      </c>
      <c r="C401" s="251">
        <v>1880.25</v>
      </c>
      <c r="D401" s="252" t="s">
        <v>827</v>
      </c>
      <c r="E401">
        <f t="shared" si="7"/>
        <v>43</v>
      </c>
    </row>
    <row r="402" spans="2:5" x14ac:dyDescent="0.3">
      <c r="B402" s="239">
        <v>45525</v>
      </c>
      <c r="C402" s="251">
        <v>1872.7</v>
      </c>
      <c r="D402" s="252" t="s">
        <v>947</v>
      </c>
      <c r="E402">
        <f t="shared" si="7"/>
        <v>19.7</v>
      </c>
    </row>
    <row r="403" spans="2:5" x14ac:dyDescent="0.3">
      <c r="B403" s="239">
        <v>45524</v>
      </c>
      <c r="C403" s="251">
        <v>1872.2</v>
      </c>
      <c r="D403" s="252" t="s">
        <v>597</v>
      </c>
      <c r="E403">
        <f t="shared" si="7"/>
        <v>38.700000000000003</v>
      </c>
    </row>
    <row r="404" spans="2:5" x14ac:dyDescent="0.3">
      <c r="B404" s="239">
        <v>45523</v>
      </c>
      <c r="C404" s="251">
        <v>1864.8</v>
      </c>
      <c r="D404" s="252" t="s">
        <v>946</v>
      </c>
      <c r="E404">
        <f t="shared" si="7"/>
        <v>25.9</v>
      </c>
    </row>
    <row r="405" spans="2:5" x14ac:dyDescent="0.3">
      <c r="B405" s="239">
        <v>45520</v>
      </c>
      <c r="C405" s="251">
        <v>1858.95</v>
      </c>
      <c r="D405" s="252" t="s">
        <v>606</v>
      </c>
      <c r="E405">
        <f t="shared" si="7"/>
        <v>73.400000000000006</v>
      </c>
    </row>
    <row r="406" spans="2:5" x14ac:dyDescent="0.3">
      <c r="B406" s="239">
        <v>45518</v>
      </c>
      <c r="C406" s="251">
        <v>1823.25</v>
      </c>
      <c r="D406" s="252" t="s">
        <v>516</v>
      </c>
      <c r="E406">
        <f t="shared" si="7"/>
        <v>74.5</v>
      </c>
    </row>
    <row r="407" spans="2:5" x14ac:dyDescent="0.3">
      <c r="B407" s="239">
        <v>45517</v>
      </c>
      <c r="C407" s="251">
        <v>1797.45</v>
      </c>
      <c r="D407" s="252" t="s">
        <v>487</v>
      </c>
      <c r="E407">
        <f t="shared" si="7"/>
        <v>41.8</v>
      </c>
    </row>
    <row r="408" spans="2:5" x14ac:dyDescent="0.3">
      <c r="B408" s="239">
        <v>45516</v>
      </c>
      <c r="C408" s="251">
        <v>1797.4</v>
      </c>
      <c r="D408" s="252" t="s">
        <v>945</v>
      </c>
      <c r="E408">
        <f t="shared" si="7"/>
        <v>43.2</v>
      </c>
    </row>
    <row r="409" spans="2:5" x14ac:dyDescent="0.3">
      <c r="B409" s="239">
        <v>45513</v>
      </c>
      <c r="C409" s="251">
        <v>1770.75</v>
      </c>
      <c r="D409" s="252" t="s">
        <v>450</v>
      </c>
      <c r="E409">
        <f t="shared" si="7"/>
        <v>42.6</v>
      </c>
    </row>
    <row r="410" spans="2:5" x14ac:dyDescent="0.3">
      <c r="B410" s="239">
        <v>45512</v>
      </c>
      <c r="C410" s="251">
        <v>1743.15</v>
      </c>
      <c r="D410" s="252" t="s">
        <v>491</v>
      </c>
      <c r="E410">
        <f t="shared" si="7"/>
        <v>62.3</v>
      </c>
    </row>
    <row r="411" spans="2:5" x14ac:dyDescent="0.3">
      <c r="B411" s="239">
        <v>45511</v>
      </c>
      <c r="C411" s="251">
        <v>1791.65</v>
      </c>
      <c r="D411" s="252" t="s">
        <v>539</v>
      </c>
      <c r="E411">
        <f t="shared" si="7"/>
        <v>50.9</v>
      </c>
    </row>
    <row r="412" spans="2:5" x14ac:dyDescent="0.3">
      <c r="B412" s="239">
        <v>45510</v>
      </c>
      <c r="C412" s="251">
        <v>1751.1</v>
      </c>
      <c r="D412" s="252" t="s">
        <v>584</v>
      </c>
      <c r="E412">
        <f t="shared" si="7"/>
        <v>76.900000000000006</v>
      </c>
    </row>
    <row r="413" spans="2:5" x14ac:dyDescent="0.3">
      <c r="B413" s="239">
        <v>45509</v>
      </c>
      <c r="C413" s="251">
        <v>1751.9</v>
      </c>
      <c r="D413" s="252" t="s">
        <v>944</v>
      </c>
      <c r="E413">
        <f t="shared" si="7"/>
        <v>107.4</v>
      </c>
    </row>
    <row r="414" spans="2:5" x14ac:dyDescent="0.3">
      <c r="B414" s="239">
        <v>45506</v>
      </c>
      <c r="C414" s="251">
        <v>1821.2</v>
      </c>
      <c r="D414" s="252" t="s">
        <v>678</v>
      </c>
      <c r="E414">
        <f t="shared" si="7"/>
        <v>74</v>
      </c>
    </row>
    <row r="415" spans="2:5" x14ac:dyDescent="0.3">
      <c r="B415" s="239">
        <v>45505</v>
      </c>
      <c r="C415" s="251">
        <v>1852.6</v>
      </c>
      <c r="D415" s="252" t="s">
        <v>943</v>
      </c>
      <c r="E415">
        <f t="shared" si="7"/>
        <v>74.8</v>
      </c>
    </row>
    <row r="416" spans="2:5" x14ac:dyDescent="0.3">
      <c r="B416" s="239">
        <v>45504</v>
      </c>
      <c r="C416" s="251">
        <v>1868.25</v>
      </c>
      <c r="D416" s="252" t="s">
        <v>804</v>
      </c>
      <c r="E416">
        <f t="shared" ref="E416:E447" si="8">(VALUE(LEFT(D416,LEN(D416)-1)*1000000))/100000</f>
        <v>50</v>
      </c>
    </row>
    <row r="417" spans="2:5" x14ac:dyDescent="0.3">
      <c r="B417" s="239">
        <v>45503</v>
      </c>
      <c r="C417" s="251">
        <v>1877.15</v>
      </c>
      <c r="D417" s="252" t="s">
        <v>763</v>
      </c>
      <c r="E417">
        <f t="shared" si="8"/>
        <v>27.2</v>
      </c>
    </row>
    <row r="418" spans="2:5" x14ac:dyDescent="0.3">
      <c r="B418" s="239">
        <v>45502</v>
      </c>
      <c r="C418" s="251">
        <v>1871.1</v>
      </c>
      <c r="D418" s="252" t="s">
        <v>685</v>
      </c>
      <c r="E418">
        <f t="shared" si="8"/>
        <v>46.4</v>
      </c>
    </row>
    <row r="419" spans="2:5" x14ac:dyDescent="0.3">
      <c r="B419" s="239">
        <v>45499</v>
      </c>
      <c r="C419" s="251">
        <v>1878.9</v>
      </c>
      <c r="D419" s="252" t="s">
        <v>942</v>
      </c>
      <c r="E419">
        <f t="shared" si="8"/>
        <v>113.7</v>
      </c>
    </row>
    <row r="420" spans="2:5" x14ac:dyDescent="0.3">
      <c r="B420" s="239">
        <v>45498</v>
      </c>
      <c r="C420" s="251">
        <v>1824.85</v>
      </c>
      <c r="D420" s="252" t="s">
        <v>919</v>
      </c>
      <c r="E420">
        <f t="shared" si="8"/>
        <v>58.2</v>
      </c>
    </row>
    <row r="421" spans="2:5" x14ac:dyDescent="0.3">
      <c r="B421" s="239">
        <v>45497</v>
      </c>
      <c r="C421" s="251">
        <v>1833.95</v>
      </c>
      <c r="D421" s="252" t="s">
        <v>941</v>
      </c>
      <c r="E421">
        <f t="shared" si="8"/>
        <v>60</v>
      </c>
    </row>
    <row r="422" spans="2:5" x14ac:dyDescent="0.3">
      <c r="B422" s="239">
        <v>45496</v>
      </c>
      <c r="C422" s="251">
        <v>1836.9</v>
      </c>
      <c r="D422" s="252" t="s">
        <v>940</v>
      </c>
      <c r="E422">
        <f t="shared" si="8"/>
        <v>71.099999999999994</v>
      </c>
    </row>
    <row r="423" spans="2:5" x14ac:dyDescent="0.3">
      <c r="B423" s="239">
        <v>45495</v>
      </c>
      <c r="C423" s="251">
        <v>1810.85</v>
      </c>
      <c r="D423" s="252" t="s">
        <v>939</v>
      </c>
      <c r="E423">
        <f t="shared" si="8"/>
        <v>84.6</v>
      </c>
    </row>
    <row r="424" spans="2:5" x14ac:dyDescent="0.3">
      <c r="B424" s="239">
        <v>45492</v>
      </c>
      <c r="C424" s="251">
        <v>1792.95</v>
      </c>
      <c r="D424" s="252" t="s">
        <v>938</v>
      </c>
      <c r="E424">
        <f t="shared" si="8"/>
        <v>298.2</v>
      </c>
    </row>
    <row r="425" spans="2:5" x14ac:dyDescent="0.3">
      <c r="B425" s="239">
        <v>45491</v>
      </c>
      <c r="C425" s="251">
        <v>1758.05</v>
      </c>
      <c r="D425" s="252" t="s">
        <v>937</v>
      </c>
      <c r="E425">
        <f t="shared" si="8"/>
        <v>112.5</v>
      </c>
    </row>
    <row r="426" spans="2:5" x14ac:dyDescent="0.3">
      <c r="B426" s="239">
        <v>45489</v>
      </c>
      <c r="C426" s="251">
        <v>1726.05</v>
      </c>
      <c r="D426" s="252" t="s">
        <v>796</v>
      </c>
      <c r="E426">
        <f t="shared" si="8"/>
        <v>68.900000000000006</v>
      </c>
    </row>
    <row r="427" spans="2:5" x14ac:dyDescent="0.3">
      <c r="B427" s="239">
        <v>45488</v>
      </c>
      <c r="C427" s="251">
        <v>1707.05</v>
      </c>
      <c r="D427" s="252" t="s">
        <v>782</v>
      </c>
      <c r="E427">
        <f t="shared" si="8"/>
        <v>69.400000000000006</v>
      </c>
    </row>
    <row r="428" spans="2:5" x14ac:dyDescent="0.3">
      <c r="B428" s="239">
        <v>45485</v>
      </c>
      <c r="C428" s="251">
        <v>1711.75</v>
      </c>
      <c r="D428" s="252" t="s">
        <v>936</v>
      </c>
      <c r="E428">
        <f t="shared" si="8"/>
        <v>170.8</v>
      </c>
    </row>
    <row r="429" spans="2:5" x14ac:dyDescent="0.3">
      <c r="B429" s="239">
        <v>45484</v>
      </c>
      <c r="C429" s="251">
        <v>1652.7</v>
      </c>
      <c r="D429" s="252" t="s">
        <v>820</v>
      </c>
      <c r="E429">
        <f t="shared" si="8"/>
        <v>88.6</v>
      </c>
    </row>
    <row r="430" spans="2:5" x14ac:dyDescent="0.3">
      <c r="B430" s="239">
        <v>45483</v>
      </c>
      <c r="C430" s="251">
        <v>1648.25</v>
      </c>
      <c r="D430" s="252" t="s">
        <v>935</v>
      </c>
      <c r="E430">
        <f t="shared" si="8"/>
        <v>98.5</v>
      </c>
    </row>
    <row r="431" spans="2:5" x14ac:dyDescent="0.3">
      <c r="B431" s="239">
        <v>45482</v>
      </c>
      <c r="C431" s="251">
        <v>1657.15</v>
      </c>
      <c r="D431" s="252" t="s">
        <v>555</v>
      </c>
      <c r="E431">
        <f t="shared" si="8"/>
        <v>51.9</v>
      </c>
    </row>
    <row r="432" spans="2:5" x14ac:dyDescent="0.3">
      <c r="B432" s="239">
        <v>45481</v>
      </c>
      <c r="C432" s="251">
        <v>1661.65</v>
      </c>
      <c r="D432" s="252" t="s">
        <v>416</v>
      </c>
      <c r="E432">
        <f t="shared" si="8"/>
        <v>58.8</v>
      </c>
    </row>
    <row r="433" spans="2:5" x14ac:dyDescent="0.3">
      <c r="B433" s="239">
        <v>45478</v>
      </c>
      <c r="C433" s="251">
        <v>1647.45</v>
      </c>
      <c r="D433" s="252" t="s">
        <v>633</v>
      </c>
      <c r="E433">
        <f t="shared" si="8"/>
        <v>70.7</v>
      </c>
    </row>
    <row r="434" spans="2:5" x14ac:dyDescent="0.3">
      <c r="B434" s="239">
        <v>45477</v>
      </c>
      <c r="C434" s="251">
        <v>1650.65</v>
      </c>
      <c r="D434" s="252" t="s">
        <v>934</v>
      </c>
      <c r="E434">
        <f t="shared" si="8"/>
        <v>80.099999999999994</v>
      </c>
    </row>
    <row r="435" spans="2:5" x14ac:dyDescent="0.3">
      <c r="B435" s="239">
        <v>45476</v>
      </c>
      <c r="C435" s="251">
        <v>1627.4</v>
      </c>
      <c r="D435" s="252" t="s">
        <v>673</v>
      </c>
      <c r="E435">
        <f t="shared" si="8"/>
        <v>72.7</v>
      </c>
    </row>
    <row r="436" spans="2:5" x14ac:dyDescent="0.3">
      <c r="B436" s="239">
        <v>45475</v>
      </c>
      <c r="C436" s="251">
        <v>1621.05</v>
      </c>
      <c r="D436" s="252" t="s">
        <v>640</v>
      </c>
      <c r="E436">
        <f t="shared" si="8"/>
        <v>104.9</v>
      </c>
    </row>
    <row r="437" spans="2:5" x14ac:dyDescent="0.3">
      <c r="B437" s="239">
        <v>45474</v>
      </c>
      <c r="C437" s="251">
        <v>1590.8</v>
      </c>
      <c r="D437" s="252" t="s">
        <v>821</v>
      </c>
      <c r="E437">
        <f t="shared" si="8"/>
        <v>68</v>
      </c>
    </row>
    <row r="438" spans="2:5" x14ac:dyDescent="0.3">
      <c r="B438" s="239">
        <v>45471</v>
      </c>
      <c r="C438" s="251">
        <v>1566.75</v>
      </c>
      <c r="D438" s="252" t="s">
        <v>933</v>
      </c>
      <c r="E438">
        <f t="shared" si="8"/>
        <v>81.999999999999986</v>
      </c>
    </row>
    <row r="439" spans="2:5" x14ac:dyDescent="0.3">
      <c r="B439" s="239">
        <v>45470</v>
      </c>
      <c r="C439" s="251">
        <v>1573.35</v>
      </c>
      <c r="D439" s="252" t="s">
        <v>932</v>
      </c>
      <c r="E439">
        <f t="shared" si="8"/>
        <v>147.6</v>
      </c>
    </row>
    <row r="440" spans="2:5" x14ac:dyDescent="0.3">
      <c r="B440" s="239">
        <v>45469</v>
      </c>
      <c r="C440" s="251">
        <v>1540.7</v>
      </c>
      <c r="D440" s="252" t="s">
        <v>806</v>
      </c>
      <c r="E440">
        <f t="shared" si="8"/>
        <v>48.5</v>
      </c>
    </row>
    <row r="441" spans="2:5" x14ac:dyDescent="0.3">
      <c r="B441" s="239">
        <v>45468</v>
      </c>
      <c r="C441" s="251">
        <v>1541.95</v>
      </c>
      <c r="D441" s="252" t="s">
        <v>518</v>
      </c>
      <c r="E441">
        <f t="shared" si="8"/>
        <v>45.5</v>
      </c>
    </row>
    <row r="442" spans="2:5" x14ac:dyDescent="0.3">
      <c r="B442" s="239">
        <v>45467</v>
      </c>
      <c r="C442" s="251">
        <v>1527.15</v>
      </c>
      <c r="D442" s="252" t="s">
        <v>556</v>
      </c>
      <c r="E442">
        <f t="shared" si="8"/>
        <v>55.6</v>
      </c>
    </row>
    <row r="443" spans="2:5" x14ac:dyDescent="0.3">
      <c r="B443" s="239">
        <v>45464</v>
      </c>
      <c r="C443" s="251">
        <v>1532.7</v>
      </c>
      <c r="D443" s="252" t="s">
        <v>931</v>
      </c>
      <c r="E443">
        <f t="shared" si="8"/>
        <v>173</v>
      </c>
    </row>
    <row r="444" spans="2:5" x14ac:dyDescent="0.3">
      <c r="B444" s="239">
        <v>45463</v>
      </c>
      <c r="C444" s="251">
        <v>1515.4</v>
      </c>
      <c r="D444" s="252" t="s">
        <v>930</v>
      </c>
      <c r="E444">
        <f t="shared" si="8"/>
        <v>79.3</v>
      </c>
    </row>
    <row r="445" spans="2:5" x14ac:dyDescent="0.3">
      <c r="B445" s="239">
        <v>45462</v>
      </c>
      <c r="C445" s="251">
        <v>1511.35</v>
      </c>
      <c r="D445" s="252" t="s">
        <v>696</v>
      </c>
      <c r="E445">
        <f t="shared" si="8"/>
        <v>54.9</v>
      </c>
    </row>
    <row r="446" spans="2:5" x14ac:dyDescent="0.3">
      <c r="B446" s="239">
        <v>45461</v>
      </c>
      <c r="C446" s="251">
        <v>1498.2</v>
      </c>
      <c r="D446" s="252" t="s">
        <v>495</v>
      </c>
      <c r="E446">
        <f t="shared" si="8"/>
        <v>54.2</v>
      </c>
    </row>
    <row r="447" spans="2:5" x14ac:dyDescent="0.3">
      <c r="B447" s="239">
        <v>45457</v>
      </c>
      <c r="C447" s="251">
        <v>1488.9</v>
      </c>
      <c r="D447" s="252" t="s">
        <v>929</v>
      </c>
      <c r="E447">
        <f t="shared" si="8"/>
        <v>42.4</v>
      </c>
    </row>
    <row r="448" spans="2:5" x14ac:dyDescent="0.3">
      <c r="B448" s="239">
        <v>45456</v>
      </c>
      <c r="C448" s="251">
        <v>1493.95</v>
      </c>
      <c r="D448" s="252" t="s">
        <v>928</v>
      </c>
      <c r="E448">
        <f t="shared" ref="E448:E465" si="9">(VALUE(LEFT(D448,LEN(D448)-1)*1000000))/100000</f>
        <v>73.099999999999994</v>
      </c>
    </row>
    <row r="449" spans="2:5" x14ac:dyDescent="0.3">
      <c r="B449" s="239">
        <v>45455</v>
      </c>
      <c r="C449" s="251">
        <v>1485.2</v>
      </c>
      <c r="D449" s="252" t="s">
        <v>927</v>
      </c>
      <c r="E449">
        <f t="shared" si="9"/>
        <v>95.6</v>
      </c>
    </row>
    <row r="450" spans="2:5" x14ac:dyDescent="0.3">
      <c r="B450" s="239">
        <v>45454</v>
      </c>
      <c r="C450" s="251">
        <v>1495.75</v>
      </c>
      <c r="D450" s="252" t="s">
        <v>806</v>
      </c>
      <c r="E450">
        <f t="shared" si="9"/>
        <v>48.5</v>
      </c>
    </row>
    <row r="451" spans="2:5" x14ac:dyDescent="0.3">
      <c r="B451" s="239">
        <v>45453</v>
      </c>
      <c r="C451" s="251">
        <v>1499.75</v>
      </c>
      <c r="D451" s="252" t="s">
        <v>791</v>
      </c>
      <c r="E451">
        <f t="shared" si="9"/>
        <v>68.099999999999994</v>
      </c>
    </row>
    <row r="452" spans="2:5" x14ac:dyDescent="0.3">
      <c r="B452" s="239">
        <v>45450</v>
      </c>
      <c r="C452" s="251">
        <v>1533.6</v>
      </c>
      <c r="D452" s="252" t="s">
        <v>926</v>
      </c>
      <c r="E452">
        <f t="shared" si="9"/>
        <v>240.8</v>
      </c>
    </row>
    <row r="453" spans="2:5" x14ac:dyDescent="0.3">
      <c r="B453" s="239">
        <v>45449</v>
      </c>
      <c r="C453" s="251">
        <v>1472.25</v>
      </c>
      <c r="D453" s="252" t="s">
        <v>925</v>
      </c>
      <c r="E453">
        <f t="shared" si="9"/>
        <v>126.6</v>
      </c>
    </row>
    <row r="454" spans="2:5" x14ac:dyDescent="0.3">
      <c r="B454" s="239">
        <v>45448</v>
      </c>
      <c r="C454" s="251">
        <v>1430.1</v>
      </c>
      <c r="D454" s="252" t="s">
        <v>924</v>
      </c>
      <c r="E454">
        <f t="shared" si="9"/>
        <v>92.3</v>
      </c>
    </row>
    <row r="455" spans="2:5" x14ac:dyDescent="0.3">
      <c r="B455" s="239">
        <v>45447</v>
      </c>
      <c r="C455" s="251">
        <v>1393.65</v>
      </c>
      <c r="D455" s="252" t="s">
        <v>923</v>
      </c>
      <c r="E455">
        <f t="shared" si="9"/>
        <v>137.4</v>
      </c>
    </row>
    <row r="456" spans="2:5" x14ac:dyDescent="0.3">
      <c r="B456" s="239">
        <v>45446</v>
      </c>
      <c r="C456" s="251">
        <v>1405.9</v>
      </c>
      <c r="D456" s="252" t="s">
        <v>922</v>
      </c>
      <c r="E456">
        <f t="shared" si="9"/>
        <v>105.9</v>
      </c>
    </row>
    <row r="457" spans="2:5" x14ac:dyDescent="0.3">
      <c r="B457" s="239">
        <v>45443</v>
      </c>
      <c r="C457" s="251">
        <v>1406.9</v>
      </c>
      <c r="D457" s="252" t="s">
        <v>921</v>
      </c>
      <c r="E457">
        <f t="shared" si="9"/>
        <v>371.1</v>
      </c>
    </row>
    <row r="458" spans="2:5" x14ac:dyDescent="0.3">
      <c r="B458" s="239">
        <v>45442</v>
      </c>
      <c r="C458" s="251">
        <v>1419.45</v>
      </c>
      <c r="D458" s="252" t="s">
        <v>920</v>
      </c>
      <c r="E458">
        <f t="shared" si="9"/>
        <v>96.6</v>
      </c>
    </row>
    <row r="459" spans="2:5" x14ac:dyDescent="0.3">
      <c r="B459" s="239">
        <v>45441</v>
      </c>
      <c r="C459" s="251">
        <v>1442.82</v>
      </c>
      <c r="D459" s="252" t="s">
        <v>678</v>
      </c>
      <c r="E459">
        <f t="shared" si="9"/>
        <v>74</v>
      </c>
    </row>
    <row r="460" spans="2:5" x14ac:dyDescent="0.3">
      <c r="B460" s="239">
        <v>45440</v>
      </c>
      <c r="C460" s="251">
        <v>1458.83</v>
      </c>
      <c r="D460" s="252" t="s">
        <v>502</v>
      </c>
      <c r="E460">
        <f t="shared" si="9"/>
        <v>61.9</v>
      </c>
    </row>
    <row r="461" spans="2:5" x14ac:dyDescent="0.3">
      <c r="B461" s="239">
        <v>45439</v>
      </c>
      <c r="C461" s="251">
        <v>1463.1</v>
      </c>
      <c r="D461" s="252" t="s">
        <v>919</v>
      </c>
      <c r="E461">
        <f t="shared" si="9"/>
        <v>58.2</v>
      </c>
    </row>
    <row r="462" spans="2:5" x14ac:dyDescent="0.3">
      <c r="B462" s="239">
        <v>45436</v>
      </c>
      <c r="C462" s="251">
        <v>1456.89</v>
      </c>
      <c r="D462" s="252" t="s">
        <v>727</v>
      </c>
      <c r="E462">
        <f t="shared" si="9"/>
        <v>52.8</v>
      </c>
    </row>
    <row r="463" spans="2:5" x14ac:dyDescent="0.3">
      <c r="B463" s="239">
        <v>45435</v>
      </c>
      <c r="C463" s="251">
        <v>1464.15</v>
      </c>
      <c r="D463" s="252" t="s">
        <v>918</v>
      </c>
      <c r="E463">
        <f t="shared" si="9"/>
        <v>86.4</v>
      </c>
    </row>
    <row r="464" spans="2:5" x14ac:dyDescent="0.3">
      <c r="B464" s="239">
        <v>45434</v>
      </c>
      <c r="C464" s="251">
        <v>1446.65</v>
      </c>
      <c r="D464" s="252" t="s">
        <v>917</v>
      </c>
      <c r="E464">
        <f t="shared" si="9"/>
        <v>71.7</v>
      </c>
    </row>
    <row r="465" spans="2:5" x14ac:dyDescent="0.3">
      <c r="B465" s="239">
        <v>45433</v>
      </c>
      <c r="C465" s="251">
        <v>1426.11</v>
      </c>
      <c r="D465" s="252" t="s">
        <v>557</v>
      </c>
      <c r="E465">
        <f t="shared" si="9"/>
        <v>67.5</v>
      </c>
    </row>
    <row r="466" spans="2:5" x14ac:dyDescent="0.3">
      <c r="B466" s="239">
        <v>45430</v>
      </c>
      <c r="C466" s="251">
        <v>1443.65</v>
      </c>
      <c r="D466" s="252" t="s">
        <v>916</v>
      </c>
      <c r="E466">
        <f>(VALUE(LEFT(D466,LEN(D466)-1)*1000))/100000</f>
        <v>3.1827999999999999</v>
      </c>
    </row>
    <row r="467" spans="2:5" x14ac:dyDescent="0.3">
      <c r="B467" s="239">
        <v>45429</v>
      </c>
      <c r="C467" s="251">
        <v>1436.21</v>
      </c>
      <c r="D467" s="252" t="s">
        <v>915</v>
      </c>
      <c r="E467">
        <f t="shared" ref="E467:E498" si="10">(VALUE(LEFT(D467,LEN(D467)-1)*1000000))/100000</f>
        <v>75.400000000000006</v>
      </c>
    </row>
    <row r="468" spans="2:5" x14ac:dyDescent="0.3">
      <c r="B468" s="239">
        <v>45428</v>
      </c>
      <c r="C468" s="251">
        <v>1445.2</v>
      </c>
      <c r="D468" s="252" t="s">
        <v>631</v>
      </c>
      <c r="E468">
        <f t="shared" si="10"/>
        <v>92.5</v>
      </c>
    </row>
    <row r="469" spans="2:5" x14ac:dyDescent="0.3">
      <c r="B469" s="239">
        <v>45427</v>
      </c>
      <c r="C469" s="251">
        <v>1411.99</v>
      </c>
      <c r="D469" s="252" t="s">
        <v>550</v>
      </c>
      <c r="E469">
        <f t="shared" si="10"/>
        <v>43.3</v>
      </c>
    </row>
    <row r="470" spans="2:5" x14ac:dyDescent="0.3">
      <c r="B470" s="239">
        <v>45426</v>
      </c>
      <c r="C470" s="251">
        <v>1416.72</v>
      </c>
      <c r="D470" s="252" t="s">
        <v>681</v>
      </c>
      <c r="E470">
        <f t="shared" si="10"/>
        <v>34.6</v>
      </c>
    </row>
    <row r="471" spans="2:5" x14ac:dyDescent="0.3">
      <c r="B471" s="239">
        <v>45425</v>
      </c>
      <c r="C471" s="251">
        <v>1415.47</v>
      </c>
      <c r="D471" s="252" t="s">
        <v>914</v>
      </c>
      <c r="E471">
        <f t="shared" si="10"/>
        <v>37.4</v>
      </c>
    </row>
    <row r="472" spans="2:5" x14ac:dyDescent="0.3">
      <c r="B472" s="239">
        <v>45422</v>
      </c>
      <c r="C472" s="251">
        <v>1416.92</v>
      </c>
      <c r="D472" s="252" t="s">
        <v>536</v>
      </c>
      <c r="E472">
        <f t="shared" si="10"/>
        <v>87.8</v>
      </c>
    </row>
    <row r="473" spans="2:5" x14ac:dyDescent="0.3">
      <c r="B473" s="239">
        <v>45421</v>
      </c>
      <c r="C473" s="251">
        <v>1431.48</v>
      </c>
      <c r="D473" s="252" t="s">
        <v>651</v>
      </c>
      <c r="E473">
        <f t="shared" si="10"/>
        <v>60.9</v>
      </c>
    </row>
    <row r="474" spans="2:5" x14ac:dyDescent="0.3">
      <c r="B474" s="239">
        <v>45420</v>
      </c>
      <c r="C474" s="251">
        <v>1419.3</v>
      </c>
      <c r="D474" s="252" t="s">
        <v>491</v>
      </c>
      <c r="E474">
        <f t="shared" si="10"/>
        <v>62.3</v>
      </c>
    </row>
    <row r="475" spans="2:5" x14ac:dyDescent="0.3">
      <c r="B475" s="239">
        <v>45419</v>
      </c>
      <c r="C475" s="251">
        <v>1432.88</v>
      </c>
      <c r="D475" s="252" t="s">
        <v>913</v>
      </c>
      <c r="E475">
        <f t="shared" si="10"/>
        <v>60.8</v>
      </c>
    </row>
    <row r="476" spans="2:5" x14ac:dyDescent="0.3">
      <c r="B476" s="239">
        <v>45418</v>
      </c>
      <c r="C476" s="251">
        <v>1417.91</v>
      </c>
      <c r="D476" s="252" t="s">
        <v>578</v>
      </c>
      <c r="E476">
        <f t="shared" si="10"/>
        <v>64.5</v>
      </c>
    </row>
    <row r="477" spans="2:5" x14ac:dyDescent="0.3">
      <c r="B477" s="239">
        <v>45415</v>
      </c>
      <c r="C477" s="251">
        <v>1408.36</v>
      </c>
      <c r="D477" s="252" t="s">
        <v>530</v>
      </c>
      <c r="E477">
        <f t="shared" si="10"/>
        <v>88.4</v>
      </c>
    </row>
    <row r="478" spans="2:5" x14ac:dyDescent="0.3">
      <c r="B478" s="239">
        <v>45414</v>
      </c>
      <c r="C478" s="251">
        <v>1406.52</v>
      </c>
      <c r="D478" s="252" t="s">
        <v>912</v>
      </c>
      <c r="E478">
        <f t="shared" si="10"/>
        <v>100.8</v>
      </c>
    </row>
    <row r="479" spans="2:5" x14ac:dyDescent="0.3">
      <c r="B479" s="239">
        <v>45412</v>
      </c>
      <c r="C479" s="251">
        <v>1412.59</v>
      </c>
      <c r="D479" s="252" t="s">
        <v>782</v>
      </c>
      <c r="E479">
        <f t="shared" si="10"/>
        <v>69.400000000000006</v>
      </c>
    </row>
    <row r="480" spans="2:5" x14ac:dyDescent="0.3">
      <c r="B480" s="239">
        <v>45411</v>
      </c>
      <c r="C480" s="251">
        <v>1426.71</v>
      </c>
      <c r="D480" s="252" t="s">
        <v>660</v>
      </c>
      <c r="E480">
        <f t="shared" si="10"/>
        <v>50.6</v>
      </c>
    </row>
    <row r="481" spans="2:5" x14ac:dyDescent="0.3">
      <c r="B481" s="239">
        <v>45408</v>
      </c>
      <c r="C481" s="251">
        <v>1422.23</v>
      </c>
      <c r="D481" s="252" t="s">
        <v>911</v>
      </c>
      <c r="E481">
        <f t="shared" si="10"/>
        <v>80.600000000000009</v>
      </c>
    </row>
    <row r="482" spans="2:5" x14ac:dyDescent="0.3">
      <c r="B482" s="239">
        <v>45407</v>
      </c>
      <c r="C482" s="251">
        <v>1430.39</v>
      </c>
      <c r="D482" s="252" t="s">
        <v>773</v>
      </c>
      <c r="E482">
        <f t="shared" si="10"/>
        <v>90.9</v>
      </c>
    </row>
    <row r="483" spans="2:5" x14ac:dyDescent="0.3">
      <c r="B483" s="239">
        <v>45406</v>
      </c>
      <c r="C483" s="251">
        <v>1422.73</v>
      </c>
      <c r="D483" s="252" t="s">
        <v>527</v>
      </c>
      <c r="E483">
        <f t="shared" si="10"/>
        <v>42.7</v>
      </c>
    </row>
    <row r="484" spans="2:5" x14ac:dyDescent="0.3">
      <c r="B484" s="239">
        <v>45405</v>
      </c>
      <c r="C484" s="251">
        <v>1434.32</v>
      </c>
      <c r="D484" s="252" t="s">
        <v>739</v>
      </c>
      <c r="E484">
        <f t="shared" si="10"/>
        <v>48.6</v>
      </c>
    </row>
    <row r="485" spans="2:5" x14ac:dyDescent="0.3">
      <c r="B485" s="239">
        <v>45404</v>
      </c>
      <c r="C485" s="251">
        <v>1424.72</v>
      </c>
      <c r="D485" s="252" t="s">
        <v>910</v>
      </c>
      <c r="E485">
        <f t="shared" si="10"/>
        <v>58.6</v>
      </c>
    </row>
    <row r="486" spans="2:5" x14ac:dyDescent="0.3">
      <c r="B486" s="239">
        <v>45401</v>
      </c>
      <c r="C486" s="251">
        <v>1403.34</v>
      </c>
      <c r="D486" s="252" t="s">
        <v>909</v>
      </c>
      <c r="E486">
        <f t="shared" si="10"/>
        <v>206</v>
      </c>
    </row>
    <row r="487" spans="2:5" x14ac:dyDescent="0.3">
      <c r="B487" s="239">
        <v>45400</v>
      </c>
      <c r="C487" s="251">
        <v>1411.3</v>
      </c>
      <c r="D487" s="252" t="s">
        <v>908</v>
      </c>
      <c r="E487">
        <f t="shared" si="10"/>
        <v>221.1</v>
      </c>
    </row>
    <row r="488" spans="2:5" x14ac:dyDescent="0.3">
      <c r="B488" s="239">
        <v>45398</v>
      </c>
      <c r="C488" s="251">
        <v>1406.52</v>
      </c>
      <c r="D488" s="252" t="s">
        <v>907</v>
      </c>
      <c r="E488">
        <f t="shared" si="10"/>
        <v>161.70000000000002</v>
      </c>
    </row>
    <row r="489" spans="2:5" x14ac:dyDescent="0.3">
      <c r="B489" s="239">
        <v>45397</v>
      </c>
      <c r="C489" s="251">
        <v>1459.92</v>
      </c>
      <c r="D489" s="252" t="s">
        <v>906</v>
      </c>
      <c r="E489">
        <f t="shared" si="10"/>
        <v>85.3</v>
      </c>
    </row>
    <row r="490" spans="2:5" x14ac:dyDescent="0.3">
      <c r="B490" s="239">
        <v>45394</v>
      </c>
      <c r="C490" s="251">
        <v>1476.43</v>
      </c>
      <c r="D490" s="252" t="s">
        <v>905</v>
      </c>
      <c r="E490">
        <f t="shared" si="10"/>
        <v>122.8</v>
      </c>
    </row>
    <row r="491" spans="2:5" x14ac:dyDescent="0.3">
      <c r="B491" s="239">
        <v>45392</v>
      </c>
      <c r="C491" s="251">
        <v>1498.36</v>
      </c>
      <c r="D491" s="252" t="s">
        <v>494</v>
      </c>
      <c r="E491">
        <f t="shared" si="10"/>
        <v>67.400000000000006</v>
      </c>
    </row>
    <row r="492" spans="2:5" x14ac:dyDescent="0.3">
      <c r="B492" s="239">
        <v>45391</v>
      </c>
      <c r="C492" s="251">
        <v>1486.47</v>
      </c>
      <c r="D492" s="252" t="s">
        <v>904</v>
      </c>
      <c r="E492">
        <f t="shared" si="10"/>
        <v>94.2</v>
      </c>
    </row>
    <row r="493" spans="2:5" x14ac:dyDescent="0.3">
      <c r="B493" s="239">
        <v>45390</v>
      </c>
      <c r="C493" s="251">
        <v>1468.43</v>
      </c>
      <c r="D493" s="252" t="s">
        <v>903</v>
      </c>
      <c r="E493">
        <f t="shared" si="10"/>
        <v>66.099999999999994</v>
      </c>
    </row>
    <row r="494" spans="2:5" x14ac:dyDescent="0.3">
      <c r="B494" s="239">
        <v>45387</v>
      </c>
      <c r="C494" s="251">
        <v>1470.81</v>
      </c>
      <c r="D494" s="252" t="s">
        <v>485</v>
      </c>
      <c r="E494">
        <f t="shared" si="10"/>
        <v>50.7</v>
      </c>
    </row>
    <row r="495" spans="2:5" x14ac:dyDescent="0.3">
      <c r="B495" s="239">
        <v>45386</v>
      </c>
      <c r="C495" s="251">
        <v>1478.37</v>
      </c>
      <c r="D495" s="252" t="s">
        <v>902</v>
      </c>
      <c r="E495">
        <f t="shared" si="10"/>
        <v>111.9</v>
      </c>
    </row>
    <row r="496" spans="2:5" x14ac:dyDescent="0.3">
      <c r="B496" s="239">
        <v>45385</v>
      </c>
      <c r="C496" s="251">
        <v>1472.35</v>
      </c>
      <c r="D496" s="252" t="s">
        <v>646</v>
      </c>
      <c r="E496">
        <f t="shared" si="10"/>
        <v>87.4</v>
      </c>
    </row>
    <row r="497" spans="2:5" x14ac:dyDescent="0.3">
      <c r="B497" s="239">
        <v>45384</v>
      </c>
      <c r="C497" s="251">
        <v>1474.54</v>
      </c>
      <c r="D497" s="252" t="s">
        <v>901</v>
      </c>
      <c r="E497">
        <f t="shared" si="10"/>
        <v>72.8</v>
      </c>
    </row>
    <row r="498" spans="2:5" x14ac:dyDescent="0.3">
      <c r="B498" s="239">
        <v>45383</v>
      </c>
      <c r="C498" s="251">
        <v>1487.07</v>
      </c>
      <c r="D498" s="252" t="s">
        <v>900</v>
      </c>
      <c r="E498">
        <f t="shared" si="10"/>
        <v>65.8</v>
      </c>
    </row>
    <row r="499" spans="2:5" x14ac:dyDescent="0.3">
      <c r="B499" s="239">
        <v>45379</v>
      </c>
      <c r="C499" s="251">
        <v>1489.66</v>
      </c>
      <c r="D499" s="252" t="s">
        <v>899</v>
      </c>
      <c r="E499">
        <f t="shared" ref="E499:E515" si="11">(VALUE(LEFT(D499,LEN(D499)-1)*1000000))/100000</f>
        <v>125</v>
      </c>
    </row>
    <row r="500" spans="2:5" x14ac:dyDescent="0.3">
      <c r="B500" s="239">
        <v>45378</v>
      </c>
      <c r="C500" s="251">
        <v>1475.54</v>
      </c>
      <c r="D500" s="252" t="s">
        <v>898</v>
      </c>
      <c r="E500">
        <f t="shared" si="11"/>
        <v>68.599999999999994</v>
      </c>
    </row>
    <row r="501" spans="2:5" x14ac:dyDescent="0.3">
      <c r="B501" s="239">
        <v>45377</v>
      </c>
      <c r="C501" s="251">
        <v>1484.29</v>
      </c>
      <c r="D501" s="252" t="s">
        <v>431</v>
      </c>
      <c r="E501">
        <f t="shared" si="11"/>
        <v>83.5</v>
      </c>
    </row>
    <row r="502" spans="2:5" x14ac:dyDescent="0.3">
      <c r="B502" s="239">
        <v>45373</v>
      </c>
      <c r="C502" s="251">
        <v>1500.39</v>
      </c>
      <c r="D502" s="252" t="s">
        <v>897</v>
      </c>
      <c r="E502">
        <f t="shared" si="11"/>
        <v>146.69999999999999</v>
      </c>
    </row>
    <row r="503" spans="2:5" x14ac:dyDescent="0.3">
      <c r="B503" s="239">
        <v>45372</v>
      </c>
      <c r="C503" s="251">
        <v>1545.99</v>
      </c>
      <c r="D503" s="252" t="s">
        <v>896</v>
      </c>
      <c r="E503">
        <f t="shared" si="11"/>
        <v>110.6</v>
      </c>
    </row>
    <row r="504" spans="2:5" x14ac:dyDescent="0.3">
      <c r="B504" s="239">
        <v>45371</v>
      </c>
      <c r="C504" s="251">
        <v>1546.24</v>
      </c>
      <c r="D504" s="252" t="s">
        <v>611</v>
      </c>
      <c r="E504">
        <f t="shared" si="11"/>
        <v>47.6</v>
      </c>
    </row>
    <row r="505" spans="2:5" x14ac:dyDescent="0.3">
      <c r="B505" s="239">
        <v>45370</v>
      </c>
      <c r="C505" s="251">
        <v>1552.7</v>
      </c>
      <c r="D505" s="252" t="s">
        <v>895</v>
      </c>
      <c r="E505">
        <f t="shared" si="11"/>
        <v>68.7</v>
      </c>
    </row>
    <row r="506" spans="2:5" x14ac:dyDescent="0.3">
      <c r="B506" s="239">
        <v>45369</v>
      </c>
      <c r="C506" s="251">
        <v>1593.67</v>
      </c>
      <c r="D506" s="252" t="s">
        <v>894</v>
      </c>
      <c r="E506">
        <f t="shared" si="11"/>
        <v>49.6</v>
      </c>
    </row>
    <row r="507" spans="2:5" x14ac:dyDescent="0.3">
      <c r="B507" s="239">
        <v>45366</v>
      </c>
      <c r="C507" s="251">
        <v>1624.84</v>
      </c>
      <c r="D507" s="252" t="s">
        <v>893</v>
      </c>
      <c r="E507">
        <f t="shared" si="11"/>
        <v>118.1</v>
      </c>
    </row>
    <row r="508" spans="2:5" x14ac:dyDescent="0.3">
      <c r="B508" s="239">
        <v>45365</v>
      </c>
      <c r="C508" s="251">
        <v>1644.04</v>
      </c>
      <c r="D508" s="252" t="s">
        <v>771</v>
      </c>
      <c r="E508">
        <f t="shared" si="11"/>
        <v>88</v>
      </c>
    </row>
    <row r="509" spans="2:5" x14ac:dyDescent="0.3">
      <c r="B509" s="239">
        <v>45364</v>
      </c>
      <c r="C509" s="251">
        <v>1602.37</v>
      </c>
      <c r="D509" s="252" t="s">
        <v>641</v>
      </c>
      <c r="E509">
        <f t="shared" si="11"/>
        <v>56.9</v>
      </c>
    </row>
    <row r="510" spans="2:5" x14ac:dyDescent="0.3">
      <c r="B510" s="239">
        <v>45363</v>
      </c>
      <c r="C510" s="251">
        <v>1603.91</v>
      </c>
      <c r="D510" s="252" t="s">
        <v>832</v>
      </c>
      <c r="E510">
        <f t="shared" si="11"/>
        <v>46.1</v>
      </c>
    </row>
    <row r="511" spans="2:5" x14ac:dyDescent="0.3">
      <c r="B511" s="239">
        <v>45362</v>
      </c>
      <c r="C511" s="251">
        <v>1591.63</v>
      </c>
      <c r="D511" s="252" t="s">
        <v>557</v>
      </c>
      <c r="E511">
        <f t="shared" si="11"/>
        <v>67.5</v>
      </c>
    </row>
    <row r="512" spans="2:5" x14ac:dyDescent="0.3">
      <c r="B512" s="239">
        <v>45358</v>
      </c>
      <c r="C512" s="251">
        <v>1607.39</v>
      </c>
      <c r="D512" s="252" t="s">
        <v>892</v>
      </c>
      <c r="E512">
        <f t="shared" si="11"/>
        <v>63.5</v>
      </c>
    </row>
    <row r="513" spans="2:5" x14ac:dyDescent="0.3">
      <c r="B513" s="239">
        <v>45357</v>
      </c>
      <c r="C513" s="251">
        <v>1608.48</v>
      </c>
      <c r="D513" s="252" t="s">
        <v>438</v>
      </c>
      <c r="E513">
        <f t="shared" si="11"/>
        <v>64.2</v>
      </c>
    </row>
    <row r="514" spans="2:5" x14ac:dyDescent="0.3">
      <c r="B514" s="239">
        <v>45356</v>
      </c>
      <c r="C514" s="251">
        <v>1597.5</v>
      </c>
      <c r="D514" s="252" t="s">
        <v>655</v>
      </c>
      <c r="E514">
        <f t="shared" si="11"/>
        <v>46</v>
      </c>
    </row>
    <row r="515" spans="2:5" x14ac:dyDescent="0.3">
      <c r="B515" s="239">
        <v>45355</v>
      </c>
      <c r="C515" s="251">
        <v>1628.03</v>
      </c>
      <c r="D515" s="252" t="s">
        <v>807</v>
      </c>
      <c r="E515">
        <f t="shared" si="11"/>
        <v>44.5</v>
      </c>
    </row>
    <row r="516" spans="2:5" x14ac:dyDescent="0.3">
      <c r="B516" s="239">
        <v>45353</v>
      </c>
      <c r="C516" s="251">
        <v>1656.3</v>
      </c>
      <c r="D516" s="252" t="s">
        <v>891</v>
      </c>
      <c r="E516">
        <f>(VALUE(LEFT(D516,LEN(D516)-1)*1000))/100000</f>
        <v>2.9215</v>
      </c>
    </row>
    <row r="517" spans="2:5" x14ac:dyDescent="0.3">
      <c r="B517" s="239">
        <v>45352</v>
      </c>
      <c r="C517" s="251">
        <v>1645.43</v>
      </c>
      <c r="D517" s="252" t="s">
        <v>890</v>
      </c>
      <c r="E517">
        <f t="shared" ref="E517:E548" si="12">(VALUE(LEFT(D517,LEN(D517)-1)*1000000))/100000</f>
        <v>63.9</v>
      </c>
    </row>
    <row r="518" spans="2:5" x14ac:dyDescent="0.3">
      <c r="B518" s="239">
        <v>45351</v>
      </c>
      <c r="C518" s="251">
        <v>1664.52</v>
      </c>
      <c r="D518" s="252" t="s">
        <v>889</v>
      </c>
      <c r="E518">
        <f t="shared" si="12"/>
        <v>78.099999999999994</v>
      </c>
    </row>
    <row r="519" spans="2:5" x14ac:dyDescent="0.3">
      <c r="B519" s="239">
        <v>45350</v>
      </c>
      <c r="C519" s="251">
        <v>1661.88</v>
      </c>
      <c r="D519" s="252" t="s">
        <v>859</v>
      </c>
      <c r="E519">
        <f t="shared" si="12"/>
        <v>31.9</v>
      </c>
    </row>
    <row r="520" spans="2:5" x14ac:dyDescent="0.3">
      <c r="B520" s="239">
        <v>45349</v>
      </c>
      <c r="C520" s="251">
        <v>1654.28</v>
      </c>
      <c r="D520" s="252" t="s">
        <v>888</v>
      </c>
      <c r="E520">
        <f t="shared" si="12"/>
        <v>51.6</v>
      </c>
    </row>
    <row r="521" spans="2:5" x14ac:dyDescent="0.3">
      <c r="B521" s="239">
        <v>45348</v>
      </c>
      <c r="C521" s="251">
        <v>1650.85</v>
      </c>
      <c r="D521" s="252" t="s">
        <v>887</v>
      </c>
      <c r="E521">
        <f t="shared" si="12"/>
        <v>27.8</v>
      </c>
    </row>
    <row r="522" spans="2:5" x14ac:dyDescent="0.3">
      <c r="B522" s="239">
        <v>45345</v>
      </c>
      <c r="C522" s="251">
        <v>1667.45</v>
      </c>
      <c r="D522" s="252" t="s">
        <v>795</v>
      </c>
      <c r="E522">
        <f t="shared" si="12"/>
        <v>53.7</v>
      </c>
    </row>
    <row r="523" spans="2:5" x14ac:dyDescent="0.3">
      <c r="B523" s="239">
        <v>45344</v>
      </c>
      <c r="C523" s="251">
        <v>1671.93</v>
      </c>
      <c r="D523" s="252" t="s">
        <v>668</v>
      </c>
      <c r="E523">
        <f t="shared" si="12"/>
        <v>58.4</v>
      </c>
    </row>
    <row r="524" spans="2:5" x14ac:dyDescent="0.3">
      <c r="B524" s="239">
        <v>45343</v>
      </c>
      <c r="C524" s="251">
        <v>1646.27</v>
      </c>
      <c r="D524" s="252" t="s">
        <v>827</v>
      </c>
      <c r="E524">
        <f t="shared" si="12"/>
        <v>43</v>
      </c>
    </row>
    <row r="525" spans="2:5" x14ac:dyDescent="0.3">
      <c r="B525" s="239">
        <v>45342</v>
      </c>
      <c r="C525" s="251">
        <v>1675.81</v>
      </c>
      <c r="D525" s="252" t="s">
        <v>886</v>
      </c>
      <c r="E525">
        <f t="shared" si="12"/>
        <v>37.1</v>
      </c>
    </row>
    <row r="526" spans="2:5" x14ac:dyDescent="0.3">
      <c r="B526" s="239">
        <v>45341</v>
      </c>
      <c r="C526" s="251">
        <v>1690.22</v>
      </c>
      <c r="D526" s="252" t="s">
        <v>586</v>
      </c>
      <c r="E526">
        <f t="shared" si="12"/>
        <v>36.9</v>
      </c>
    </row>
    <row r="527" spans="2:5" x14ac:dyDescent="0.3">
      <c r="B527" s="239">
        <v>45338</v>
      </c>
      <c r="C527" s="251">
        <v>1692.11</v>
      </c>
      <c r="D527" s="252" t="s">
        <v>429</v>
      </c>
      <c r="E527">
        <f t="shared" si="12"/>
        <v>48.8</v>
      </c>
    </row>
    <row r="528" spans="2:5" x14ac:dyDescent="0.3">
      <c r="B528" s="239">
        <v>45337</v>
      </c>
      <c r="C528" s="251">
        <v>1666.96</v>
      </c>
      <c r="D528" s="252" t="s">
        <v>579</v>
      </c>
      <c r="E528">
        <f t="shared" si="12"/>
        <v>48.3</v>
      </c>
    </row>
    <row r="529" spans="2:5" x14ac:dyDescent="0.3">
      <c r="B529" s="239">
        <v>45336</v>
      </c>
      <c r="C529" s="251">
        <v>1656.86</v>
      </c>
      <c r="D529" s="252" t="s">
        <v>885</v>
      </c>
      <c r="E529">
        <f t="shared" si="12"/>
        <v>37.700000000000003</v>
      </c>
    </row>
    <row r="530" spans="2:5" x14ac:dyDescent="0.3">
      <c r="B530" s="239">
        <v>45335</v>
      </c>
      <c r="C530" s="251">
        <v>1675.11</v>
      </c>
      <c r="D530" s="252" t="s">
        <v>884</v>
      </c>
      <c r="E530">
        <f t="shared" si="12"/>
        <v>27</v>
      </c>
    </row>
    <row r="531" spans="2:5" x14ac:dyDescent="0.3">
      <c r="B531" s="239">
        <v>45334</v>
      </c>
      <c r="C531" s="251">
        <v>1670.69</v>
      </c>
      <c r="D531" s="252" t="s">
        <v>682</v>
      </c>
      <c r="E531">
        <f t="shared" si="12"/>
        <v>35.6</v>
      </c>
    </row>
    <row r="532" spans="2:5" x14ac:dyDescent="0.3">
      <c r="B532" s="239">
        <v>45331</v>
      </c>
      <c r="C532" s="251">
        <v>1659.99</v>
      </c>
      <c r="D532" s="252" t="s">
        <v>655</v>
      </c>
      <c r="E532">
        <f t="shared" si="12"/>
        <v>46</v>
      </c>
    </row>
    <row r="533" spans="2:5" x14ac:dyDescent="0.3">
      <c r="B533" s="239">
        <v>45330</v>
      </c>
      <c r="C533" s="251">
        <v>1682.62</v>
      </c>
      <c r="D533" s="252" t="s">
        <v>748</v>
      </c>
      <c r="E533">
        <f t="shared" si="12"/>
        <v>59.2</v>
      </c>
    </row>
    <row r="534" spans="2:5" x14ac:dyDescent="0.3">
      <c r="B534" s="239">
        <v>45329</v>
      </c>
      <c r="C534" s="251">
        <v>1684.26</v>
      </c>
      <c r="D534" s="252" t="s">
        <v>832</v>
      </c>
      <c r="E534">
        <f t="shared" si="12"/>
        <v>46.1</v>
      </c>
    </row>
    <row r="535" spans="2:5" x14ac:dyDescent="0.3">
      <c r="B535" s="239">
        <v>45328</v>
      </c>
      <c r="C535" s="251">
        <v>1719.76</v>
      </c>
      <c r="D535" s="252" t="s">
        <v>584</v>
      </c>
      <c r="E535">
        <f t="shared" si="12"/>
        <v>76.900000000000006</v>
      </c>
    </row>
    <row r="536" spans="2:5" x14ac:dyDescent="0.3">
      <c r="B536" s="239">
        <v>45327</v>
      </c>
      <c r="C536" s="251">
        <v>1677.74</v>
      </c>
      <c r="D536" s="252" t="s">
        <v>883</v>
      </c>
      <c r="E536">
        <f t="shared" si="12"/>
        <v>36.299999999999997</v>
      </c>
    </row>
    <row r="537" spans="2:5" x14ac:dyDescent="0.3">
      <c r="B537" s="239">
        <v>45324</v>
      </c>
      <c r="C537" s="251">
        <v>1683.86</v>
      </c>
      <c r="D537" s="252" t="s">
        <v>580</v>
      </c>
      <c r="E537">
        <f t="shared" si="12"/>
        <v>78.599999999999994</v>
      </c>
    </row>
    <row r="538" spans="2:5" x14ac:dyDescent="0.3">
      <c r="B538" s="239">
        <v>45323</v>
      </c>
      <c r="C538" s="251">
        <v>1647.76</v>
      </c>
      <c r="D538" s="252" t="s">
        <v>882</v>
      </c>
      <c r="E538">
        <f t="shared" si="12"/>
        <v>57.6</v>
      </c>
    </row>
    <row r="539" spans="2:5" x14ac:dyDescent="0.3">
      <c r="B539" s="239">
        <v>45322</v>
      </c>
      <c r="C539" s="251">
        <v>1651.59</v>
      </c>
      <c r="D539" s="252" t="s">
        <v>718</v>
      </c>
      <c r="E539">
        <f t="shared" si="12"/>
        <v>67.599999999999994</v>
      </c>
    </row>
    <row r="540" spans="2:5" x14ac:dyDescent="0.3">
      <c r="B540" s="239">
        <v>45321</v>
      </c>
      <c r="C540" s="251">
        <v>1642.19</v>
      </c>
      <c r="D540" s="252" t="s">
        <v>804</v>
      </c>
      <c r="E540">
        <f t="shared" si="12"/>
        <v>50</v>
      </c>
    </row>
    <row r="541" spans="2:5" x14ac:dyDescent="0.3">
      <c r="B541" s="239">
        <v>45320</v>
      </c>
      <c r="C541" s="251">
        <v>1647.32</v>
      </c>
      <c r="D541" s="252" t="s">
        <v>594</v>
      </c>
      <c r="E541">
        <f t="shared" si="12"/>
        <v>42.5</v>
      </c>
    </row>
    <row r="542" spans="2:5" x14ac:dyDescent="0.3">
      <c r="B542" s="239">
        <v>45316</v>
      </c>
      <c r="C542" s="251">
        <v>1659.75</v>
      </c>
      <c r="D542" s="252" t="s">
        <v>881</v>
      </c>
      <c r="E542">
        <f t="shared" si="12"/>
        <v>88.7</v>
      </c>
    </row>
    <row r="543" spans="2:5" x14ac:dyDescent="0.3">
      <c r="B543" s="239">
        <v>45315</v>
      </c>
      <c r="C543" s="251">
        <v>1666.01</v>
      </c>
      <c r="D543" s="252" t="s">
        <v>880</v>
      </c>
      <c r="E543">
        <f t="shared" si="12"/>
        <v>90</v>
      </c>
    </row>
    <row r="544" spans="2:5" x14ac:dyDescent="0.3">
      <c r="B544" s="239">
        <v>45314</v>
      </c>
      <c r="C544" s="251">
        <v>1632.95</v>
      </c>
      <c r="D544" s="252" t="s">
        <v>648</v>
      </c>
      <c r="E544">
        <f t="shared" si="12"/>
        <v>94</v>
      </c>
    </row>
    <row r="545" spans="2:5" x14ac:dyDescent="0.3">
      <c r="B545" s="239">
        <v>45311</v>
      </c>
      <c r="C545" s="251">
        <v>1648.85</v>
      </c>
      <c r="D545" s="252" t="s">
        <v>879</v>
      </c>
      <c r="E545">
        <f t="shared" si="12"/>
        <v>11.6</v>
      </c>
    </row>
    <row r="546" spans="2:5" x14ac:dyDescent="0.3">
      <c r="B546" s="239">
        <v>45310</v>
      </c>
      <c r="C546" s="251">
        <v>1649.9</v>
      </c>
      <c r="D546" s="252" t="s">
        <v>674</v>
      </c>
      <c r="E546">
        <f t="shared" si="12"/>
        <v>45.2</v>
      </c>
    </row>
    <row r="547" spans="2:5" x14ac:dyDescent="0.3">
      <c r="B547" s="239">
        <v>45309</v>
      </c>
      <c r="C547" s="251">
        <v>1633.4</v>
      </c>
      <c r="D547" s="252" t="s">
        <v>878</v>
      </c>
      <c r="E547">
        <f t="shared" si="12"/>
        <v>63.8</v>
      </c>
    </row>
    <row r="548" spans="2:5" x14ac:dyDescent="0.3">
      <c r="B548" s="239">
        <v>45308</v>
      </c>
      <c r="C548" s="251">
        <v>1631.01</v>
      </c>
      <c r="D548" s="252" t="s">
        <v>877</v>
      </c>
      <c r="E548">
        <f t="shared" si="12"/>
        <v>92.1</v>
      </c>
    </row>
    <row r="549" spans="2:5" x14ac:dyDescent="0.3">
      <c r="B549" s="239">
        <v>45307</v>
      </c>
      <c r="C549" s="251">
        <v>1622.41</v>
      </c>
      <c r="D549" s="252" t="s">
        <v>749</v>
      </c>
      <c r="E549">
        <f t="shared" ref="E549:E580" si="13">(VALUE(LEFT(D549,LEN(D549)-1)*1000000))/100000</f>
        <v>65</v>
      </c>
    </row>
    <row r="550" spans="2:5" x14ac:dyDescent="0.3">
      <c r="B550" s="239">
        <v>45306</v>
      </c>
      <c r="C550" s="251">
        <v>1642.84</v>
      </c>
      <c r="D550" s="252" t="s">
        <v>876</v>
      </c>
      <c r="E550">
        <f t="shared" si="13"/>
        <v>132.30000000000001</v>
      </c>
    </row>
    <row r="551" spans="2:5" x14ac:dyDescent="0.3">
      <c r="B551" s="239">
        <v>45303</v>
      </c>
      <c r="C551" s="251">
        <v>1603.71</v>
      </c>
      <c r="D551" s="252" t="s">
        <v>875</v>
      </c>
      <c r="E551">
        <f t="shared" si="13"/>
        <v>267.5</v>
      </c>
    </row>
    <row r="552" spans="2:5" x14ac:dyDescent="0.3">
      <c r="B552" s="239">
        <v>45302</v>
      </c>
      <c r="C552" s="251">
        <v>1485.83</v>
      </c>
      <c r="D552" s="252" t="s">
        <v>874</v>
      </c>
      <c r="E552">
        <f t="shared" si="13"/>
        <v>113</v>
      </c>
    </row>
    <row r="553" spans="2:5" x14ac:dyDescent="0.3">
      <c r="B553" s="239">
        <v>45301</v>
      </c>
      <c r="C553" s="251">
        <v>1511.38</v>
      </c>
      <c r="D553" s="252" t="s">
        <v>447</v>
      </c>
      <c r="E553">
        <f t="shared" si="13"/>
        <v>40.999999999999993</v>
      </c>
    </row>
    <row r="554" spans="2:5" x14ac:dyDescent="0.3">
      <c r="B554" s="239">
        <v>45300</v>
      </c>
      <c r="C554" s="251">
        <v>1520.73</v>
      </c>
      <c r="D554" s="252" t="s">
        <v>659</v>
      </c>
      <c r="E554">
        <f t="shared" si="13"/>
        <v>44.1</v>
      </c>
    </row>
    <row r="555" spans="2:5" x14ac:dyDescent="0.3">
      <c r="B555" s="239">
        <v>45299</v>
      </c>
      <c r="C555" s="251">
        <v>1514.27</v>
      </c>
      <c r="D555" s="252" t="s">
        <v>443</v>
      </c>
      <c r="E555">
        <f t="shared" si="13"/>
        <v>44.4</v>
      </c>
    </row>
    <row r="556" spans="2:5" x14ac:dyDescent="0.3">
      <c r="B556" s="239">
        <v>45296</v>
      </c>
      <c r="C556" s="251">
        <v>1523.96</v>
      </c>
      <c r="D556" s="252" t="s">
        <v>873</v>
      </c>
      <c r="E556">
        <f t="shared" si="13"/>
        <v>89</v>
      </c>
    </row>
    <row r="557" spans="2:5" x14ac:dyDescent="0.3">
      <c r="B557" s="239">
        <v>45295</v>
      </c>
      <c r="C557" s="251">
        <v>1504.22</v>
      </c>
      <c r="D557" s="252" t="s">
        <v>742</v>
      </c>
      <c r="E557">
        <f t="shared" si="13"/>
        <v>70.599999999999994</v>
      </c>
    </row>
    <row r="558" spans="2:5" x14ac:dyDescent="0.3">
      <c r="B558" s="239">
        <v>45294</v>
      </c>
      <c r="C558" s="251">
        <v>1481.65</v>
      </c>
      <c r="D558" s="252" t="s">
        <v>598</v>
      </c>
      <c r="E558">
        <f t="shared" si="13"/>
        <v>75.5</v>
      </c>
    </row>
    <row r="559" spans="2:5" x14ac:dyDescent="0.3">
      <c r="B559" s="239">
        <v>45293</v>
      </c>
      <c r="C559" s="251">
        <v>1525.8</v>
      </c>
      <c r="D559" s="252" t="s">
        <v>462</v>
      </c>
      <c r="E559">
        <f t="shared" si="13"/>
        <v>54</v>
      </c>
    </row>
    <row r="560" spans="2:5" x14ac:dyDescent="0.3">
      <c r="B560" s="239">
        <v>45292</v>
      </c>
      <c r="C560" s="251">
        <v>1542.66</v>
      </c>
      <c r="D560" s="252" t="s">
        <v>872</v>
      </c>
      <c r="E560">
        <f t="shared" si="13"/>
        <v>28.1</v>
      </c>
    </row>
    <row r="561" spans="2:5" x14ac:dyDescent="0.3">
      <c r="B561" s="239">
        <v>45289</v>
      </c>
      <c r="C561" s="251">
        <v>1534.25</v>
      </c>
      <c r="D561" s="252" t="s">
        <v>871</v>
      </c>
      <c r="E561">
        <f t="shared" si="13"/>
        <v>43.9</v>
      </c>
    </row>
    <row r="562" spans="2:5" x14ac:dyDescent="0.3">
      <c r="B562" s="239">
        <v>45288</v>
      </c>
      <c r="C562" s="251">
        <v>1553.89</v>
      </c>
      <c r="D562" s="252" t="s">
        <v>870</v>
      </c>
      <c r="E562">
        <f t="shared" si="13"/>
        <v>57</v>
      </c>
    </row>
    <row r="563" spans="2:5" x14ac:dyDescent="0.3">
      <c r="B563" s="239">
        <v>45287</v>
      </c>
      <c r="C563" s="251">
        <v>1558.32</v>
      </c>
      <c r="D563" s="252" t="s">
        <v>446</v>
      </c>
      <c r="E563">
        <f t="shared" si="13"/>
        <v>42.3</v>
      </c>
    </row>
    <row r="564" spans="2:5" x14ac:dyDescent="0.3">
      <c r="B564" s="239">
        <v>45286</v>
      </c>
      <c r="C564" s="251">
        <v>1535.3</v>
      </c>
      <c r="D564" s="252" t="s">
        <v>869</v>
      </c>
      <c r="E564">
        <f t="shared" si="13"/>
        <v>68.8</v>
      </c>
    </row>
    <row r="565" spans="2:5" x14ac:dyDescent="0.3">
      <c r="B565" s="239">
        <v>45282</v>
      </c>
      <c r="C565" s="251">
        <v>1554.14</v>
      </c>
      <c r="D565" s="252" t="s">
        <v>494</v>
      </c>
      <c r="E565">
        <f t="shared" si="13"/>
        <v>67.400000000000006</v>
      </c>
    </row>
    <row r="566" spans="2:5" x14ac:dyDescent="0.3">
      <c r="B566" s="239">
        <v>45281</v>
      </c>
      <c r="C566" s="251">
        <v>1527.39</v>
      </c>
      <c r="D566" s="252" t="s">
        <v>868</v>
      </c>
      <c r="E566">
        <f t="shared" si="13"/>
        <v>53.2</v>
      </c>
    </row>
    <row r="567" spans="2:5" x14ac:dyDescent="0.3">
      <c r="B567" s="239">
        <v>45280</v>
      </c>
      <c r="C567" s="251">
        <v>1527.79</v>
      </c>
      <c r="D567" s="252" t="s">
        <v>638</v>
      </c>
      <c r="E567">
        <f t="shared" si="13"/>
        <v>65.900000000000006</v>
      </c>
    </row>
    <row r="568" spans="2:5" x14ac:dyDescent="0.3">
      <c r="B568" s="239">
        <v>45279</v>
      </c>
      <c r="C568" s="251">
        <v>1549.57</v>
      </c>
      <c r="D568" s="252" t="s">
        <v>838</v>
      </c>
      <c r="E568">
        <f t="shared" si="13"/>
        <v>42.2</v>
      </c>
    </row>
    <row r="569" spans="2:5" x14ac:dyDescent="0.3">
      <c r="B569" s="239">
        <v>45278</v>
      </c>
      <c r="C569" s="251">
        <v>1555.58</v>
      </c>
      <c r="D569" s="252" t="s">
        <v>867</v>
      </c>
      <c r="E569">
        <f t="shared" si="13"/>
        <v>64.7</v>
      </c>
    </row>
    <row r="570" spans="2:5" x14ac:dyDescent="0.3">
      <c r="B570" s="239">
        <v>45275</v>
      </c>
      <c r="C570" s="251">
        <v>1569.56</v>
      </c>
      <c r="D570" s="252" t="s">
        <v>866</v>
      </c>
      <c r="E570">
        <f t="shared" si="13"/>
        <v>184</v>
      </c>
    </row>
    <row r="571" spans="2:5" x14ac:dyDescent="0.3">
      <c r="B571" s="239">
        <v>45274</v>
      </c>
      <c r="C571" s="251">
        <v>1493.04</v>
      </c>
      <c r="D571" s="252" t="s">
        <v>865</v>
      </c>
      <c r="E571">
        <f t="shared" si="13"/>
        <v>124.9</v>
      </c>
    </row>
    <row r="572" spans="2:5" x14ac:dyDescent="0.3">
      <c r="B572" s="239">
        <v>45273</v>
      </c>
      <c r="C572" s="251">
        <v>1440.88</v>
      </c>
      <c r="D572" s="252" t="s">
        <v>855</v>
      </c>
      <c r="E572">
        <f t="shared" si="13"/>
        <v>85.5</v>
      </c>
    </row>
    <row r="573" spans="2:5" x14ac:dyDescent="0.3">
      <c r="B573" s="239">
        <v>45272</v>
      </c>
      <c r="C573" s="251">
        <v>1467.78</v>
      </c>
      <c r="D573" s="252" t="s">
        <v>864</v>
      </c>
      <c r="E573">
        <f t="shared" si="13"/>
        <v>61</v>
      </c>
    </row>
    <row r="574" spans="2:5" x14ac:dyDescent="0.3">
      <c r="B574" s="239">
        <v>45271</v>
      </c>
      <c r="C574" s="251">
        <v>1480.16</v>
      </c>
      <c r="D574" s="252" t="s">
        <v>839</v>
      </c>
      <c r="E574">
        <f t="shared" si="13"/>
        <v>38.6</v>
      </c>
    </row>
    <row r="575" spans="2:5" x14ac:dyDescent="0.3">
      <c r="B575" s="239">
        <v>45268</v>
      </c>
      <c r="C575" s="251">
        <v>1482.79</v>
      </c>
      <c r="D575" s="252" t="s">
        <v>863</v>
      </c>
      <c r="E575">
        <f t="shared" si="13"/>
        <v>63.2</v>
      </c>
    </row>
    <row r="576" spans="2:5" x14ac:dyDescent="0.3">
      <c r="B576" s="239">
        <v>45267</v>
      </c>
      <c r="C576" s="251">
        <v>1457.69</v>
      </c>
      <c r="D576" s="252" t="s">
        <v>680</v>
      </c>
      <c r="E576">
        <f t="shared" si="13"/>
        <v>44.2</v>
      </c>
    </row>
    <row r="577" spans="2:5" x14ac:dyDescent="0.3">
      <c r="B577" s="239">
        <v>45266</v>
      </c>
      <c r="C577" s="251">
        <v>1466.04</v>
      </c>
      <c r="D577" s="252" t="s">
        <v>710</v>
      </c>
      <c r="E577">
        <f t="shared" si="13"/>
        <v>52.7</v>
      </c>
    </row>
    <row r="578" spans="2:5" x14ac:dyDescent="0.3">
      <c r="B578" s="239">
        <v>45265</v>
      </c>
      <c r="C578" s="251">
        <v>1445.8</v>
      </c>
      <c r="D578" s="252" t="s">
        <v>454</v>
      </c>
      <c r="E578">
        <f t="shared" si="13"/>
        <v>51.2</v>
      </c>
    </row>
    <row r="579" spans="2:5" x14ac:dyDescent="0.3">
      <c r="B579" s="239">
        <v>45264</v>
      </c>
      <c r="C579" s="251">
        <v>1456.14</v>
      </c>
      <c r="D579" s="252" t="s">
        <v>493</v>
      </c>
      <c r="E579">
        <f t="shared" si="13"/>
        <v>55.1</v>
      </c>
    </row>
    <row r="580" spans="2:5" x14ac:dyDescent="0.3">
      <c r="B580" s="239">
        <v>45261</v>
      </c>
      <c r="C580" s="251">
        <v>1444.16</v>
      </c>
      <c r="D580" s="252" t="s">
        <v>862</v>
      </c>
      <c r="E580">
        <f t="shared" si="13"/>
        <v>34.9</v>
      </c>
    </row>
    <row r="581" spans="2:5" x14ac:dyDescent="0.3">
      <c r="B581" s="239">
        <v>45260</v>
      </c>
      <c r="C581" s="251">
        <v>1446.99</v>
      </c>
      <c r="D581" s="252" t="s">
        <v>793</v>
      </c>
      <c r="E581">
        <f t="shared" ref="E581:E592" si="14">(VALUE(LEFT(D581,LEN(D581)-1)*1000000))/100000</f>
        <v>101.2</v>
      </c>
    </row>
    <row r="582" spans="2:5" x14ac:dyDescent="0.3">
      <c r="B582" s="239">
        <v>45259</v>
      </c>
      <c r="C582" s="251">
        <v>1451.42</v>
      </c>
      <c r="D582" s="252" t="s">
        <v>861</v>
      </c>
      <c r="E582">
        <f t="shared" si="14"/>
        <v>38.799999999999997</v>
      </c>
    </row>
    <row r="583" spans="2:5" x14ac:dyDescent="0.3">
      <c r="B583" s="239">
        <v>45258</v>
      </c>
      <c r="C583" s="251">
        <v>1434.61</v>
      </c>
      <c r="D583" s="252" t="s">
        <v>679</v>
      </c>
      <c r="E583">
        <f t="shared" si="14"/>
        <v>37.6</v>
      </c>
    </row>
    <row r="584" spans="2:5" x14ac:dyDescent="0.3">
      <c r="B584" s="239">
        <v>45254</v>
      </c>
      <c r="C584" s="251">
        <v>1429.34</v>
      </c>
      <c r="D584" s="252" t="s">
        <v>860</v>
      </c>
      <c r="E584">
        <f t="shared" si="14"/>
        <v>29.7</v>
      </c>
    </row>
    <row r="585" spans="2:5" x14ac:dyDescent="0.3">
      <c r="B585" s="239">
        <v>45253</v>
      </c>
      <c r="C585" s="251">
        <v>1441.13</v>
      </c>
      <c r="D585" s="252" t="s">
        <v>859</v>
      </c>
      <c r="E585">
        <f t="shared" si="14"/>
        <v>31.9</v>
      </c>
    </row>
    <row r="586" spans="2:5" x14ac:dyDescent="0.3">
      <c r="B586" s="239">
        <v>45252</v>
      </c>
      <c r="C586" s="251">
        <v>1449.63</v>
      </c>
      <c r="D586" s="252" t="s">
        <v>858</v>
      </c>
      <c r="E586">
        <f t="shared" si="14"/>
        <v>31.1</v>
      </c>
    </row>
    <row r="587" spans="2:5" x14ac:dyDescent="0.3">
      <c r="B587" s="239">
        <v>45251</v>
      </c>
      <c r="C587" s="251">
        <v>1430.94</v>
      </c>
      <c r="D587" s="252" t="s">
        <v>857</v>
      </c>
      <c r="E587">
        <f t="shared" si="14"/>
        <v>37.9</v>
      </c>
    </row>
    <row r="588" spans="2:5" x14ac:dyDescent="0.3">
      <c r="B588" s="239">
        <v>45250</v>
      </c>
      <c r="C588" s="251">
        <v>1428.55</v>
      </c>
      <c r="D588" s="252" t="s">
        <v>831</v>
      </c>
      <c r="E588">
        <f t="shared" si="14"/>
        <v>35.799999999999997</v>
      </c>
    </row>
    <row r="589" spans="2:5" x14ac:dyDescent="0.3">
      <c r="B589" s="239">
        <v>45247</v>
      </c>
      <c r="C589" s="251">
        <v>1429.49</v>
      </c>
      <c r="D589" s="252" t="s">
        <v>497</v>
      </c>
      <c r="E589">
        <f t="shared" si="14"/>
        <v>49</v>
      </c>
    </row>
    <row r="590" spans="2:5" x14ac:dyDescent="0.3">
      <c r="B590" s="239">
        <v>45246</v>
      </c>
      <c r="C590" s="251">
        <v>1436.8</v>
      </c>
      <c r="D590" s="252" t="s">
        <v>856</v>
      </c>
      <c r="E590">
        <f t="shared" si="14"/>
        <v>66.7</v>
      </c>
    </row>
    <row r="591" spans="2:5" x14ac:dyDescent="0.3">
      <c r="B591" s="239">
        <v>45245</v>
      </c>
      <c r="C591" s="251">
        <v>1402.6</v>
      </c>
      <c r="D591" s="252" t="s">
        <v>855</v>
      </c>
      <c r="E591">
        <f t="shared" si="14"/>
        <v>85.5</v>
      </c>
    </row>
    <row r="592" spans="2:5" x14ac:dyDescent="0.3">
      <c r="B592" s="239">
        <v>45243</v>
      </c>
      <c r="C592" s="251">
        <v>1365.85</v>
      </c>
      <c r="D592" s="252" t="s">
        <v>681</v>
      </c>
      <c r="E592">
        <f t="shared" si="14"/>
        <v>34.6</v>
      </c>
    </row>
    <row r="593" spans="2:5" x14ac:dyDescent="0.3">
      <c r="B593" s="239">
        <v>45242</v>
      </c>
      <c r="C593" s="251">
        <v>1388.2</v>
      </c>
      <c r="D593" s="252" t="s">
        <v>854</v>
      </c>
      <c r="E593">
        <f>(VALUE(LEFT(D593,LEN(D593)-1)*1000))/100000</f>
        <v>5.7224000000000004</v>
      </c>
    </row>
    <row r="594" spans="2:5" x14ac:dyDescent="0.3">
      <c r="B594" s="239">
        <v>45240</v>
      </c>
      <c r="C594" s="251">
        <v>1361.18</v>
      </c>
      <c r="D594" s="252" t="s">
        <v>720</v>
      </c>
      <c r="E594">
        <f t="shared" ref="E594:E657" si="15">(VALUE(LEFT(D594,LEN(D594)-1)*1000000))/100000</f>
        <v>29.4</v>
      </c>
    </row>
    <row r="595" spans="2:5" x14ac:dyDescent="0.3">
      <c r="B595" s="239">
        <v>45239</v>
      </c>
      <c r="C595" s="251">
        <v>1367.1</v>
      </c>
      <c r="D595" s="252" t="s">
        <v>833</v>
      </c>
      <c r="E595">
        <f t="shared" si="15"/>
        <v>55</v>
      </c>
    </row>
    <row r="596" spans="2:5" x14ac:dyDescent="0.3">
      <c r="B596" s="239">
        <v>45238</v>
      </c>
      <c r="C596" s="251">
        <v>1383.2</v>
      </c>
      <c r="D596" s="252" t="s">
        <v>714</v>
      </c>
      <c r="E596">
        <f t="shared" si="15"/>
        <v>35.5</v>
      </c>
    </row>
    <row r="597" spans="2:5" x14ac:dyDescent="0.3">
      <c r="B597" s="239">
        <v>45237</v>
      </c>
      <c r="C597" s="251">
        <v>1396.43</v>
      </c>
      <c r="D597" s="252" t="s">
        <v>853</v>
      </c>
      <c r="E597">
        <f t="shared" si="15"/>
        <v>22.7</v>
      </c>
    </row>
    <row r="598" spans="2:5" x14ac:dyDescent="0.3">
      <c r="B598" s="239">
        <v>45236</v>
      </c>
      <c r="C598" s="251">
        <v>1395.44</v>
      </c>
      <c r="D598" s="252" t="s">
        <v>852</v>
      </c>
      <c r="E598">
        <f t="shared" si="15"/>
        <v>27.4</v>
      </c>
    </row>
    <row r="599" spans="2:5" x14ac:dyDescent="0.3">
      <c r="B599" s="239">
        <v>45233</v>
      </c>
      <c r="C599" s="251">
        <v>1381.27</v>
      </c>
      <c r="D599" s="252" t="s">
        <v>851</v>
      </c>
      <c r="E599">
        <f t="shared" si="15"/>
        <v>33.5</v>
      </c>
    </row>
    <row r="600" spans="2:5" x14ac:dyDescent="0.3">
      <c r="B600" s="239">
        <v>45232</v>
      </c>
      <c r="C600" s="251">
        <v>1362.47</v>
      </c>
      <c r="D600" s="252" t="s">
        <v>679</v>
      </c>
      <c r="E600">
        <f t="shared" si="15"/>
        <v>37.6</v>
      </c>
    </row>
    <row r="601" spans="2:5" x14ac:dyDescent="0.3">
      <c r="B601" s="239">
        <v>45231</v>
      </c>
      <c r="C601" s="251">
        <v>1346.56</v>
      </c>
      <c r="D601" s="252" t="s">
        <v>850</v>
      </c>
      <c r="E601">
        <f t="shared" si="15"/>
        <v>30.9</v>
      </c>
    </row>
    <row r="602" spans="2:5" x14ac:dyDescent="0.3">
      <c r="B602" s="239">
        <v>45230</v>
      </c>
      <c r="C602" s="251">
        <v>1360.73</v>
      </c>
      <c r="D602" s="252" t="s">
        <v>849</v>
      </c>
      <c r="E602">
        <f t="shared" si="15"/>
        <v>34.5</v>
      </c>
    </row>
    <row r="603" spans="2:5" x14ac:dyDescent="0.3">
      <c r="B603" s="239">
        <v>45229</v>
      </c>
      <c r="C603" s="251">
        <v>1369.33</v>
      </c>
      <c r="D603" s="252" t="s">
        <v>848</v>
      </c>
      <c r="E603">
        <f t="shared" si="15"/>
        <v>26.7</v>
      </c>
    </row>
    <row r="604" spans="2:5" x14ac:dyDescent="0.3">
      <c r="B604" s="239">
        <v>45226</v>
      </c>
      <c r="C604" s="251">
        <v>1372.61</v>
      </c>
      <c r="D604" s="252" t="s">
        <v>847</v>
      </c>
      <c r="E604">
        <f t="shared" si="15"/>
        <v>46.3</v>
      </c>
    </row>
    <row r="605" spans="2:5" x14ac:dyDescent="0.3">
      <c r="B605" s="239">
        <v>45225</v>
      </c>
      <c r="C605" s="251">
        <v>1351.83</v>
      </c>
      <c r="D605" s="252" t="s">
        <v>846</v>
      </c>
      <c r="E605">
        <f t="shared" si="15"/>
        <v>63.6</v>
      </c>
    </row>
    <row r="606" spans="2:5" x14ac:dyDescent="0.3">
      <c r="B606" s="239">
        <v>45224</v>
      </c>
      <c r="C606" s="251">
        <v>1362.37</v>
      </c>
      <c r="D606" s="252" t="s">
        <v>782</v>
      </c>
      <c r="E606">
        <f t="shared" si="15"/>
        <v>69.400000000000006</v>
      </c>
    </row>
    <row r="607" spans="2:5" x14ac:dyDescent="0.3">
      <c r="B607" s="239">
        <v>45222</v>
      </c>
      <c r="C607" s="251">
        <v>1400.76</v>
      </c>
      <c r="D607" s="252" t="s">
        <v>845</v>
      </c>
      <c r="E607">
        <f t="shared" si="15"/>
        <v>26.4</v>
      </c>
    </row>
    <row r="608" spans="2:5" x14ac:dyDescent="0.3">
      <c r="B608" s="239">
        <v>45219</v>
      </c>
      <c r="C608" s="251">
        <v>1419.25</v>
      </c>
      <c r="D608" s="252" t="s">
        <v>844</v>
      </c>
      <c r="E608">
        <f t="shared" si="15"/>
        <v>39.299999999999997</v>
      </c>
    </row>
    <row r="609" spans="2:5" x14ac:dyDescent="0.3">
      <c r="B609" s="239">
        <v>45218</v>
      </c>
      <c r="C609" s="251">
        <v>1425.62</v>
      </c>
      <c r="D609" s="252" t="s">
        <v>821</v>
      </c>
      <c r="E609">
        <f t="shared" si="15"/>
        <v>68</v>
      </c>
    </row>
    <row r="610" spans="2:5" x14ac:dyDescent="0.3">
      <c r="B610" s="239">
        <v>45217</v>
      </c>
      <c r="C610" s="251">
        <v>1432.48</v>
      </c>
      <c r="D610" s="252" t="s">
        <v>450</v>
      </c>
      <c r="E610">
        <f t="shared" si="15"/>
        <v>42.6</v>
      </c>
    </row>
    <row r="611" spans="2:5" x14ac:dyDescent="0.3">
      <c r="B611" s="239">
        <v>45216</v>
      </c>
      <c r="C611" s="251">
        <v>1434.37</v>
      </c>
      <c r="D611" s="252" t="s">
        <v>576</v>
      </c>
      <c r="E611">
        <f t="shared" si="15"/>
        <v>39.200000000000003</v>
      </c>
    </row>
    <row r="612" spans="2:5" x14ac:dyDescent="0.3">
      <c r="B612" s="239">
        <v>45215</v>
      </c>
      <c r="C612" s="251">
        <v>1426.11</v>
      </c>
      <c r="D612" s="252" t="s">
        <v>806</v>
      </c>
      <c r="E612">
        <f t="shared" si="15"/>
        <v>48.5</v>
      </c>
    </row>
    <row r="613" spans="2:5" x14ac:dyDescent="0.3">
      <c r="B613" s="239">
        <v>45212</v>
      </c>
      <c r="C613" s="251">
        <v>1423.13</v>
      </c>
      <c r="D613" s="252" t="s">
        <v>843</v>
      </c>
      <c r="E613">
        <f t="shared" si="15"/>
        <v>179.7</v>
      </c>
    </row>
    <row r="614" spans="2:5" x14ac:dyDescent="0.3">
      <c r="B614" s="239">
        <v>45211</v>
      </c>
      <c r="C614" s="251">
        <v>1457.29</v>
      </c>
      <c r="D614" s="252" t="s">
        <v>842</v>
      </c>
      <c r="E614">
        <f t="shared" si="15"/>
        <v>110.8</v>
      </c>
    </row>
    <row r="615" spans="2:5" x14ac:dyDescent="0.3">
      <c r="B615" s="239">
        <v>45210</v>
      </c>
      <c r="C615" s="251">
        <v>1486.03</v>
      </c>
      <c r="D615" s="252" t="s">
        <v>701</v>
      </c>
      <c r="E615">
        <f t="shared" si="15"/>
        <v>72.2</v>
      </c>
    </row>
    <row r="616" spans="2:5" x14ac:dyDescent="0.3">
      <c r="B616" s="239">
        <v>45209</v>
      </c>
      <c r="C616" s="251">
        <v>1486.77</v>
      </c>
      <c r="D616" s="252" t="s">
        <v>641</v>
      </c>
      <c r="E616">
        <f t="shared" si="15"/>
        <v>56.9</v>
      </c>
    </row>
    <row r="617" spans="2:5" x14ac:dyDescent="0.3">
      <c r="B617" s="239">
        <v>45208</v>
      </c>
      <c r="C617" s="251">
        <v>1467.18</v>
      </c>
      <c r="D617" s="252" t="s">
        <v>841</v>
      </c>
      <c r="E617">
        <f t="shared" si="15"/>
        <v>35.700000000000003</v>
      </c>
    </row>
    <row r="618" spans="2:5" x14ac:dyDescent="0.3">
      <c r="B618" s="239">
        <v>45205</v>
      </c>
      <c r="C618" s="251">
        <v>1470.41</v>
      </c>
      <c r="D618" s="252" t="s">
        <v>695</v>
      </c>
      <c r="E618">
        <f t="shared" si="15"/>
        <v>36</v>
      </c>
    </row>
    <row r="619" spans="2:5" x14ac:dyDescent="0.3">
      <c r="B619" s="239">
        <v>45204</v>
      </c>
      <c r="C619" s="251">
        <v>1455.25</v>
      </c>
      <c r="D619" s="252" t="s">
        <v>662</v>
      </c>
      <c r="E619">
        <f t="shared" si="15"/>
        <v>73.8</v>
      </c>
    </row>
    <row r="620" spans="2:5" x14ac:dyDescent="0.3">
      <c r="B620" s="239">
        <v>45203</v>
      </c>
      <c r="C620" s="251">
        <v>1436.26</v>
      </c>
      <c r="D620" s="252" t="s">
        <v>658</v>
      </c>
      <c r="E620">
        <f t="shared" si="15"/>
        <v>45.1</v>
      </c>
    </row>
    <row r="621" spans="2:5" x14ac:dyDescent="0.3">
      <c r="B621" s="239">
        <v>45202</v>
      </c>
      <c r="C621" s="251">
        <v>1425.96</v>
      </c>
      <c r="D621" s="252" t="s">
        <v>487</v>
      </c>
      <c r="E621">
        <f t="shared" si="15"/>
        <v>41.8</v>
      </c>
    </row>
    <row r="622" spans="2:5" x14ac:dyDescent="0.3">
      <c r="B622" s="239">
        <v>45198</v>
      </c>
      <c r="C622" s="251">
        <v>1427.41</v>
      </c>
      <c r="D622" s="252" t="s">
        <v>747</v>
      </c>
      <c r="E622">
        <f t="shared" si="15"/>
        <v>60.7</v>
      </c>
    </row>
    <row r="623" spans="2:5" x14ac:dyDescent="0.3">
      <c r="B623" s="239">
        <v>45197</v>
      </c>
      <c r="C623" s="251">
        <v>1431.38</v>
      </c>
      <c r="D623" s="252" t="s">
        <v>840</v>
      </c>
      <c r="E623">
        <f t="shared" si="15"/>
        <v>58.1</v>
      </c>
    </row>
    <row r="624" spans="2:5" x14ac:dyDescent="0.3">
      <c r="B624" s="239">
        <v>45196</v>
      </c>
      <c r="C624" s="251">
        <v>1458.78</v>
      </c>
      <c r="D624" s="252" t="s">
        <v>839</v>
      </c>
      <c r="E624">
        <f t="shared" si="15"/>
        <v>38.6</v>
      </c>
    </row>
    <row r="625" spans="2:5" x14ac:dyDescent="0.3">
      <c r="B625" s="239">
        <v>45195</v>
      </c>
      <c r="C625" s="251">
        <v>1452.46</v>
      </c>
      <c r="D625" s="252" t="s">
        <v>759</v>
      </c>
      <c r="E625">
        <f t="shared" si="15"/>
        <v>40</v>
      </c>
    </row>
    <row r="626" spans="2:5" x14ac:dyDescent="0.3">
      <c r="B626" s="239">
        <v>45194</v>
      </c>
      <c r="C626" s="251">
        <v>1465.89</v>
      </c>
      <c r="D626" s="252" t="s">
        <v>838</v>
      </c>
      <c r="E626">
        <f t="shared" si="15"/>
        <v>42.2</v>
      </c>
    </row>
    <row r="627" spans="2:5" x14ac:dyDescent="0.3">
      <c r="B627" s="239">
        <v>45191</v>
      </c>
      <c r="C627" s="251">
        <v>1487.77</v>
      </c>
      <c r="D627" s="252" t="s">
        <v>837</v>
      </c>
      <c r="E627">
        <f t="shared" si="15"/>
        <v>54.6</v>
      </c>
    </row>
    <row r="628" spans="2:5" x14ac:dyDescent="0.3">
      <c r="B628" s="239">
        <v>45190</v>
      </c>
      <c r="C628" s="251">
        <v>1493.33</v>
      </c>
      <c r="D628" s="252" t="s">
        <v>836</v>
      </c>
      <c r="E628">
        <f t="shared" si="15"/>
        <v>67.8</v>
      </c>
    </row>
    <row r="629" spans="2:5" x14ac:dyDescent="0.3">
      <c r="B629" s="239">
        <v>45189</v>
      </c>
      <c r="C629" s="251">
        <v>1481.9</v>
      </c>
      <c r="D629" s="252" t="s">
        <v>777</v>
      </c>
      <c r="E629">
        <f t="shared" si="15"/>
        <v>41.7</v>
      </c>
    </row>
    <row r="630" spans="2:5" x14ac:dyDescent="0.3">
      <c r="B630" s="239">
        <v>45187</v>
      </c>
      <c r="C630" s="251">
        <v>1483.44</v>
      </c>
      <c r="D630" s="252" t="s">
        <v>558</v>
      </c>
      <c r="E630">
        <f t="shared" si="15"/>
        <v>39.9</v>
      </c>
    </row>
    <row r="631" spans="2:5" x14ac:dyDescent="0.3">
      <c r="B631" s="239">
        <v>45184</v>
      </c>
      <c r="C631" s="251">
        <v>1503.13</v>
      </c>
      <c r="D631" s="252" t="s">
        <v>835</v>
      </c>
      <c r="E631">
        <f t="shared" si="15"/>
        <v>86.6</v>
      </c>
    </row>
    <row r="632" spans="2:5" x14ac:dyDescent="0.3">
      <c r="B632" s="239">
        <v>45183</v>
      </c>
      <c r="C632" s="251">
        <v>1498.51</v>
      </c>
      <c r="D632" s="252" t="s">
        <v>734</v>
      </c>
      <c r="E632">
        <f t="shared" si="15"/>
        <v>64.400000000000006</v>
      </c>
    </row>
    <row r="633" spans="2:5" x14ac:dyDescent="0.3">
      <c r="B633" s="239">
        <v>45182</v>
      </c>
      <c r="C633" s="251">
        <v>1489.95</v>
      </c>
      <c r="D633" s="252" t="s">
        <v>476</v>
      </c>
      <c r="E633">
        <f t="shared" si="15"/>
        <v>48</v>
      </c>
    </row>
    <row r="634" spans="2:5" x14ac:dyDescent="0.3">
      <c r="B634" s="239">
        <v>45181</v>
      </c>
      <c r="C634" s="251">
        <v>1492.69</v>
      </c>
      <c r="D634" s="252" t="s">
        <v>834</v>
      </c>
      <c r="E634">
        <f t="shared" si="15"/>
        <v>67.900000000000006</v>
      </c>
    </row>
    <row r="635" spans="2:5" x14ac:dyDescent="0.3">
      <c r="B635" s="239">
        <v>45180</v>
      </c>
      <c r="C635" s="251">
        <v>1468.18</v>
      </c>
      <c r="D635" s="252" t="s">
        <v>487</v>
      </c>
      <c r="E635">
        <f t="shared" si="15"/>
        <v>41.8</v>
      </c>
    </row>
    <row r="636" spans="2:5" x14ac:dyDescent="0.3">
      <c r="B636" s="239">
        <v>45177</v>
      </c>
      <c r="C636" s="251">
        <v>1461.36</v>
      </c>
      <c r="D636" s="252" t="s">
        <v>724</v>
      </c>
      <c r="E636">
        <f t="shared" si="15"/>
        <v>31.3</v>
      </c>
    </row>
    <row r="637" spans="2:5" x14ac:dyDescent="0.3">
      <c r="B637" s="239">
        <v>45176</v>
      </c>
      <c r="C637" s="251">
        <v>1457.98</v>
      </c>
      <c r="D637" s="252" t="s">
        <v>659</v>
      </c>
      <c r="E637">
        <f t="shared" si="15"/>
        <v>44.1</v>
      </c>
    </row>
    <row r="638" spans="2:5" x14ac:dyDescent="0.3">
      <c r="B638" s="239">
        <v>45175</v>
      </c>
      <c r="C638" s="251">
        <v>1469.17</v>
      </c>
      <c r="D638" s="252" t="s">
        <v>670</v>
      </c>
      <c r="E638">
        <f t="shared" si="15"/>
        <v>50.8</v>
      </c>
    </row>
    <row r="639" spans="2:5" x14ac:dyDescent="0.3">
      <c r="B639" s="239">
        <v>45174</v>
      </c>
      <c r="C639" s="251">
        <v>1470.61</v>
      </c>
      <c r="D639" s="252" t="s">
        <v>833</v>
      </c>
      <c r="E639">
        <f t="shared" si="15"/>
        <v>55</v>
      </c>
    </row>
    <row r="640" spans="2:5" x14ac:dyDescent="0.3">
      <c r="B640" s="239">
        <v>45173</v>
      </c>
      <c r="C640" s="251">
        <v>1456.89</v>
      </c>
      <c r="D640" s="252" t="s">
        <v>832</v>
      </c>
      <c r="E640">
        <f t="shared" si="15"/>
        <v>46.1</v>
      </c>
    </row>
    <row r="641" spans="2:5" x14ac:dyDescent="0.3">
      <c r="B641" s="239">
        <v>45170</v>
      </c>
      <c r="C641" s="251">
        <v>1435.76</v>
      </c>
      <c r="D641" s="252" t="s">
        <v>831</v>
      </c>
      <c r="E641">
        <f t="shared" si="15"/>
        <v>35.799999999999997</v>
      </c>
    </row>
    <row r="642" spans="2:5" x14ac:dyDescent="0.3">
      <c r="B642" s="239">
        <v>45169</v>
      </c>
      <c r="C642" s="251">
        <v>1427.41</v>
      </c>
      <c r="D642" s="252" t="s">
        <v>830</v>
      </c>
      <c r="E642">
        <f t="shared" si="15"/>
        <v>97.9</v>
      </c>
    </row>
    <row r="643" spans="2:5" x14ac:dyDescent="0.3">
      <c r="B643" s="239">
        <v>45168</v>
      </c>
      <c r="C643" s="251">
        <v>1427.11</v>
      </c>
      <c r="D643" s="252" t="s">
        <v>725</v>
      </c>
      <c r="E643">
        <f t="shared" si="15"/>
        <v>30.7</v>
      </c>
    </row>
    <row r="644" spans="2:5" x14ac:dyDescent="0.3">
      <c r="B644" s="239">
        <v>45167</v>
      </c>
      <c r="C644" s="251">
        <v>1409.7</v>
      </c>
      <c r="D644" s="252" t="s">
        <v>725</v>
      </c>
      <c r="E644">
        <f t="shared" si="15"/>
        <v>30.7</v>
      </c>
    </row>
    <row r="645" spans="2:5" x14ac:dyDescent="0.3">
      <c r="B645" s="239">
        <v>45166</v>
      </c>
      <c r="C645" s="251">
        <v>1407.72</v>
      </c>
      <c r="D645" s="252" t="s">
        <v>724</v>
      </c>
      <c r="E645">
        <f t="shared" si="15"/>
        <v>31.3</v>
      </c>
    </row>
    <row r="646" spans="2:5" x14ac:dyDescent="0.3">
      <c r="B646" s="239">
        <v>45163</v>
      </c>
      <c r="C646" s="251">
        <v>1412.14</v>
      </c>
      <c r="D646" s="252" t="s">
        <v>596</v>
      </c>
      <c r="E646">
        <f t="shared" si="15"/>
        <v>43.1</v>
      </c>
    </row>
    <row r="647" spans="2:5" x14ac:dyDescent="0.3">
      <c r="B647" s="239">
        <v>45162</v>
      </c>
      <c r="C647" s="251">
        <v>1415.62</v>
      </c>
      <c r="D647" s="252" t="s">
        <v>473</v>
      </c>
      <c r="E647">
        <f t="shared" si="15"/>
        <v>51.7</v>
      </c>
    </row>
    <row r="648" spans="2:5" x14ac:dyDescent="0.3">
      <c r="B648" s="239">
        <v>45161</v>
      </c>
      <c r="C648" s="251">
        <v>1400.06</v>
      </c>
      <c r="D648" s="252" t="s">
        <v>829</v>
      </c>
      <c r="E648">
        <f t="shared" si="15"/>
        <v>25.6</v>
      </c>
    </row>
    <row r="649" spans="2:5" x14ac:dyDescent="0.3">
      <c r="B649" s="239">
        <v>45160</v>
      </c>
      <c r="C649" s="251">
        <v>1395.88</v>
      </c>
      <c r="D649" s="252" t="s">
        <v>687</v>
      </c>
      <c r="E649">
        <f t="shared" si="15"/>
        <v>28.9</v>
      </c>
    </row>
    <row r="650" spans="2:5" x14ac:dyDescent="0.3">
      <c r="B650" s="239">
        <v>45159</v>
      </c>
      <c r="C650" s="251">
        <v>1397.52</v>
      </c>
      <c r="D650" s="252" t="s">
        <v>560</v>
      </c>
      <c r="E650">
        <f t="shared" si="15"/>
        <v>30.3</v>
      </c>
    </row>
    <row r="651" spans="2:5" x14ac:dyDescent="0.3">
      <c r="B651" s="239">
        <v>45156</v>
      </c>
      <c r="C651" s="251">
        <v>1381.02</v>
      </c>
      <c r="D651" s="252" t="s">
        <v>622</v>
      </c>
      <c r="E651">
        <f t="shared" si="15"/>
        <v>51.3</v>
      </c>
    </row>
    <row r="652" spans="2:5" x14ac:dyDescent="0.3">
      <c r="B652" s="239">
        <v>45155</v>
      </c>
      <c r="C652" s="251">
        <v>1403.64</v>
      </c>
      <c r="D652" s="252" t="s">
        <v>442</v>
      </c>
      <c r="E652">
        <f t="shared" si="15"/>
        <v>56.2</v>
      </c>
    </row>
    <row r="653" spans="2:5" x14ac:dyDescent="0.3">
      <c r="B653" s="239">
        <v>45154</v>
      </c>
      <c r="C653" s="251">
        <v>1410.55</v>
      </c>
      <c r="D653" s="252" t="s">
        <v>828</v>
      </c>
      <c r="E653">
        <f t="shared" si="15"/>
        <v>77.400000000000006</v>
      </c>
    </row>
    <row r="654" spans="2:5" x14ac:dyDescent="0.3">
      <c r="B654" s="239">
        <v>45152</v>
      </c>
      <c r="C654" s="251">
        <v>1385.74</v>
      </c>
      <c r="D654" s="252" t="s">
        <v>827</v>
      </c>
      <c r="E654">
        <f t="shared" si="15"/>
        <v>43</v>
      </c>
    </row>
    <row r="655" spans="2:5" x14ac:dyDescent="0.3">
      <c r="B655" s="239">
        <v>45149</v>
      </c>
      <c r="C655" s="251">
        <v>1364.16</v>
      </c>
      <c r="D655" s="252" t="s">
        <v>826</v>
      </c>
      <c r="E655">
        <f t="shared" si="15"/>
        <v>57.8</v>
      </c>
    </row>
    <row r="656" spans="2:5" x14ac:dyDescent="0.3">
      <c r="B656" s="239">
        <v>45148</v>
      </c>
      <c r="C656" s="251">
        <v>1381.31</v>
      </c>
      <c r="D656" s="252" t="s">
        <v>597</v>
      </c>
      <c r="E656">
        <f t="shared" si="15"/>
        <v>38.700000000000003</v>
      </c>
    </row>
    <row r="657" spans="2:5" x14ac:dyDescent="0.3">
      <c r="B657" s="239">
        <v>45147</v>
      </c>
      <c r="C657" s="251">
        <v>1386.59</v>
      </c>
      <c r="D657" s="252" t="s">
        <v>475</v>
      </c>
      <c r="E657">
        <f t="shared" si="15"/>
        <v>40.9</v>
      </c>
    </row>
    <row r="658" spans="2:5" x14ac:dyDescent="0.3">
      <c r="B658" s="239">
        <v>45146</v>
      </c>
      <c r="C658" s="251">
        <v>1382.41</v>
      </c>
      <c r="D658" s="252" t="s">
        <v>569</v>
      </c>
      <c r="E658">
        <f t="shared" ref="E658:E721" si="16">(VALUE(LEFT(D658,LEN(D658)-1)*1000000))/100000</f>
        <v>41.6</v>
      </c>
    </row>
    <row r="659" spans="2:5" x14ac:dyDescent="0.3">
      <c r="B659" s="239">
        <v>45145</v>
      </c>
      <c r="C659" s="251">
        <v>1385.19</v>
      </c>
      <c r="D659" s="252" t="s">
        <v>825</v>
      </c>
      <c r="E659">
        <f t="shared" si="16"/>
        <v>37.299999999999997</v>
      </c>
    </row>
    <row r="660" spans="2:5" x14ac:dyDescent="0.3">
      <c r="B660" s="239">
        <v>45142</v>
      </c>
      <c r="C660" s="251">
        <v>1370.63</v>
      </c>
      <c r="D660" s="252" t="s">
        <v>617</v>
      </c>
      <c r="E660">
        <f t="shared" si="16"/>
        <v>57.1</v>
      </c>
    </row>
    <row r="661" spans="2:5" x14ac:dyDescent="0.3">
      <c r="B661" s="239">
        <v>45141</v>
      </c>
      <c r="C661" s="251">
        <v>1356.65</v>
      </c>
      <c r="D661" s="252" t="s">
        <v>749</v>
      </c>
      <c r="E661">
        <f t="shared" si="16"/>
        <v>65</v>
      </c>
    </row>
    <row r="662" spans="2:5" x14ac:dyDescent="0.3">
      <c r="B662" s="239">
        <v>45140</v>
      </c>
      <c r="C662" s="251">
        <v>1349.25</v>
      </c>
      <c r="D662" s="252" t="s">
        <v>824</v>
      </c>
      <c r="E662">
        <f t="shared" si="16"/>
        <v>74.2</v>
      </c>
    </row>
    <row r="663" spans="2:5" x14ac:dyDescent="0.3">
      <c r="B663" s="239">
        <v>45139</v>
      </c>
      <c r="C663" s="251">
        <v>1357.55</v>
      </c>
      <c r="D663" s="252" t="s">
        <v>472</v>
      </c>
      <c r="E663">
        <f t="shared" si="16"/>
        <v>60.6</v>
      </c>
    </row>
    <row r="664" spans="2:5" x14ac:dyDescent="0.3">
      <c r="B664" s="239">
        <v>45138</v>
      </c>
      <c r="C664" s="251">
        <v>1348.1</v>
      </c>
      <c r="D664" s="252" t="s">
        <v>823</v>
      </c>
      <c r="E664">
        <f t="shared" si="16"/>
        <v>79</v>
      </c>
    </row>
    <row r="665" spans="2:5" x14ac:dyDescent="0.3">
      <c r="B665" s="239">
        <v>45135</v>
      </c>
      <c r="C665" s="251">
        <v>1332.99</v>
      </c>
      <c r="D665" s="252" t="s">
        <v>705</v>
      </c>
      <c r="E665">
        <f t="shared" si="16"/>
        <v>61.2</v>
      </c>
    </row>
    <row r="666" spans="2:5" x14ac:dyDescent="0.3">
      <c r="B666" s="239">
        <v>45134</v>
      </c>
      <c r="C666" s="251">
        <v>1345.57</v>
      </c>
      <c r="D666" s="252" t="s">
        <v>822</v>
      </c>
      <c r="E666">
        <f t="shared" si="16"/>
        <v>91.9</v>
      </c>
    </row>
    <row r="667" spans="2:5" x14ac:dyDescent="0.3">
      <c r="B667" s="239">
        <v>45133</v>
      </c>
      <c r="C667" s="251">
        <v>1341.29</v>
      </c>
      <c r="D667" s="252" t="s">
        <v>468</v>
      </c>
      <c r="E667">
        <f t="shared" si="16"/>
        <v>55.3</v>
      </c>
    </row>
    <row r="668" spans="2:5" x14ac:dyDescent="0.3">
      <c r="B668" s="239">
        <v>45132</v>
      </c>
      <c r="C668" s="251">
        <v>1327.12</v>
      </c>
      <c r="D668" s="252" t="s">
        <v>821</v>
      </c>
      <c r="E668">
        <f t="shared" si="16"/>
        <v>68</v>
      </c>
    </row>
    <row r="669" spans="2:5" x14ac:dyDescent="0.3">
      <c r="B669" s="239">
        <v>45131</v>
      </c>
      <c r="C669" s="251">
        <v>1329.11</v>
      </c>
      <c r="D669" s="252" t="s">
        <v>820</v>
      </c>
      <c r="E669">
        <f t="shared" si="16"/>
        <v>88.6</v>
      </c>
    </row>
    <row r="670" spans="2:5" x14ac:dyDescent="0.3">
      <c r="B670" s="239">
        <v>45128</v>
      </c>
      <c r="C670" s="251">
        <v>1324.14</v>
      </c>
      <c r="D670" s="252" t="s">
        <v>819</v>
      </c>
      <c r="E670">
        <f t="shared" si="16"/>
        <v>455.5</v>
      </c>
    </row>
    <row r="671" spans="2:5" x14ac:dyDescent="0.3">
      <c r="B671" s="239">
        <v>45127</v>
      </c>
      <c r="C671" s="251">
        <v>1441.38</v>
      </c>
      <c r="D671" s="252" t="s">
        <v>431</v>
      </c>
      <c r="E671">
        <f t="shared" si="16"/>
        <v>83.5</v>
      </c>
    </row>
    <row r="672" spans="2:5" x14ac:dyDescent="0.3">
      <c r="B672" s="239">
        <v>45126</v>
      </c>
      <c r="C672" s="251">
        <v>1466.68</v>
      </c>
      <c r="D672" s="252" t="s">
        <v>818</v>
      </c>
      <c r="E672">
        <f t="shared" si="16"/>
        <v>136.9</v>
      </c>
    </row>
    <row r="673" spans="2:5" x14ac:dyDescent="0.3">
      <c r="B673" s="239">
        <v>45125</v>
      </c>
      <c r="C673" s="251">
        <v>1466.93</v>
      </c>
      <c r="D673" s="252" t="s">
        <v>817</v>
      </c>
      <c r="E673">
        <f t="shared" si="16"/>
        <v>167.39999999999998</v>
      </c>
    </row>
    <row r="674" spans="2:5" x14ac:dyDescent="0.3">
      <c r="B674" s="239">
        <v>45124</v>
      </c>
      <c r="C674" s="251">
        <v>1414.98</v>
      </c>
      <c r="D674" s="252" t="s">
        <v>816</v>
      </c>
      <c r="E674">
        <f t="shared" si="16"/>
        <v>115.7</v>
      </c>
    </row>
    <row r="675" spans="2:5" x14ac:dyDescent="0.3">
      <c r="B675" s="239">
        <v>45121</v>
      </c>
      <c r="C675" s="251">
        <v>1417.96</v>
      </c>
      <c r="D675" s="252" t="s">
        <v>815</v>
      </c>
      <c r="E675">
        <f t="shared" si="16"/>
        <v>128.30000000000001</v>
      </c>
    </row>
    <row r="676" spans="2:5" x14ac:dyDescent="0.3">
      <c r="B676" s="239">
        <v>45120</v>
      </c>
      <c r="C676" s="251">
        <v>1357.45</v>
      </c>
      <c r="D676" s="252" t="s">
        <v>814</v>
      </c>
      <c r="E676">
        <f t="shared" si="16"/>
        <v>99.8</v>
      </c>
    </row>
    <row r="677" spans="2:5" x14ac:dyDescent="0.3">
      <c r="B677" s="239">
        <v>45119</v>
      </c>
      <c r="C677" s="251">
        <v>1325.83</v>
      </c>
      <c r="D677" s="252" t="s">
        <v>813</v>
      </c>
      <c r="E677">
        <f t="shared" si="16"/>
        <v>81</v>
      </c>
    </row>
    <row r="678" spans="2:5" x14ac:dyDescent="0.3">
      <c r="B678" s="239">
        <v>45118</v>
      </c>
      <c r="C678" s="251">
        <v>1341.04</v>
      </c>
      <c r="D678" s="252" t="s">
        <v>812</v>
      </c>
      <c r="E678">
        <f t="shared" si="16"/>
        <v>61.3</v>
      </c>
    </row>
    <row r="679" spans="2:5" x14ac:dyDescent="0.3">
      <c r="B679" s="239">
        <v>45117</v>
      </c>
      <c r="C679" s="251">
        <v>1321.7</v>
      </c>
      <c r="D679" s="252" t="s">
        <v>434</v>
      </c>
      <c r="E679">
        <f t="shared" si="16"/>
        <v>39.4</v>
      </c>
    </row>
    <row r="680" spans="2:5" x14ac:dyDescent="0.3">
      <c r="B680" s="239">
        <v>45114</v>
      </c>
      <c r="C680" s="251">
        <v>1322.75</v>
      </c>
      <c r="D680" s="252" t="s">
        <v>736</v>
      </c>
      <c r="E680">
        <f t="shared" si="16"/>
        <v>63</v>
      </c>
    </row>
    <row r="681" spans="2:5" x14ac:dyDescent="0.3">
      <c r="B681" s="239">
        <v>45113</v>
      </c>
      <c r="C681" s="251">
        <v>1336.37</v>
      </c>
      <c r="D681" s="252" t="s">
        <v>811</v>
      </c>
      <c r="E681">
        <f t="shared" si="16"/>
        <v>59.6</v>
      </c>
    </row>
    <row r="682" spans="2:5" x14ac:dyDescent="0.3">
      <c r="B682" s="239">
        <v>45112</v>
      </c>
      <c r="C682" s="251">
        <v>1339.75</v>
      </c>
      <c r="D682" s="252" t="s">
        <v>430</v>
      </c>
      <c r="E682">
        <f t="shared" si="16"/>
        <v>54.1</v>
      </c>
    </row>
    <row r="683" spans="2:5" x14ac:dyDescent="0.3">
      <c r="B683" s="239">
        <v>45111</v>
      </c>
      <c r="C683" s="251">
        <v>1337.61</v>
      </c>
      <c r="D683" s="252" t="s">
        <v>621</v>
      </c>
      <c r="E683">
        <f t="shared" si="16"/>
        <v>58</v>
      </c>
    </row>
    <row r="684" spans="2:5" x14ac:dyDescent="0.3">
      <c r="B684" s="239">
        <v>45110</v>
      </c>
      <c r="C684" s="251">
        <v>1326.23</v>
      </c>
      <c r="D684" s="252" t="s">
        <v>810</v>
      </c>
      <c r="E684">
        <f t="shared" si="16"/>
        <v>77.3</v>
      </c>
    </row>
    <row r="685" spans="2:5" x14ac:dyDescent="0.3">
      <c r="B685" s="239">
        <v>45107</v>
      </c>
      <c r="C685" s="251">
        <v>1328.02</v>
      </c>
      <c r="D685" s="252" t="s">
        <v>711</v>
      </c>
      <c r="E685">
        <f t="shared" si="16"/>
        <v>128.19999999999999</v>
      </c>
    </row>
    <row r="686" spans="2:5" x14ac:dyDescent="0.3">
      <c r="B686" s="239">
        <v>45105</v>
      </c>
      <c r="C686" s="251">
        <v>1286.0999999999999</v>
      </c>
      <c r="D686" s="252" t="s">
        <v>481</v>
      </c>
      <c r="E686">
        <f t="shared" si="16"/>
        <v>56.6</v>
      </c>
    </row>
    <row r="687" spans="2:5" x14ac:dyDescent="0.3">
      <c r="B687" s="239">
        <v>45104</v>
      </c>
      <c r="C687" s="251">
        <v>1271.98</v>
      </c>
      <c r="D687" s="252" t="s">
        <v>574</v>
      </c>
      <c r="E687">
        <f t="shared" si="16"/>
        <v>32.4</v>
      </c>
    </row>
    <row r="688" spans="2:5" x14ac:dyDescent="0.3">
      <c r="B688" s="239">
        <v>45103</v>
      </c>
      <c r="C688" s="251">
        <v>1263.23</v>
      </c>
      <c r="D688" s="252" t="s">
        <v>726</v>
      </c>
      <c r="E688">
        <f t="shared" si="16"/>
        <v>34</v>
      </c>
    </row>
    <row r="689" spans="2:5" x14ac:dyDescent="0.3">
      <c r="B689" s="239">
        <v>45100</v>
      </c>
      <c r="C689" s="251">
        <v>1257.9100000000001</v>
      </c>
      <c r="D689" s="252" t="s">
        <v>809</v>
      </c>
      <c r="E689">
        <f t="shared" si="16"/>
        <v>72.400000000000006</v>
      </c>
    </row>
    <row r="690" spans="2:5" x14ac:dyDescent="0.3">
      <c r="B690" s="239">
        <v>45099</v>
      </c>
      <c r="C690" s="251">
        <v>1274.3699999999999</v>
      </c>
      <c r="D690" s="252" t="s">
        <v>808</v>
      </c>
      <c r="E690">
        <f t="shared" si="16"/>
        <v>66.8</v>
      </c>
    </row>
    <row r="691" spans="2:5" x14ac:dyDescent="0.3">
      <c r="B691" s="239">
        <v>45098</v>
      </c>
      <c r="C691" s="251">
        <v>1292.07</v>
      </c>
      <c r="D691" s="252" t="s">
        <v>563</v>
      </c>
      <c r="E691">
        <f t="shared" si="16"/>
        <v>40.4</v>
      </c>
    </row>
    <row r="692" spans="2:5" x14ac:dyDescent="0.3">
      <c r="B692" s="239">
        <v>45097</v>
      </c>
      <c r="C692" s="251">
        <v>1296.0999999999999</v>
      </c>
      <c r="D692" s="252" t="s">
        <v>618</v>
      </c>
      <c r="E692">
        <f t="shared" si="16"/>
        <v>40.1</v>
      </c>
    </row>
    <row r="693" spans="2:5" x14ac:dyDescent="0.3">
      <c r="B693" s="239">
        <v>45096</v>
      </c>
      <c r="C693" s="251">
        <v>1286.75</v>
      </c>
      <c r="D693" s="252" t="s">
        <v>807</v>
      </c>
      <c r="E693">
        <f t="shared" si="16"/>
        <v>44.5</v>
      </c>
    </row>
    <row r="694" spans="2:5" x14ac:dyDescent="0.3">
      <c r="B694" s="239">
        <v>45093</v>
      </c>
      <c r="C694" s="251">
        <v>1284.4100000000001</v>
      </c>
      <c r="D694" s="252" t="s">
        <v>775</v>
      </c>
      <c r="E694">
        <f t="shared" si="16"/>
        <v>85.4</v>
      </c>
    </row>
    <row r="695" spans="2:5" x14ac:dyDescent="0.3">
      <c r="B695" s="239">
        <v>45092</v>
      </c>
      <c r="C695" s="251">
        <v>1279.5899999999999</v>
      </c>
      <c r="D695" s="252" t="s">
        <v>667</v>
      </c>
      <c r="E695">
        <f t="shared" si="16"/>
        <v>61.6</v>
      </c>
    </row>
    <row r="696" spans="2:5" x14ac:dyDescent="0.3">
      <c r="B696" s="239">
        <v>45091</v>
      </c>
      <c r="C696" s="251">
        <v>1293.1099999999999</v>
      </c>
      <c r="D696" s="252" t="s">
        <v>681</v>
      </c>
      <c r="E696">
        <f t="shared" si="16"/>
        <v>34.6</v>
      </c>
    </row>
    <row r="697" spans="2:5" x14ac:dyDescent="0.3">
      <c r="B697" s="239">
        <v>45090</v>
      </c>
      <c r="C697" s="251">
        <v>1297.54</v>
      </c>
      <c r="D697" s="252" t="s">
        <v>806</v>
      </c>
      <c r="E697">
        <f t="shared" si="16"/>
        <v>48.5</v>
      </c>
    </row>
    <row r="698" spans="2:5" x14ac:dyDescent="0.3">
      <c r="B698" s="239">
        <v>45089</v>
      </c>
      <c r="C698" s="251">
        <v>1284.71</v>
      </c>
      <c r="D698" s="252" t="s">
        <v>452</v>
      </c>
      <c r="E698">
        <f t="shared" si="16"/>
        <v>47.9</v>
      </c>
    </row>
    <row r="699" spans="2:5" x14ac:dyDescent="0.3">
      <c r="B699" s="239">
        <v>45086</v>
      </c>
      <c r="C699" s="251">
        <v>1258.8599999999999</v>
      </c>
      <c r="D699" s="252" t="s">
        <v>511</v>
      </c>
      <c r="E699">
        <f t="shared" si="16"/>
        <v>53.4</v>
      </c>
    </row>
    <row r="700" spans="2:5" x14ac:dyDescent="0.3">
      <c r="B700" s="239">
        <v>45085</v>
      </c>
      <c r="C700" s="251">
        <v>1275.6099999999999</v>
      </c>
      <c r="D700" s="252" t="s">
        <v>740</v>
      </c>
      <c r="E700">
        <f t="shared" si="16"/>
        <v>50.3</v>
      </c>
    </row>
    <row r="701" spans="2:5" x14ac:dyDescent="0.3">
      <c r="B701" s="239">
        <v>45084</v>
      </c>
      <c r="C701" s="251">
        <v>1281.73</v>
      </c>
      <c r="D701" s="252" t="s">
        <v>462</v>
      </c>
      <c r="E701">
        <f t="shared" si="16"/>
        <v>54</v>
      </c>
    </row>
    <row r="702" spans="2:5" x14ac:dyDescent="0.3">
      <c r="B702" s="239">
        <v>45083</v>
      </c>
      <c r="C702" s="251">
        <v>1271.83</v>
      </c>
      <c r="D702" s="252" t="s">
        <v>805</v>
      </c>
      <c r="E702">
        <f t="shared" si="16"/>
        <v>100.1</v>
      </c>
    </row>
    <row r="703" spans="2:5" x14ac:dyDescent="0.3">
      <c r="B703" s="239">
        <v>45082</v>
      </c>
      <c r="C703" s="251">
        <v>1297.19</v>
      </c>
      <c r="D703" s="252" t="s">
        <v>804</v>
      </c>
      <c r="E703">
        <f t="shared" si="16"/>
        <v>50</v>
      </c>
    </row>
    <row r="704" spans="2:5" x14ac:dyDescent="0.3">
      <c r="B704" s="239">
        <v>45079</v>
      </c>
      <c r="C704" s="251">
        <v>1291.72</v>
      </c>
      <c r="D704" s="252" t="s">
        <v>803</v>
      </c>
      <c r="E704">
        <f t="shared" si="16"/>
        <v>109.1</v>
      </c>
    </row>
    <row r="705" spans="2:5" x14ac:dyDescent="0.3">
      <c r="B705" s="239">
        <v>45078</v>
      </c>
      <c r="C705" s="251">
        <v>1312.11</v>
      </c>
      <c r="D705" s="252" t="s">
        <v>729</v>
      </c>
      <c r="E705">
        <f t="shared" si="16"/>
        <v>42.8</v>
      </c>
    </row>
    <row r="706" spans="2:5" x14ac:dyDescent="0.3">
      <c r="B706" s="239">
        <v>45077</v>
      </c>
      <c r="C706" s="251">
        <v>1310.91</v>
      </c>
      <c r="D706" s="252" t="s">
        <v>802</v>
      </c>
      <c r="E706">
        <f t="shared" si="16"/>
        <v>178</v>
      </c>
    </row>
    <row r="707" spans="2:5" x14ac:dyDescent="0.3">
      <c r="B707" s="239">
        <v>45076</v>
      </c>
      <c r="C707" s="251">
        <v>1316.43</v>
      </c>
      <c r="D707" s="252" t="s">
        <v>483</v>
      </c>
      <c r="E707">
        <f t="shared" si="16"/>
        <v>62.7</v>
      </c>
    </row>
    <row r="708" spans="2:5" x14ac:dyDescent="0.3">
      <c r="B708" s="239">
        <v>45075</v>
      </c>
      <c r="C708" s="251">
        <v>1307.03</v>
      </c>
      <c r="D708" s="252" t="s">
        <v>680</v>
      </c>
      <c r="E708">
        <f t="shared" si="16"/>
        <v>44.2</v>
      </c>
    </row>
    <row r="709" spans="2:5" x14ac:dyDescent="0.3">
      <c r="B709" s="239">
        <v>45072</v>
      </c>
      <c r="C709" s="251">
        <v>1310.07</v>
      </c>
      <c r="D709" s="252" t="s">
        <v>801</v>
      </c>
      <c r="E709">
        <f t="shared" si="16"/>
        <v>55.2</v>
      </c>
    </row>
    <row r="710" spans="2:5" x14ac:dyDescent="0.3">
      <c r="B710" s="239">
        <v>45071</v>
      </c>
      <c r="C710" s="251">
        <v>1297.04</v>
      </c>
      <c r="D710" s="252" t="s">
        <v>550</v>
      </c>
      <c r="E710">
        <f t="shared" si="16"/>
        <v>43.3</v>
      </c>
    </row>
    <row r="711" spans="2:5" x14ac:dyDescent="0.3">
      <c r="B711" s="239">
        <v>45070</v>
      </c>
      <c r="C711" s="251">
        <v>1291.3699999999999</v>
      </c>
      <c r="D711" s="252" t="s">
        <v>440</v>
      </c>
      <c r="E711">
        <f t="shared" si="16"/>
        <v>48.2</v>
      </c>
    </row>
    <row r="712" spans="2:5" x14ac:dyDescent="0.3">
      <c r="B712" s="239">
        <v>45069</v>
      </c>
      <c r="C712" s="251">
        <v>1292.77</v>
      </c>
      <c r="D712" s="252" t="s">
        <v>531</v>
      </c>
      <c r="E712">
        <f t="shared" si="16"/>
        <v>74.400000000000006</v>
      </c>
    </row>
    <row r="713" spans="2:5" x14ac:dyDescent="0.3">
      <c r="B713" s="239">
        <v>45068</v>
      </c>
      <c r="C713" s="251">
        <v>1285.56</v>
      </c>
      <c r="D713" s="252" t="s">
        <v>800</v>
      </c>
      <c r="E713">
        <f t="shared" si="16"/>
        <v>76.3</v>
      </c>
    </row>
    <row r="714" spans="2:5" x14ac:dyDescent="0.3">
      <c r="B714" s="239">
        <v>45065</v>
      </c>
      <c r="C714" s="251">
        <v>1261.79</v>
      </c>
      <c r="D714" s="252" t="s">
        <v>799</v>
      </c>
      <c r="E714">
        <f t="shared" si="16"/>
        <v>110.9</v>
      </c>
    </row>
    <row r="715" spans="2:5" x14ac:dyDescent="0.3">
      <c r="B715" s="239">
        <v>45064</v>
      </c>
      <c r="C715" s="251">
        <v>1239.02</v>
      </c>
      <c r="D715" s="252" t="s">
        <v>781</v>
      </c>
      <c r="E715">
        <f t="shared" si="16"/>
        <v>69.5</v>
      </c>
    </row>
    <row r="716" spans="2:5" x14ac:dyDescent="0.3">
      <c r="B716" s="239">
        <v>45063</v>
      </c>
      <c r="C716" s="251">
        <v>1239.9100000000001</v>
      </c>
      <c r="D716" s="252" t="s">
        <v>798</v>
      </c>
      <c r="E716">
        <f t="shared" si="16"/>
        <v>104.7</v>
      </c>
    </row>
    <row r="717" spans="2:5" x14ac:dyDescent="0.3">
      <c r="B717" s="239">
        <v>45062</v>
      </c>
      <c r="C717" s="251">
        <v>1257.21</v>
      </c>
      <c r="D717" s="252" t="s">
        <v>439</v>
      </c>
      <c r="E717">
        <f t="shared" si="16"/>
        <v>52.4</v>
      </c>
    </row>
    <row r="718" spans="2:5" x14ac:dyDescent="0.3">
      <c r="B718" s="239">
        <v>45061</v>
      </c>
      <c r="C718" s="251">
        <v>1251.3</v>
      </c>
      <c r="D718" s="252" t="s">
        <v>468</v>
      </c>
      <c r="E718">
        <f t="shared" si="16"/>
        <v>55.3</v>
      </c>
    </row>
    <row r="719" spans="2:5" x14ac:dyDescent="0.3">
      <c r="B719" s="239">
        <v>45058</v>
      </c>
      <c r="C719" s="251">
        <v>1238.22</v>
      </c>
      <c r="D719" s="252" t="s">
        <v>797</v>
      </c>
      <c r="E719">
        <f t="shared" si="16"/>
        <v>82.899999999999991</v>
      </c>
    </row>
    <row r="720" spans="2:5" x14ac:dyDescent="0.3">
      <c r="B720" s="239">
        <v>45057</v>
      </c>
      <c r="C720" s="251">
        <v>1249.06</v>
      </c>
      <c r="D720" s="252" t="s">
        <v>796</v>
      </c>
      <c r="E720">
        <f t="shared" si="16"/>
        <v>68.900000000000006</v>
      </c>
    </row>
    <row r="721" spans="2:5" x14ac:dyDescent="0.3">
      <c r="B721" s="239">
        <v>45056</v>
      </c>
      <c r="C721" s="251">
        <v>1256.17</v>
      </c>
      <c r="D721" s="252" t="s">
        <v>637</v>
      </c>
      <c r="E721">
        <f t="shared" si="16"/>
        <v>65.2</v>
      </c>
    </row>
    <row r="722" spans="2:5" x14ac:dyDescent="0.3">
      <c r="B722" s="239">
        <v>45055</v>
      </c>
      <c r="C722" s="251">
        <v>1263.58</v>
      </c>
      <c r="D722" s="252" t="s">
        <v>445</v>
      </c>
      <c r="E722">
        <f t="shared" ref="E722:E785" si="17">(VALUE(LEFT(D722,LEN(D722)-1)*1000000))/100000</f>
        <v>49.7</v>
      </c>
    </row>
    <row r="723" spans="2:5" x14ac:dyDescent="0.3">
      <c r="B723" s="239">
        <v>45054</v>
      </c>
      <c r="C723" s="251">
        <v>1258.51</v>
      </c>
      <c r="D723" s="252" t="s">
        <v>585</v>
      </c>
      <c r="E723">
        <f t="shared" si="17"/>
        <v>52.6</v>
      </c>
    </row>
    <row r="724" spans="2:5" x14ac:dyDescent="0.3">
      <c r="B724" s="239">
        <v>45051</v>
      </c>
      <c r="C724" s="251">
        <v>1252.04</v>
      </c>
      <c r="D724" s="252" t="s">
        <v>795</v>
      </c>
      <c r="E724">
        <f t="shared" si="17"/>
        <v>53.7</v>
      </c>
    </row>
    <row r="725" spans="2:5" x14ac:dyDescent="0.3">
      <c r="B725" s="239">
        <v>45050</v>
      </c>
      <c r="C725" s="251">
        <v>1266.4100000000001</v>
      </c>
      <c r="D725" s="252" t="s">
        <v>658</v>
      </c>
      <c r="E725">
        <f t="shared" si="17"/>
        <v>45.1</v>
      </c>
    </row>
    <row r="726" spans="2:5" x14ac:dyDescent="0.3">
      <c r="B726" s="239">
        <v>45049</v>
      </c>
      <c r="C726" s="251">
        <v>1262.04</v>
      </c>
      <c r="D726" s="252" t="s">
        <v>492</v>
      </c>
      <c r="E726">
        <f t="shared" si="17"/>
        <v>55.5</v>
      </c>
    </row>
    <row r="727" spans="2:5" x14ac:dyDescent="0.3">
      <c r="B727" s="239">
        <v>45048</v>
      </c>
      <c r="C727" s="251">
        <v>1270.29</v>
      </c>
      <c r="D727" s="252" t="s">
        <v>794</v>
      </c>
      <c r="E727">
        <f t="shared" si="17"/>
        <v>88.9</v>
      </c>
    </row>
    <row r="728" spans="2:5" x14ac:dyDescent="0.3">
      <c r="B728" s="239">
        <v>45044</v>
      </c>
      <c r="C728" s="251">
        <v>1245.73</v>
      </c>
      <c r="D728" s="252" t="s">
        <v>793</v>
      </c>
      <c r="E728">
        <f t="shared" si="17"/>
        <v>101.2</v>
      </c>
    </row>
    <row r="729" spans="2:5" x14ac:dyDescent="0.3">
      <c r="B729" s="239">
        <v>45043</v>
      </c>
      <c r="C729" s="251">
        <v>1239.27</v>
      </c>
      <c r="D729" s="252" t="s">
        <v>792</v>
      </c>
      <c r="E729">
        <f t="shared" si="17"/>
        <v>80.2</v>
      </c>
    </row>
    <row r="730" spans="2:5" x14ac:dyDescent="0.3">
      <c r="B730" s="239">
        <v>45042</v>
      </c>
      <c r="C730" s="251">
        <v>1220.67</v>
      </c>
      <c r="D730" s="252" t="s">
        <v>413</v>
      </c>
      <c r="E730">
        <f t="shared" si="17"/>
        <v>56.8</v>
      </c>
    </row>
    <row r="731" spans="2:5" x14ac:dyDescent="0.3">
      <c r="B731" s="239">
        <v>45041</v>
      </c>
      <c r="C731" s="251">
        <v>1218.04</v>
      </c>
      <c r="D731" s="252" t="s">
        <v>791</v>
      </c>
      <c r="E731">
        <f t="shared" si="17"/>
        <v>68.099999999999994</v>
      </c>
    </row>
    <row r="732" spans="2:5" x14ac:dyDescent="0.3">
      <c r="B732" s="239">
        <v>45040</v>
      </c>
      <c r="C732" s="251">
        <v>1219.43</v>
      </c>
      <c r="D732" s="252" t="s">
        <v>790</v>
      </c>
      <c r="E732">
        <f t="shared" si="17"/>
        <v>83.100000000000009</v>
      </c>
    </row>
    <row r="733" spans="2:5" x14ac:dyDescent="0.3">
      <c r="B733" s="239">
        <v>45037</v>
      </c>
      <c r="C733" s="251">
        <v>1220.47</v>
      </c>
      <c r="D733" s="252" t="s">
        <v>789</v>
      </c>
      <c r="E733">
        <f t="shared" si="17"/>
        <v>86.9</v>
      </c>
    </row>
    <row r="734" spans="2:5" x14ac:dyDescent="0.3">
      <c r="B734" s="239">
        <v>45036</v>
      </c>
      <c r="C734" s="251">
        <v>1216.54</v>
      </c>
      <c r="D734" s="252" t="s">
        <v>788</v>
      </c>
      <c r="E734">
        <f t="shared" si="17"/>
        <v>86.2</v>
      </c>
    </row>
    <row r="735" spans="2:5" x14ac:dyDescent="0.3">
      <c r="B735" s="239">
        <v>45035</v>
      </c>
      <c r="C735" s="251">
        <v>1225.3</v>
      </c>
      <c r="D735" s="252" t="s">
        <v>787</v>
      </c>
      <c r="E735">
        <f t="shared" si="17"/>
        <v>113.1</v>
      </c>
    </row>
    <row r="736" spans="2:5" x14ac:dyDescent="0.3">
      <c r="B736" s="239">
        <v>45034</v>
      </c>
      <c r="C736" s="251">
        <v>1252.29</v>
      </c>
      <c r="D736" s="252" t="s">
        <v>786</v>
      </c>
      <c r="E736">
        <f t="shared" si="17"/>
        <v>124.3</v>
      </c>
    </row>
    <row r="737" spans="2:5" x14ac:dyDescent="0.3">
      <c r="B737" s="239">
        <v>45033</v>
      </c>
      <c r="C737" s="251">
        <v>1251.25</v>
      </c>
      <c r="D737" s="252" t="s">
        <v>785</v>
      </c>
      <c r="E737">
        <f t="shared" si="17"/>
        <v>531.70000000000005</v>
      </c>
    </row>
    <row r="738" spans="2:5" x14ac:dyDescent="0.3">
      <c r="B738" s="239">
        <v>45029</v>
      </c>
      <c r="C738" s="251">
        <v>1381.42</v>
      </c>
      <c r="D738" s="252" t="s">
        <v>784</v>
      </c>
      <c r="E738">
        <f t="shared" si="17"/>
        <v>112.7</v>
      </c>
    </row>
    <row r="739" spans="2:5" x14ac:dyDescent="0.3">
      <c r="B739" s="239">
        <v>45028</v>
      </c>
      <c r="C739" s="251">
        <v>1420.3</v>
      </c>
      <c r="D739" s="252" t="s">
        <v>783</v>
      </c>
      <c r="E739">
        <f t="shared" si="17"/>
        <v>58.3</v>
      </c>
    </row>
    <row r="740" spans="2:5" x14ac:dyDescent="0.3">
      <c r="B740" s="239">
        <v>45027</v>
      </c>
      <c r="C740" s="251">
        <v>1398.27</v>
      </c>
      <c r="D740" s="252" t="s">
        <v>782</v>
      </c>
      <c r="E740">
        <f t="shared" si="17"/>
        <v>69.400000000000006</v>
      </c>
    </row>
    <row r="741" spans="2:5" x14ac:dyDescent="0.3">
      <c r="B741" s="239">
        <v>45026</v>
      </c>
      <c r="C741" s="251">
        <v>1419.6</v>
      </c>
      <c r="D741" s="252" t="s">
        <v>436</v>
      </c>
      <c r="E741">
        <f t="shared" si="17"/>
        <v>49.9</v>
      </c>
    </row>
    <row r="742" spans="2:5" x14ac:dyDescent="0.3">
      <c r="B742" s="239">
        <v>45022</v>
      </c>
      <c r="C742" s="251">
        <v>1413.93</v>
      </c>
      <c r="D742" s="252" t="s">
        <v>781</v>
      </c>
      <c r="E742">
        <f t="shared" si="17"/>
        <v>69.5</v>
      </c>
    </row>
    <row r="743" spans="2:5" x14ac:dyDescent="0.3">
      <c r="B743" s="239">
        <v>45021</v>
      </c>
      <c r="C743" s="251">
        <v>1415.57</v>
      </c>
      <c r="D743" s="252" t="s">
        <v>780</v>
      </c>
      <c r="E743">
        <f t="shared" si="17"/>
        <v>75.099999999999994</v>
      </c>
    </row>
    <row r="744" spans="2:5" x14ac:dyDescent="0.3">
      <c r="B744" s="239">
        <v>45019</v>
      </c>
      <c r="C744" s="251">
        <v>1402.94</v>
      </c>
      <c r="D744" s="252" t="s">
        <v>439</v>
      </c>
      <c r="E744">
        <f t="shared" si="17"/>
        <v>52.4</v>
      </c>
    </row>
    <row r="745" spans="2:5" x14ac:dyDescent="0.3">
      <c r="B745" s="239">
        <v>45016</v>
      </c>
      <c r="C745" s="251">
        <v>1419.95</v>
      </c>
      <c r="D745" s="252" t="s">
        <v>779</v>
      </c>
      <c r="E745">
        <f t="shared" si="17"/>
        <v>87.1</v>
      </c>
    </row>
    <row r="746" spans="2:5" x14ac:dyDescent="0.3">
      <c r="B746" s="239">
        <v>45014</v>
      </c>
      <c r="C746" s="251">
        <v>1375.8</v>
      </c>
      <c r="D746" s="252" t="s">
        <v>778</v>
      </c>
      <c r="E746">
        <f t="shared" si="17"/>
        <v>88.1</v>
      </c>
    </row>
    <row r="747" spans="2:5" x14ac:dyDescent="0.3">
      <c r="B747" s="239">
        <v>45013</v>
      </c>
      <c r="C747" s="251">
        <v>1369.88</v>
      </c>
      <c r="D747" s="252" t="s">
        <v>708</v>
      </c>
      <c r="E747">
        <f t="shared" si="17"/>
        <v>66.3</v>
      </c>
    </row>
    <row r="748" spans="2:5" x14ac:dyDescent="0.3">
      <c r="B748" s="239">
        <v>45012</v>
      </c>
      <c r="C748" s="251">
        <v>1381.17</v>
      </c>
      <c r="D748" s="252" t="s">
        <v>777</v>
      </c>
      <c r="E748">
        <f t="shared" si="17"/>
        <v>41.7</v>
      </c>
    </row>
    <row r="749" spans="2:5" x14ac:dyDescent="0.3">
      <c r="B749" s="239">
        <v>45009</v>
      </c>
      <c r="C749" s="251">
        <v>1372.91</v>
      </c>
      <c r="D749" s="252" t="s">
        <v>772</v>
      </c>
      <c r="E749">
        <f t="shared" si="17"/>
        <v>75.599999999999994</v>
      </c>
    </row>
    <row r="750" spans="2:5" x14ac:dyDescent="0.3">
      <c r="B750" s="239">
        <v>45008</v>
      </c>
      <c r="C750" s="251">
        <v>1366.85</v>
      </c>
      <c r="D750" s="252" t="s">
        <v>776</v>
      </c>
      <c r="E750">
        <f t="shared" si="17"/>
        <v>76.099999999999994</v>
      </c>
    </row>
    <row r="751" spans="2:5" x14ac:dyDescent="0.3">
      <c r="B751" s="239">
        <v>45007</v>
      </c>
      <c r="C751" s="251">
        <v>1381.46</v>
      </c>
      <c r="D751" s="252" t="s">
        <v>616</v>
      </c>
      <c r="E751">
        <f t="shared" si="17"/>
        <v>83.6</v>
      </c>
    </row>
    <row r="752" spans="2:5" x14ac:dyDescent="0.3">
      <c r="B752" s="239">
        <v>45006</v>
      </c>
      <c r="C752" s="251">
        <v>1382.91</v>
      </c>
      <c r="D752" s="252" t="s">
        <v>775</v>
      </c>
      <c r="E752">
        <f t="shared" si="17"/>
        <v>85.4</v>
      </c>
    </row>
    <row r="753" spans="2:5" x14ac:dyDescent="0.3">
      <c r="B753" s="239">
        <v>45005</v>
      </c>
      <c r="C753" s="251">
        <v>1395.78</v>
      </c>
      <c r="D753" s="252" t="s">
        <v>774</v>
      </c>
      <c r="E753">
        <f t="shared" si="17"/>
        <v>82.2</v>
      </c>
    </row>
    <row r="754" spans="2:5" x14ac:dyDescent="0.3">
      <c r="B754" s="239">
        <v>45002</v>
      </c>
      <c r="C754" s="251">
        <v>1412.74</v>
      </c>
      <c r="D754" s="252" t="s">
        <v>773</v>
      </c>
      <c r="E754">
        <f t="shared" si="17"/>
        <v>90.9</v>
      </c>
    </row>
    <row r="755" spans="2:5" x14ac:dyDescent="0.3">
      <c r="B755" s="239">
        <v>45001</v>
      </c>
      <c r="C755" s="251">
        <v>1396.23</v>
      </c>
      <c r="D755" s="252" t="s">
        <v>426</v>
      </c>
      <c r="E755">
        <f t="shared" si="17"/>
        <v>73.2</v>
      </c>
    </row>
    <row r="756" spans="2:5" x14ac:dyDescent="0.3">
      <c r="B756" s="239">
        <v>45000</v>
      </c>
      <c r="C756" s="251">
        <v>1411.69</v>
      </c>
      <c r="D756" s="252" t="s">
        <v>772</v>
      </c>
      <c r="E756">
        <f t="shared" si="17"/>
        <v>75.599999999999994</v>
      </c>
    </row>
    <row r="757" spans="2:5" x14ac:dyDescent="0.3">
      <c r="B757" s="239">
        <v>44999</v>
      </c>
      <c r="C757" s="251">
        <v>1412.04</v>
      </c>
      <c r="D757" s="252" t="s">
        <v>678</v>
      </c>
      <c r="E757">
        <f t="shared" si="17"/>
        <v>74</v>
      </c>
    </row>
    <row r="758" spans="2:5" x14ac:dyDescent="0.3">
      <c r="B758" s="239">
        <v>44998</v>
      </c>
      <c r="C758" s="251">
        <v>1427.06</v>
      </c>
      <c r="D758" s="252" t="s">
        <v>771</v>
      </c>
      <c r="E758">
        <f t="shared" si="17"/>
        <v>88</v>
      </c>
    </row>
    <row r="759" spans="2:5" x14ac:dyDescent="0.3">
      <c r="B759" s="239">
        <v>44995</v>
      </c>
      <c r="C759" s="251">
        <v>1463.3</v>
      </c>
      <c r="D759" s="252" t="s">
        <v>770</v>
      </c>
      <c r="E759">
        <f t="shared" si="17"/>
        <v>37</v>
      </c>
    </row>
    <row r="760" spans="2:5" x14ac:dyDescent="0.3">
      <c r="B760" s="239">
        <v>44994</v>
      </c>
      <c r="C760" s="251">
        <v>1472.1</v>
      </c>
      <c r="D760" s="252" t="s">
        <v>769</v>
      </c>
      <c r="E760">
        <f t="shared" si="17"/>
        <v>51</v>
      </c>
    </row>
    <row r="761" spans="2:5" x14ac:dyDescent="0.3">
      <c r="B761" s="239">
        <v>44993</v>
      </c>
      <c r="C761" s="251">
        <v>1484.33</v>
      </c>
      <c r="D761" s="252" t="s">
        <v>768</v>
      </c>
      <c r="E761">
        <f t="shared" si="17"/>
        <v>41.4</v>
      </c>
    </row>
    <row r="762" spans="2:5" x14ac:dyDescent="0.3">
      <c r="B762" s="239">
        <v>44991</v>
      </c>
      <c r="C762" s="251">
        <v>1499</v>
      </c>
      <c r="D762" s="252" t="s">
        <v>507</v>
      </c>
      <c r="E762">
        <f t="shared" si="17"/>
        <v>65.599999999999994</v>
      </c>
    </row>
    <row r="763" spans="2:5" x14ac:dyDescent="0.3">
      <c r="B763" s="239">
        <v>44988</v>
      </c>
      <c r="C763" s="251">
        <v>1471.01</v>
      </c>
      <c r="D763" s="252" t="s">
        <v>575</v>
      </c>
      <c r="E763">
        <f t="shared" si="17"/>
        <v>46.2</v>
      </c>
    </row>
    <row r="764" spans="2:5" x14ac:dyDescent="0.3">
      <c r="B764" s="239">
        <v>44987</v>
      </c>
      <c r="C764" s="251">
        <v>1463.9</v>
      </c>
      <c r="D764" s="252" t="s">
        <v>685</v>
      </c>
      <c r="E764">
        <f t="shared" si="17"/>
        <v>46.4</v>
      </c>
    </row>
    <row r="765" spans="2:5" x14ac:dyDescent="0.3">
      <c r="B765" s="239">
        <v>44986</v>
      </c>
      <c r="C765" s="251">
        <v>1487.67</v>
      </c>
      <c r="D765" s="252" t="s">
        <v>622</v>
      </c>
      <c r="E765">
        <f t="shared" si="17"/>
        <v>51.3</v>
      </c>
    </row>
    <row r="766" spans="2:5" x14ac:dyDescent="0.3">
      <c r="B766" s="239">
        <v>44985</v>
      </c>
      <c r="C766" s="251">
        <v>1479.21</v>
      </c>
      <c r="D766" s="252" t="s">
        <v>767</v>
      </c>
      <c r="E766">
        <f t="shared" si="17"/>
        <v>96.8</v>
      </c>
    </row>
    <row r="767" spans="2:5" x14ac:dyDescent="0.3">
      <c r="B767" s="239">
        <v>44984</v>
      </c>
      <c r="C767" s="251">
        <v>1500.84</v>
      </c>
      <c r="D767" s="252" t="s">
        <v>766</v>
      </c>
      <c r="E767">
        <f t="shared" si="17"/>
        <v>49.2</v>
      </c>
    </row>
    <row r="768" spans="2:5" x14ac:dyDescent="0.3">
      <c r="B768" s="239">
        <v>44981</v>
      </c>
      <c r="C768" s="251">
        <v>1541.96</v>
      </c>
      <c r="D768" s="252" t="s">
        <v>765</v>
      </c>
      <c r="E768">
        <f t="shared" si="17"/>
        <v>27.9</v>
      </c>
    </row>
    <row r="769" spans="2:5" x14ac:dyDescent="0.3">
      <c r="B769" s="239">
        <v>44980</v>
      </c>
      <c r="C769" s="251">
        <v>1542.01</v>
      </c>
      <c r="D769" s="252" t="s">
        <v>564</v>
      </c>
      <c r="E769">
        <f t="shared" si="17"/>
        <v>47.7</v>
      </c>
    </row>
    <row r="770" spans="2:5" x14ac:dyDescent="0.3">
      <c r="B770" s="239">
        <v>44979</v>
      </c>
      <c r="C770" s="251">
        <v>1553.05</v>
      </c>
      <c r="D770" s="252" t="s">
        <v>764</v>
      </c>
      <c r="E770">
        <f t="shared" si="17"/>
        <v>36.6</v>
      </c>
    </row>
    <row r="771" spans="2:5" x14ac:dyDescent="0.3">
      <c r="B771" s="239">
        <v>44978</v>
      </c>
      <c r="C771" s="251">
        <v>1570.65</v>
      </c>
      <c r="D771" s="252" t="s">
        <v>763</v>
      </c>
      <c r="E771">
        <f t="shared" si="17"/>
        <v>27.2</v>
      </c>
    </row>
    <row r="772" spans="2:5" x14ac:dyDescent="0.3">
      <c r="B772" s="239">
        <v>44977</v>
      </c>
      <c r="C772" s="251">
        <v>1583.53</v>
      </c>
      <c r="D772" s="252" t="s">
        <v>762</v>
      </c>
      <c r="E772">
        <f t="shared" si="17"/>
        <v>24.2</v>
      </c>
    </row>
    <row r="773" spans="2:5" x14ac:dyDescent="0.3">
      <c r="B773" s="239">
        <v>44974</v>
      </c>
      <c r="C773" s="251">
        <v>1574.92</v>
      </c>
      <c r="D773" s="252" t="s">
        <v>761</v>
      </c>
      <c r="E773">
        <f t="shared" si="17"/>
        <v>28.6</v>
      </c>
    </row>
    <row r="774" spans="2:5" x14ac:dyDescent="0.3">
      <c r="B774" s="239">
        <v>44973</v>
      </c>
      <c r="C774" s="251">
        <v>1592.82</v>
      </c>
      <c r="D774" s="252" t="s">
        <v>713</v>
      </c>
      <c r="E774">
        <f t="shared" si="17"/>
        <v>42.9</v>
      </c>
    </row>
    <row r="775" spans="2:5" x14ac:dyDescent="0.3">
      <c r="B775" s="239">
        <v>44972</v>
      </c>
      <c r="C775" s="251">
        <v>1588.1</v>
      </c>
      <c r="D775" s="252" t="s">
        <v>541</v>
      </c>
      <c r="E775">
        <f t="shared" si="17"/>
        <v>34.700000000000003</v>
      </c>
    </row>
    <row r="776" spans="2:5" x14ac:dyDescent="0.3">
      <c r="B776" s="239">
        <v>44971</v>
      </c>
      <c r="C776" s="251">
        <v>1584.32</v>
      </c>
      <c r="D776" s="252" t="s">
        <v>760</v>
      </c>
      <c r="E776">
        <f t="shared" si="17"/>
        <v>50.4</v>
      </c>
    </row>
    <row r="777" spans="2:5" x14ac:dyDescent="0.3">
      <c r="B777" s="239">
        <v>44970</v>
      </c>
      <c r="C777" s="251">
        <v>1558.67</v>
      </c>
      <c r="D777" s="252" t="s">
        <v>759</v>
      </c>
      <c r="E777">
        <f t="shared" si="17"/>
        <v>40</v>
      </c>
    </row>
    <row r="778" spans="2:5" x14ac:dyDescent="0.3">
      <c r="B778" s="239">
        <v>44967</v>
      </c>
      <c r="C778" s="251">
        <v>1599.54</v>
      </c>
      <c r="D778" s="252" t="s">
        <v>452</v>
      </c>
      <c r="E778">
        <f t="shared" si="17"/>
        <v>47.9</v>
      </c>
    </row>
    <row r="779" spans="2:5" x14ac:dyDescent="0.3">
      <c r="B779" s="239">
        <v>44966</v>
      </c>
      <c r="C779" s="251">
        <v>1607.94</v>
      </c>
      <c r="D779" s="252" t="s">
        <v>758</v>
      </c>
      <c r="E779">
        <f t="shared" si="17"/>
        <v>69</v>
      </c>
    </row>
    <row r="780" spans="2:5" x14ac:dyDescent="0.3">
      <c r="B780" s="239">
        <v>44965</v>
      </c>
      <c r="C780" s="251">
        <v>1581.59</v>
      </c>
      <c r="D780" s="252" t="s">
        <v>757</v>
      </c>
      <c r="E780">
        <f t="shared" si="17"/>
        <v>79.8</v>
      </c>
    </row>
    <row r="781" spans="2:5" x14ac:dyDescent="0.3">
      <c r="B781" s="239">
        <v>44964</v>
      </c>
      <c r="C781" s="251">
        <v>1553.64</v>
      </c>
      <c r="D781" s="252" t="s">
        <v>756</v>
      </c>
      <c r="E781">
        <f t="shared" si="17"/>
        <v>43.4</v>
      </c>
    </row>
    <row r="782" spans="2:5" x14ac:dyDescent="0.3">
      <c r="B782" s="239">
        <v>44963</v>
      </c>
      <c r="C782" s="251">
        <v>1561.05</v>
      </c>
      <c r="D782" s="252" t="s">
        <v>755</v>
      </c>
      <c r="E782">
        <f t="shared" si="17"/>
        <v>45.7</v>
      </c>
    </row>
    <row r="783" spans="2:5" x14ac:dyDescent="0.3">
      <c r="B783" s="239">
        <v>44960</v>
      </c>
      <c r="C783" s="251">
        <v>1590.44</v>
      </c>
      <c r="D783" s="252" t="s">
        <v>754</v>
      </c>
      <c r="E783">
        <f t="shared" si="17"/>
        <v>70.400000000000006</v>
      </c>
    </row>
    <row r="784" spans="2:5" x14ac:dyDescent="0.3">
      <c r="B784" s="239">
        <v>44959</v>
      </c>
      <c r="C784" s="251">
        <v>1574.88</v>
      </c>
      <c r="D784" s="252" t="s">
        <v>753</v>
      </c>
      <c r="E784">
        <f t="shared" si="17"/>
        <v>69.2</v>
      </c>
    </row>
    <row r="785" spans="2:5" x14ac:dyDescent="0.3">
      <c r="B785" s="239">
        <v>44958</v>
      </c>
      <c r="C785" s="251">
        <v>1542.41</v>
      </c>
      <c r="D785" s="252" t="s">
        <v>502</v>
      </c>
      <c r="E785">
        <f t="shared" si="17"/>
        <v>61.9</v>
      </c>
    </row>
    <row r="786" spans="2:5" x14ac:dyDescent="0.3">
      <c r="B786" s="239">
        <v>44957</v>
      </c>
      <c r="C786" s="251">
        <v>1525.16</v>
      </c>
      <c r="D786" s="252" t="s">
        <v>752</v>
      </c>
      <c r="E786">
        <f t="shared" ref="E786:E849" si="18">(VALUE(LEFT(D786,LEN(D786)-1)*1000000))/100000</f>
        <v>94.5</v>
      </c>
    </row>
    <row r="787" spans="2:5" x14ac:dyDescent="0.3">
      <c r="B787" s="239">
        <v>44956</v>
      </c>
      <c r="C787" s="251">
        <v>1530.18</v>
      </c>
      <c r="D787" s="252" t="s">
        <v>751</v>
      </c>
      <c r="E787">
        <f t="shared" si="18"/>
        <v>69.599999999999994</v>
      </c>
    </row>
    <row r="788" spans="2:5" x14ac:dyDescent="0.3">
      <c r="B788" s="239">
        <v>44953</v>
      </c>
      <c r="C788" s="251">
        <v>1510.64</v>
      </c>
      <c r="D788" s="252" t="s">
        <v>501</v>
      </c>
      <c r="E788">
        <f t="shared" si="18"/>
        <v>62.1</v>
      </c>
    </row>
    <row r="789" spans="2:5" x14ac:dyDescent="0.3">
      <c r="B789" s="239">
        <v>44951</v>
      </c>
      <c r="C789" s="251">
        <v>1534.35</v>
      </c>
      <c r="D789" s="252" t="s">
        <v>569</v>
      </c>
      <c r="E789">
        <f t="shared" si="18"/>
        <v>41.6</v>
      </c>
    </row>
    <row r="790" spans="2:5" x14ac:dyDescent="0.3">
      <c r="B790" s="239">
        <v>44950</v>
      </c>
      <c r="C790" s="251">
        <v>1543.2</v>
      </c>
      <c r="D790" s="252" t="s">
        <v>750</v>
      </c>
      <c r="E790">
        <f t="shared" si="18"/>
        <v>52</v>
      </c>
    </row>
    <row r="791" spans="2:5" x14ac:dyDescent="0.3">
      <c r="B791" s="239">
        <v>44949</v>
      </c>
      <c r="C791" s="251">
        <v>1539.32</v>
      </c>
      <c r="D791" s="252" t="s">
        <v>739</v>
      </c>
      <c r="E791">
        <f t="shared" si="18"/>
        <v>48.6</v>
      </c>
    </row>
    <row r="792" spans="2:5" x14ac:dyDescent="0.3">
      <c r="B792" s="239">
        <v>44946</v>
      </c>
      <c r="C792" s="251">
        <v>1517</v>
      </c>
      <c r="D792" s="252" t="s">
        <v>749</v>
      </c>
      <c r="E792">
        <f t="shared" si="18"/>
        <v>65</v>
      </c>
    </row>
    <row r="793" spans="2:5" x14ac:dyDescent="0.3">
      <c r="B793" s="239">
        <v>44945</v>
      </c>
      <c r="C793" s="251">
        <v>1530.28</v>
      </c>
      <c r="D793" s="252" t="s">
        <v>619</v>
      </c>
      <c r="E793">
        <f t="shared" si="18"/>
        <v>61.7</v>
      </c>
    </row>
    <row r="794" spans="2:5" x14ac:dyDescent="0.3">
      <c r="B794" s="239">
        <v>44944</v>
      </c>
      <c r="C794" s="251">
        <v>1536.74</v>
      </c>
      <c r="D794" s="252" t="s">
        <v>668</v>
      </c>
      <c r="E794">
        <f t="shared" si="18"/>
        <v>58.4</v>
      </c>
    </row>
    <row r="795" spans="2:5" x14ac:dyDescent="0.3">
      <c r="B795" s="239">
        <v>44943</v>
      </c>
      <c r="C795" s="251">
        <v>1530.87</v>
      </c>
      <c r="D795" s="252" t="s">
        <v>748</v>
      </c>
      <c r="E795">
        <f t="shared" si="18"/>
        <v>59.2</v>
      </c>
    </row>
    <row r="796" spans="2:5" x14ac:dyDescent="0.3">
      <c r="B796" s="239">
        <v>44942</v>
      </c>
      <c r="C796" s="251">
        <v>1516.95</v>
      </c>
      <c r="D796" s="252" t="s">
        <v>747</v>
      </c>
      <c r="E796">
        <f t="shared" si="18"/>
        <v>60.7</v>
      </c>
    </row>
    <row r="797" spans="2:5" x14ac:dyDescent="0.3">
      <c r="B797" s="239">
        <v>44939</v>
      </c>
      <c r="C797" s="251">
        <v>1495.22</v>
      </c>
      <c r="D797" s="252" t="s">
        <v>746</v>
      </c>
      <c r="E797">
        <f t="shared" si="18"/>
        <v>116.1</v>
      </c>
    </row>
    <row r="798" spans="2:5" x14ac:dyDescent="0.3">
      <c r="B798" s="239">
        <v>44938</v>
      </c>
      <c r="C798" s="251">
        <v>1472.3</v>
      </c>
      <c r="D798" s="252" t="s">
        <v>638</v>
      </c>
      <c r="E798">
        <f t="shared" si="18"/>
        <v>65.900000000000006</v>
      </c>
    </row>
    <row r="799" spans="2:5" x14ac:dyDescent="0.3">
      <c r="B799" s="239">
        <v>44937</v>
      </c>
      <c r="C799" s="251">
        <v>1463.01</v>
      </c>
      <c r="D799" s="252" t="s">
        <v>619</v>
      </c>
      <c r="E799">
        <f t="shared" si="18"/>
        <v>61.7</v>
      </c>
    </row>
    <row r="800" spans="2:5" x14ac:dyDescent="0.3">
      <c r="B800" s="239">
        <v>44936</v>
      </c>
      <c r="C800" s="251">
        <v>1461.51</v>
      </c>
      <c r="D800" s="252" t="s">
        <v>745</v>
      </c>
      <c r="E800">
        <f t="shared" si="18"/>
        <v>71.599999999999994</v>
      </c>
    </row>
    <row r="801" spans="2:5" x14ac:dyDescent="0.3">
      <c r="B801" s="239">
        <v>44935</v>
      </c>
      <c r="C801" s="251">
        <v>1476.13</v>
      </c>
      <c r="D801" s="252" t="s">
        <v>744</v>
      </c>
      <c r="E801">
        <f t="shared" si="18"/>
        <v>115</v>
      </c>
    </row>
    <row r="802" spans="2:5" x14ac:dyDescent="0.3">
      <c r="B802" s="239">
        <v>44932</v>
      </c>
      <c r="C802" s="251">
        <v>1440.38</v>
      </c>
      <c r="D802" s="252" t="s">
        <v>734</v>
      </c>
      <c r="E802">
        <f t="shared" si="18"/>
        <v>64.400000000000006</v>
      </c>
    </row>
    <row r="803" spans="2:5" x14ac:dyDescent="0.3">
      <c r="B803" s="239">
        <v>44931</v>
      </c>
      <c r="C803" s="251">
        <v>1466.93</v>
      </c>
      <c r="D803" s="252" t="s">
        <v>743</v>
      </c>
      <c r="E803">
        <f t="shared" si="18"/>
        <v>98.7</v>
      </c>
    </row>
    <row r="804" spans="2:5" x14ac:dyDescent="0.3">
      <c r="B804" s="239">
        <v>44930</v>
      </c>
      <c r="C804" s="251">
        <v>1486.42</v>
      </c>
      <c r="D804" s="252" t="s">
        <v>742</v>
      </c>
      <c r="E804">
        <f t="shared" si="18"/>
        <v>70.599999999999994</v>
      </c>
    </row>
    <row r="805" spans="2:5" x14ac:dyDescent="0.3">
      <c r="B805" s="239">
        <v>44929</v>
      </c>
      <c r="C805" s="251">
        <v>1514.02</v>
      </c>
      <c r="D805" s="252" t="s">
        <v>518</v>
      </c>
      <c r="E805">
        <f t="shared" si="18"/>
        <v>45.5</v>
      </c>
    </row>
    <row r="806" spans="2:5" x14ac:dyDescent="0.3">
      <c r="B806" s="239">
        <v>44928</v>
      </c>
      <c r="C806" s="251">
        <v>1515.46</v>
      </c>
      <c r="D806" s="252" t="s">
        <v>741</v>
      </c>
      <c r="E806">
        <f t="shared" si="18"/>
        <v>38</v>
      </c>
    </row>
    <row r="807" spans="2:5" x14ac:dyDescent="0.3">
      <c r="B807" s="239">
        <v>44925</v>
      </c>
      <c r="C807" s="251">
        <v>1499.75</v>
      </c>
      <c r="D807" s="252" t="s">
        <v>660</v>
      </c>
      <c r="E807">
        <f t="shared" si="18"/>
        <v>50.6</v>
      </c>
    </row>
    <row r="808" spans="2:5" x14ac:dyDescent="0.3">
      <c r="B808" s="239">
        <v>44924</v>
      </c>
      <c r="C808" s="251">
        <v>1509.05</v>
      </c>
      <c r="D808" s="252" t="s">
        <v>575</v>
      </c>
      <c r="E808">
        <f t="shared" si="18"/>
        <v>46.2</v>
      </c>
    </row>
    <row r="809" spans="2:5" x14ac:dyDescent="0.3">
      <c r="B809" s="239">
        <v>44923</v>
      </c>
      <c r="C809" s="251">
        <v>1501.69</v>
      </c>
      <c r="D809" s="252" t="s">
        <v>740</v>
      </c>
      <c r="E809">
        <f t="shared" si="18"/>
        <v>50.3</v>
      </c>
    </row>
    <row r="810" spans="2:5" x14ac:dyDescent="0.3">
      <c r="B810" s="239">
        <v>44922</v>
      </c>
      <c r="C810" s="251">
        <v>1506.36</v>
      </c>
      <c r="D810" s="252" t="s">
        <v>739</v>
      </c>
      <c r="E810">
        <f t="shared" si="18"/>
        <v>48.6</v>
      </c>
    </row>
    <row r="811" spans="2:5" x14ac:dyDescent="0.3">
      <c r="B811" s="239">
        <v>44921</v>
      </c>
      <c r="C811" s="251">
        <v>1493.98</v>
      </c>
      <c r="D811" s="252" t="s">
        <v>738</v>
      </c>
      <c r="E811">
        <f t="shared" si="18"/>
        <v>41.2</v>
      </c>
    </row>
    <row r="812" spans="2:5" x14ac:dyDescent="0.3">
      <c r="B812" s="239">
        <v>44918</v>
      </c>
      <c r="C812" s="251">
        <v>1488.71</v>
      </c>
      <c r="D812" s="252" t="s">
        <v>737</v>
      </c>
      <c r="E812">
        <f t="shared" si="18"/>
        <v>62.8</v>
      </c>
    </row>
    <row r="813" spans="2:5" x14ac:dyDescent="0.3">
      <c r="B813" s="239">
        <v>44917</v>
      </c>
      <c r="C813" s="251">
        <v>1513.52</v>
      </c>
      <c r="D813" s="252" t="s">
        <v>736</v>
      </c>
      <c r="E813">
        <f t="shared" si="18"/>
        <v>63</v>
      </c>
    </row>
    <row r="814" spans="2:5" x14ac:dyDescent="0.3">
      <c r="B814" s="239">
        <v>44916</v>
      </c>
      <c r="C814" s="251">
        <v>1501.09</v>
      </c>
      <c r="D814" s="252" t="s">
        <v>735</v>
      </c>
      <c r="E814">
        <f t="shared" si="18"/>
        <v>62.4</v>
      </c>
    </row>
    <row r="815" spans="2:5" x14ac:dyDescent="0.3">
      <c r="B815" s="239">
        <v>44915</v>
      </c>
      <c r="C815" s="251">
        <v>1498.85</v>
      </c>
      <c r="D815" s="252" t="s">
        <v>678</v>
      </c>
      <c r="E815">
        <f t="shared" si="18"/>
        <v>74</v>
      </c>
    </row>
    <row r="816" spans="2:5" x14ac:dyDescent="0.3">
      <c r="B816" s="239">
        <v>44914</v>
      </c>
      <c r="C816" s="251">
        <v>1498.9</v>
      </c>
      <c r="D816" s="252" t="s">
        <v>634</v>
      </c>
      <c r="E816">
        <f t="shared" si="18"/>
        <v>62.2</v>
      </c>
    </row>
    <row r="817" spans="2:5" x14ac:dyDescent="0.3">
      <c r="B817" s="239">
        <v>44911</v>
      </c>
      <c r="C817" s="251">
        <v>1513.67</v>
      </c>
      <c r="D817" s="252" t="s">
        <v>642</v>
      </c>
      <c r="E817">
        <f t="shared" si="18"/>
        <v>96.3</v>
      </c>
    </row>
    <row r="818" spans="2:5" x14ac:dyDescent="0.3">
      <c r="B818" s="239">
        <v>44910</v>
      </c>
      <c r="C818" s="251">
        <v>1531.87</v>
      </c>
      <c r="D818" s="252" t="s">
        <v>734</v>
      </c>
      <c r="E818">
        <f t="shared" si="18"/>
        <v>64.400000000000006</v>
      </c>
    </row>
    <row r="819" spans="2:5" x14ac:dyDescent="0.3">
      <c r="B819" s="239">
        <v>44909</v>
      </c>
      <c r="C819" s="251">
        <v>1570.55</v>
      </c>
      <c r="D819" s="252" t="s">
        <v>733</v>
      </c>
      <c r="E819">
        <f t="shared" si="18"/>
        <v>49.8</v>
      </c>
    </row>
    <row r="820" spans="2:5" x14ac:dyDescent="0.3">
      <c r="B820" s="239">
        <v>44908</v>
      </c>
      <c r="C820" s="251">
        <v>1563.34</v>
      </c>
      <c r="D820" s="252" t="s">
        <v>460</v>
      </c>
      <c r="E820">
        <f t="shared" si="18"/>
        <v>61.4</v>
      </c>
    </row>
    <row r="821" spans="2:5" x14ac:dyDescent="0.3">
      <c r="B821" s="239">
        <v>44907</v>
      </c>
      <c r="C821" s="251">
        <v>1538.53</v>
      </c>
      <c r="D821" s="252" t="s">
        <v>732</v>
      </c>
      <c r="E821">
        <f t="shared" si="18"/>
        <v>80.399999999999991</v>
      </c>
    </row>
    <row r="822" spans="2:5" x14ac:dyDescent="0.3">
      <c r="B822" s="239">
        <v>44904</v>
      </c>
      <c r="C822" s="251">
        <v>1560.51</v>
      </c>
      <c r="D822" s="252" t="s">
        <v>601</v>
      </c>
      <c r="E822">
        <f t="shared" si="18"/>
        <v>88.8</v>
      </c>
    </row>
    <row r="823" spans="2:5" x14ac:dyDescent="0.3">
      <c r="B823" s="239">
        <v>44903</v>
      </c>
      <c r="C823" s="251">
        <v>1611.07</v>
      </c>
      <c r="D823" s="252" t="s">
        <v>731</v>
      </c>
      <c r="E823">
        <f t="shared" si="18"/>
        <v>42.1</v>
      </c>
    </row>
    <row r="824" spans="2:5" x14ac:dyDescent="0.3">
      <c r="B824" s="239">
        <v>44902</v>
      </c>
      <c r="C824" s="251">
        <v>1596.5</v>
      </c>
      <c r="D824" s="252" t="s">
        <v>497</v>
      </c>
      <c r="E824">
        <f t="shared" si="18"/>
        <v>49</v>
      </c>
    </row>
    <row r="825" spans="2:5" x14ac:dyDescent="0.3">
      <c r="B825" s="239">
        <v>44901</v>
      </c>
      <c r="C825" s="251">
        <v>1603.86</v>
      </c>
      <c r="D825" s="252" t="s">
        <v>440</v>
      </c>
      <c r="E825">
        <f t="shared" si="18"/>
        <v>48.2</v>
      </c>
    </row>
    <row r="826" spans="2:5" x14ac:dyDescent="0.3">
      <c r="B826" s="239">
        <v>44900</v>
      </c>
      <c r="C826" s="251">
        <v>1630.56</v>
      </c>
      <c r="D826" s="252" t="s">
        <v>730</v>
      </c>
      <c r="E826">
        <f t="shared" si="18"/>
        <v>38.200000000000003</v>
      </c>
    </row>
    <row r="827" spans="2:5" x14ac:dyDescent="0.3">
      <c r="B827" s="239">
        <v>44897</v>
      </c>
      <c r="C827" s="251">
        <v>1628.72</v>
      </c>
      <c r="D827" s="252" t="s">
        <v>729</v>
      </c>
      <c r="E827">
        <f t="shared" si="18"/>
        <v>42.8</v>
      </c>
    </row>
    <row r="828" spans="2:5" x14ac:dyDescent="0.3">
      <c r="B828" s="239">
        <v>44896</v>
      </c>
      <c r="C828" s="251">
        <v>1647.81</v>
      </c>
      <c r="D828" s="252" t="s">
        <v>430</v>
      </c>
      <c r="E828">
        <f t="shared" si="18"/>
        <v>54.1</v>
      </c>
    </row>
    <row r="829" spans="2:5" x14ac:dyDescent="0.3">
      <c r="B829" s="239">
        <v>44895</v>
      </c>
      <c r="C829" s="251">
        <v>1625.79</v>
      </c>
      <c r="D829" s="252" t="s">
        <v>728</v>
      </c>
      <c r="E829">
        <f t="shared" si="18"/>
        <v>118.7</v>
      </c>
    </row>
    <row r="830" spans="2:5" x14ac:dyDescent="0.3">
      <c r="B830" s="239">
        <v>44894</v>
      </c>
      <c r="C830" s="251">
        <v>1619.92</v>
      </c>
      <c r="D830" s="252" t="s">
        <v>724</v>
      </c>
      <c r="E830">
        <f t="shared" si="18"/>
        <v>31.3</v>
      </c>
    </row>
    <row r="831" spans="2:5" x14ac:dyDescent="0.3">
      <c r="B831" s="239">
        <v>44893</v>
      </c>
      <c r="C831" s="251">
        <v>1614.3</v>
      </c>
      <c r="D831" s="252" t="s">
        <v>519</v>
      </c>
      <c r="E831">
        <f t="shared" si="18"/>
        <v>38.299999999999997</v>
      </c>
    </row>
    <row r="832" spans="2:5" x14ac:dyDescent="0.3">
      <c r="B832" s="239">
        <v>44890</v>
      </c>
      <c r="C832" s="251">
        <v>1626.48</v>
      </c>
      <c r="D832" s="252" t="s">
        <v>432</v>
      </c>
      <c r="E832">
        <f t="shared" si="18"/>
        <v>45.6</v>
      </c>
    </row>
    <row r="833" spans="2:5" x14ac:dyDescent="0.3">
      <c r="B833" s="239">
        <v>44889</v>
      </c>
      <c r="C833" s="251">
        <v>1620.67</v>
      </c>
      <c r="D833" s="252" t="s">
        <v>727</v>
      </c>
      <c r="E833">
        <f t="shared" si="18"/>
        <v>52.8</v>
      </c>
    </row>
    <row r="834" spans="2:5" x14ac:dyDescent="0.3">
      <c r="B834" s="239">
        <v>44888</v>
      </c>
      <c r="C834" s="251">
        <v>1574.28</v>
      </c>
      <c r="D834" s="252" t="s">
        <v>515</v>
      </c>
      <c r="E834">
        <f t="shared" si="18"/>
        <v>32.5</v>
      </c>
    </row>
    <row r="835" spans="2:5" x14ac:dyDescent="0.3">
      <c r="B835" s="239">
        <v>44887</v>
      </c>
      <c r="C835" s="251">
        <v>1576.17</v>
      </c>
      <c r="D835" s="252" t="s">
        <v>726</v>
      </c>
      <c r="E835">
        <f t="shared" si="18"/>
        <v>34</v>
      </c>
    </row>
    <row r="836" spans="2:5" x14ac:dyDescent="0.3">
      <c r="B836" s="239">
        <v>44886</v>
      </c>
      <c r="C836" s="251">
        <v>1559.41</v>
      </c>
      <c r="D836" s="252" t="s">
        <v>725</v>
      </c>
      <c r="E836">
        <f t="shared" si="18"/>
        <v>30.7</v>
      </c>
    </row>
    <row r="837" spans="2:5" x14ac:dyDescent="0.3">
      <c r="B837" s="239">
        <v>44883</v>
      </c>
      <c r="C837" s="251">
        <v>1584.47</v>
      </c>
      <c r="D837" s="252" t="s">
        <v>724</v>
      </c>
      <c r="E837">
        <f t="shared" si="18"/>
        <v>31.3</v>
      </c>
    </row>
    <row r="838" spans="2:5" x14ac:dyDescent="0.3">
      <c r="B838" s="239">
        <v>44882</v>
      </c>
      <c r="C838" s="251">
        <v>1578.5</v>
      </c>
      <c r="D838" s="252" t="s">
        <v>541</v>
      </c>
      <c r="E838">
        <f t="shared" si="18"/>
        <v>34.700000000000003</v>
      </c>
    </row>
    <row r="839" spans="2:5" x14ac:dyDescent="0.3">
      <c r="B839" s="239">
        <v>44881</v>
      </c>
      <c r="C839" s="251">
        <v>1593.82</v>
      </c>
      <c r="D839" s="252" t="s">
        <v>723</v>
      </c>
      <c r="E839">
        <f t="shared" si="18"/>
        <v>45</v>
      </c>
    </row>
    <row r="840" spans="2:5" x14ac:dyDescent="0.3">
      <c r="B840" s="239">
        <v>44880</v>
      </c>
      <c r="C840" s="251">
        <v>1585.07</v>
      </c>
      <c r="D840" s="252" t="s">
        <v>459</v>
      </c>
      <c r="E840">
        <f t="shared" si="18"/>
        <v>35</v>
      </c>
    </row>
    <row r="841" spans="2:5" x14ac:dyDescent="0.3">
      <c r="B841" s="239">
        <v>44879</v>
      </c>
      <c r="C841" s="251">
        <v>1576.42</v>
      </c>
      <c r="D841" s="252" t="s">
        <v>722</v>
      </c>
      <c r="E841">
        <f t="shared" si="18"/>
        <v>49.1</v>
      </c>
    </row>
    <row r="842" spans="2:5" x14ac:dyDescent="0.3">
      <c r="B842" s="239">
        <v>44876</v>
      </c>
      <c r="C842" s="251">
        <v>1561.3</v>
      </c>
      <c r="D842" s="252" t="s">
        <v>647</v>
      </c>
      <c r="E842">
        <f t="shared" si="18"/>
        <v>72.099999999999994</v>
      </c>
    </row>
    <row r="843" spans="2:5" x14ac:dyDescent="0.3">
      <c r="B843" s="239">
        <v>44875</v>
      </c>
      <c r="C843" s="251">
        <v>1493.53</v>
      </c>
      <c r="D843" s="252" t="s">
        <v>478</v>
      </c>
      <c r="E843">
        <f t="shared" si="18"/>
        <v>34.4</v>
      </c>
    </row>
    <row r="844" spans="2:5" x14ac:dyDescent="0.3">
      <c r="B844" s="239">
        <v>44874</v>
      </c>
      <c r="C844" s="251">
        <v>1502.73</v>
      </c>
      <c r="D844" s="252" t="s">
        <v>477</v>
      </c>
      <c r="E844">
        <f t="shared" si="18"/>
        <v>33.299999999999997</v>
      </c>
    </row>
    <row r="845" spans="2:5" x14ac:dyDescent="0.3">
      <c r="B845" s="239">
        <v>44872</v>
      </c>
      <c r="C845" s="251">
        <v>1499</v>
      </c>
      <c r="D845" s="252" t="s">
        <v>497</v>
      </c>
      <c r="E845">
        <f t="shared" si="18"/>
        <v>49</v>
      </c>
    </row>
    <row r="846" spans="2:5" x14ac:dyDescent="0.3">
      <c r="B846" s="239">
        <v>44869</v>
      </c>
      <c r="C846" s="251">
        <v>1505.52</v>
      </c>
      <c r="D846" s="252" t="s">
        <v>658</v>
      </c>
      <c r="E846">
        <f t="shared" si="18"/>
        <v>45.1</v>
      </c>
    </row>
    <row r="847" spans="2:5" x14ac:dyDescent="0.3">
      <c r="B847" s="239">
        <v>44868</v>
      </c>
      <c r="C847" s="251">
        <v>1522.17</v>
      </c>
      <c r="D847" s="252" t="s">
        <v>721</v>
      </c>
      <c r="E847">
        <f t="shared" si="18"/>
        <v>31.7</v>
      </c>
    </row>
    <row r="848" spans="2:5" x14ac:dyDescent="0.3">
      <c r="B848" s="239">
        <v>44867</v>
      </c>
      <c r="C848" s="251">
        <v>1544.59</v>
      </c>
      <c r="D848" s="252" t="s">
        <v>720</v>
      </c>
      <c r="E848">
        <f t="shared" si="18"/>
        <v>29.4</v>
      </c>
    </row>
    <row r="849" spans="2:5" x14ac:dyDescent="0.3">
      <c r="B849" s="239">
        <v>44866</v>
      </c>
      <c r="C849" s="251">
        <v>1564.19</v>
      </c>
      <c r="D849" s="252" t="s">
        <v>719</v>
      </c>
      <c r="E849">
        <f t="shared" si="18"/>
        <v>45.4</v>
      </c>
    </row>
    <row r="850" spans="2:5" x14ac:dyDescent="0.3">
      <c r="B850" s="239">
        <v>44865</v>
      </c>
      <c r="C850" s="251">
        <v>1529.03</v>
      </c>
      <c r="D850" s="252" t="s">
        <v>719</v>
      </c>
      <c r="E850">
        <f t="shared" ref="E850:E853" si="19">(VALUE(LEFT(D850,LEN(D850)-1)*1000000))/100000</f>
        <v>45.4</v>
      </c>
    </row>
    <row r="851" spans="2:5" x14ac:dyDescent="0.3">
      <c r="B851" s="239">
        <v>44862</v>
      </c>
      <c r="C851" s="251">
        <v>1504.77</v>
      </c>
      <c r="D851" s="252" t="s">
        <v>565</v>
      </c>
      <c r="E851">
        <f t="shared" si="19"/>
        <v>30.5</v>
      </c>
    </row>
    <row r="852" spans="2:5" x14ac:dyDescent="0.3">
      <c r="B852" s="239">
        <v>44861</v>
      </c>
      <c r="C852" s="251">
        <v>1515.41</v>
      </c>
      <c r="D852" s="252" t="s">
        <v>718</v>
      </c>
      <c r="E852">
        <f t="shared" si="19"/>
        <v>67.599999999999994</v>
      </c>
    </row>
    <row r="853" spans="2:5" x14ac:dyDescent="0.3">
      <c r="B853" s="239">
        <v>44859</v>
      </c>
      <c r="C853" s="251">
        <v>1517.75</v>
      </c>
      <c r="D853" s="252" t="s">
        <v>717</v>
      </c>
      <c r="E853">
        <f t="shared" si="19"/>
        <v>39.1</v>
      </c>
    </row>
    <row r="854" spans="2:5" x14ac:dyDescent="0.3">
      <c r="B854" s="239">
        <v>44858</v>
      </c>
      <c r="C854" s="251">
        <v>1509.34</v>
      </c>
      <c r="D854" s="252" t="s">
        <v>716</v>
      </c>
      <c r="E854">
        <f>(VALUE(LEFT(D854,LEN(D854)-1)*1000))/100000</f>
        <v>9.8284000000000002</v>
      </c>
    </row>
    <row r="855" spans="2:5" x14ac:dyDescent="0.3">
      <c r="B855" s="239">
        <v>44855</v>
      </c>
      <c r="C855" s="251">
        <v>1492.09</v>
      </c>
      <c r="D855" s="252" t="s">
        <v>715</v>
      </c>
      <c r="E855">
        <f t="shared" ref="E855:E918" si="20">(VALUE(LEFT(D855,LEN(D855)-1)*1000000))/100000</f>
        <v>35.9</v>
      </c>
    </row>
    <row r="856" spans="2:5" x14ac:dyDescent="0.3">
      <c r="B856" s="239">
        <v>44854</v>
      </c>
      <c r="C856" s="251">
        <v>1492.49</v>
      </c>
      <c r="D856" s="252" t="s">
        <v>513</v>
      </c>
      <c r="E856">
        <f t="shared" si="20"/>
        <v>45.8</v>
      </c>
    </row>
    <row r="857" spans="2:5" x14ac:dyDescent="0.3">
      <c r="B857" s="239">
        <v>44853</v>
      </c>
      <c r="C857" s="251">
        <v>1477.13</v>
      </c>
      <c r="D857" s="252" t="s">
        <v>714</v>
      </c>
      <c r="E857">
        <f t="shared" si="20"/>
        <v>35.5</v>
      </c>
    </row>
    <row r="858" spans="2:5" x14ac:dyDescent="0.3">
      <c r="B858" s="239">
        <v>44852</v>
      </c>
      <c r="C858" s="251">
        <v>1495.27</v>
      </c>
      <c r="D858" s="252" t="s">
        <v>489</v>
      </c>
      <c r="E858">
        <f t="shared" si="20"/>
        <v>46.9</v>
      </c>
    </row>
    <row r="859" spans="2:5" x14ac:dyDescent="0.3">
      <c r="B859" s="239">
        <v>44851</v>
      </c>
      <c r="C859" s="251">
        <v>1481.6</v>
      </c>
      <c r="D859" s="252" t="s">
        <v>713</v>
      </c>
      <c r="E859">
        <f t="shared" si="20"/>
        <v>42.9</v>
      </c>
    </row>
    <row r="860" spans="2:5" x14ac:dyDescent="0.3">
      <c r="B860" s="239">
        <v>44848</v>
      </c>
      <c r="C860" s="251">
        <v>1465.99</v>
      </c>
      <c r="D860" s="252" t="s">
        <v>712</v>
      </c>
      <c r="E860">
        <f t="shared" si="20"/>
        <v>149.9</v>
      </c>
    </row>
    <row r="861" spans="2:5" x14ac:dyDescent="0.3">
      <c r="B861" s="239">
        <v>44847</v>
      </c>
      <c r="C861" s="251">
        <v>1411.94</v>
      </c>
      <c r="D861" s="252" t="s">
        <v>440</v>
      </c>
      <c r="E861">
        <f t="shared" si="20"/>
        <v>48.2</v>
      </c>
    </row>
    <row r="862" spans="2:5" x14ac:dyDescent="0.3">
      <c r="B862" s="239">
        <v>44846</v>
      </c>
      <c r="C862" s="251">
        <v>1420.69</v>
      </c>
      <c r="D862" s="252" t="s">
        <v>528</v>
      </c>
      <c r="E862">
        <f t="shared" si="20"/>
        <v>54.8</v>
      </c>
    </row>
    <row r="863" spans="2:5" x14ac:dyDescent="0.3">
      <c r="B863" s="239">
        <v>44845</v>
      </c>
      <c r="C863" s="251">
        <v>1415.82</v>
      </c>
      <c r="D863" s="252" t="s">
        <v>711</v>
      </c>
      <c r="E863">
        <f t="shared" si="20"/>
        <v>128.19999999999999</v>
      </c>
    </row>
    <row r="864" spans="2:5" x14ac:dyDescent="0.3">
      <c r="B864" s="239">
        <v>44844</v>
      </c>
      <c r="C864" s="251">
        <v>1454.45</v>
      </c>
      <c r="D864" s="252" t="s">
        <v>710</v>
      </c>
      <c r="E864">
        <f t="shared" si="20"/>
        <v>52.7</v>
      </c>
    </row>
    <row r="865" spans="2:5" x14ac:dyDescent="0.3">
      <c r="B865" s="239">
        <v>44841</v>
      </c>
      <c r="C865" s="251">
        <v>1443.07</v>
      </c>
      <c r="D865" s="252" t="s">
        <v>558</v>
      </c>
      <c r="E865">
        <f t="shared" si="20"/>
        <v>39.9</v>
      </c>
    </row>
    <row r="866" spans="2:5" x14ac:dyDescent="0.3">
      <c r="B866" s="239">
        <v>44840</v>
      </c>
      <c r="C866" s="251">
        <v>1446.99</v>
      </c>
      <c r="D866" s="252" t="s">
        <v>709</v>
      </c>
      <c r="E866">
        <f t="shared" si="20"/>
        <v>61.8</v>
      </c>
    </row>
    <row r="867" spans="2:5" x14ac:dyDescent="0.3">
      <c r="B867" s="239">
        <v>44838</v>
      </c>
      <c r="C867" s="251">
        <v>1421.39</v>
      </c>
      <c r="D867" s="252" t="s">
        <v>708</v>
      </c>
      <c r="E867">
        <f t="shared" si="20"/>
        <v>66.3</v>
      </c>
    </row>
    <row r="868" spans="2:5" x14ac:dyDescent="0.3">
      <c r="B868" s="239">
        <v>44837</v>
      </c>
      <c r="C868" s="251">
        <v>1385.94</v>
      </c>
      <c r="D868" s="252" t="s">
        <v>707</v>
      </c>
      <c r="E868">
        <f t="shared" si="20"/>
        <v>49.4</v>
      </c>
    </row>
    <row r="869" spans="2:5" x14ac:dyDescent="0.3">
      <c r="B869" s="239">
        <v>44834</v>
      </c>
      <c r="C869" s="251">
        <v>1405.53</v>
      </c>
      <c r="D869" s="252" t="s">
        <v>706</v>
      </c>
      <c r="E869">
        <f t="shared" si="20"/>
        <v>81.199999999999989</v>
      </c>
    </row>
    <row r="870" spans="2:5" x14ac:dyDescent="0.3">
      <c r="B870" s="239">
        <v>44833</v>
      </c>
      <c r="C870" s="251">
        <v>1390.81</v>
      </c>
      <c r="D870" s="252" t="s">
        <v>705</v>
      </c>
      <c r="E870">
        <f t="shared" si="20"/>
        <v>61.2</v>
      </c>
    </row>
    <row r="871" spans="2:5" x14ac:dyDescent="0.3">
      <c r="B871" s="239">
        <v>44832</v>
      </c>
      <c r="C871" s="251">
        <v>1386.88</v>
      </c>
      <c r="D871" s="252" t="s">
        <v>672</v>
      </c>
      <c r="E871">
        <f t="shared" si="20"/>
        <v>70.2</v>
      </c>
    </row>
    <row r="872" spans="2:5" x14ac:dyDescent="0.3">
      <c r="B872" s="239">
        <v>44831</v>
      </c>
      <c r="C872" s="251">
        <v>1385.74</v>
      </c>
      <c r="D872" s="252" t="s">
        <v>424</v>
      </c>
      <c r="E872">
        <f t="shared" si="20"/>
        <v>85.6</v>
      </c>
    </row>
    <row r="873" spans="2:5" x14ac:dyDescent="0.3">
      <c r="B873" s="239">
        <v>44830</v>
      </c>
      <c r="C873" s="251">
        <v>1372.52</v>
      </c>
      <c r="D873" s="252" t="s">
        <v>704</v>
      </c>
      <c r="E873">
        <f t="shared" si="20"/>
        <v>94.1</v>
      </c>
    </row>
    <row r="874" spans="2:5" x14ac:dyDescent="0.3">
      <c r="B874" s="239">
        <v>44827</v>
      </c>
      <c r="C874" s="251">
        <v>1357.8</v>
      </c>
      <c r="D874" s="252" t="s">
        <v>703</v>
      </c>
      <c r="E874">
        <f t="shared" si="20"/>
        <v>104.3</v>
      </c>
    </row>
    <row r="875" spans="2:5" x14ac:dyDescent="0.3">
      <c r="B875" s="239">
        <v>44826</v>
      </c>
      <c r="C875" s="251">
        <v>1360.28</v>
      </c>
      <c r="D875" s="252" t="s">
        <v>661</v>
      </c>
      <c r="E875">
        <f t="shared" si="20"/>
        <v>91.7</v>
      </c>
    </row>
    <row r="876" spans="2:5" x14ac:dyDescent="0.3">
      <c r="B876" s="239">
        <v>44825</v>
      </c>
      <c r="C876" s="251">
        <v>1369.53</v>
      </c>
      <c r="D876" s="252" t="s">
        <v>702</v>
      </c>
      <c r="E876">
        <f t="shared" si="20"/>
        <v>79.2</v>
      </c>
    </row>
    <row r="877" spans="2:5" x14ac:dyDescent="0.3">
      <c r="B877" s="239">
        <v>44824</v>
      </c>
      <c r="C877" s="251">
        <v>1380.77</v>
      </c>
      <c r="D877" s="252" t="s">
        <v>701</v>
      </c>
      <c r="E877">
        <f t="shared" si="20"/>
        <v>72.2</v>
      </c>
    </row>
    <row r="878" spans="2:5" x14ac:dyDescent="0.3">
      <c r="B878" s="239">
        <v>44823</v>
      </c>
      <c r="C878" s="251">
        <v>1382.51</v>
      </c>
      <c r="D878" s="252" t="s">
        <v>700</v>
      </c>
      <c r="E878">
        <f t="shared" si="20"/>
        <v>66</v>
      </c>
    </row>
    <row r="879" spans="2:5" x14ac:dyDescent="0.3">
      <c r="B879" s="239">
        <v>44820</v>
      </c>
      <c r="C879" s="251">
        <v>1369.33</v>
      </c>
      <c r="D879" s="252" t="s">
        <v>699</v>
      </c>
      <c r="E879">
        <f t="shared" si="20"/>
        <v>204.6</v>
      </c>
    </row>
    <row r="880" spans="2:5" x14ac:dyDescent="0.3">
      <c r="B880" s="239">
        <v>44819</v>
      </c>
      <c r="C880" s="251">
        <v>1424.77</v>
      </c>
      <c r="D880" s="252" t="s">
        <v>698</v>
      </c>
      <c r="E880">
        <f t="shared" si="20"/>
        <v>127.8</v>
      </c>
    </row>
    <row r="881" spans="2:5" x14ac:dyDescent="0.3">
      <c r="B881" s="239">
        <v>44818</v>
      </c>
      <c r="C881" s="251">
        <v>1467.13</v>
      </c>
      <c r="D881" s="252" t="s">
        <v>697</v>
      </c>
      <c r="E881">
        <f t="shared" si="20"/>
        <v>143.30000000000001</v>
      </c>
    </row>
    <row r="882" spans="2:5" x14ac:dyDescent="0.3">
      <c r="B882" s="239">
        <v>44817</v>
      </c>
      <c r="C882" s="251">
        <v>1536.29</v>
      </c>
      <c r="D882" s="252" t="s">
        <v>514</v>
      </c>
      <c r="E882">
        <f t="shared" si="20"/>
        <v>49.5</v>
      </c>
    </row>
    <row r="883" spans="2:5" x14ac:dyDescent="0.3">
      <c r="B883" s="239">
        <v>44816</v>
      </c>
      <c r="C883" s="251">
        <v>1527.59</v>
      </c>
      <c r="D883" s="252" t="s">
        <v>696</v>
      </c>
      <c r="E883">
        <f t="shared" si="20"/>
        <v>54.9</v>
      </c>
    </row>
    <row r="884" spans="2:5" x14ac:dyDescent="0.3">
      <c r="B884" s="239">
        <v>44813</v>
      </c>
      <c r="C884" s="251">
        <v>1503.18</v>
      </c>
      <c r="D884" s="252" t="s">
        <v>440</v>
      </c>
      <c r="E884">
        <f t="shared" si="20"/>
        <v>48.2</v>
      </c>
    </row>
    <row r="885" spans="2:5" x14ac:dyDescent="0.3">
      <c r="B885" s="239">
        <v>44812</v>
      </c>
      <c r="C885" s="251">
        <v>1467.63</v>
      </c>
      <c r="D885" s="252" t="s">
        <v>474</v>
      </c>
      <c r="E885">
        <f t="shared" si="20"/>
        <v>40.599999999999994</v>
      </c>
    </row>
    <row r="886" spans="2:5" x14ac:dyDescent="0.3">
      <c r="B886" s="239">
        <v>44811</v>
      </c>
      <c r="C886" s="251">
        <v>1449.48</v>
      </c>
      <c r="D886" s="252" t="s">
        <v>695</v>
      </c>
      <c r="E886">
        <f t="shared" si="20"/>
        <v>36</v>
      </c>
    </row>
    <row r="887" spans="2:5" x14ac:dyDescent="0.3">
      <c r="B887" s="239">
        <v>44810</v>
      </c>
      <c r="C887" s="251">
        <v>1446.95</v>
      </c>
      <c r="D887" s="252" t="s">
        <v>694</v>
      </c>
      <c r="E887">
        <f t="shared" si="20"/>
        <v>34.299999999999997</v>
      </c>
    </row>
    <row r="888" spans="2:5" x14ac:dyDescent="0.3">
      <c r="B888" s="239">
        <v>44809</v>
      </c>
      <c r="C888" s="251">
        <v>1453.11</v>
      </c>
      <c r="D888" s="252" t="s">
        <v>693</v>
      </c>
      <c r="E888">
        <f t="shared" si="20"/>
        <v>36.700000000000003</v>
      </c>
    </row>
    <row r="889" spans="2:5" x14ac:dyDescent="0.3">
      <c r="B889" s="239">
        <v>44806</v>
      </c>
      <c r="C889" s="251">
        <v>1444.86</v>
      </c>
      <c r="D889" s="252" t="s">
        <v>692</v>
      </c>
      <c r="E889">
        <f t="shared" si="20"/>
        <v>51.8</v>
      </c>
    </row>
    <row r="890" spans="2:5" x14ac:dyDescent="0.3">
      <c r="B890" s="239">
        <v>44805</v>
      </c>
      <c r="C890" s="251">
        <v>1455.99</v>
      </c>
      <c r="D890" s="252" t="s">
        <v>691</v>
      </c>
      <c r="E890">
        <f t="shared" si="20"/>
        <v>81.400000000000006</v>
      </c>
    </row>
    <row r="891" spans="2:5" x14ac:dyDescent="0.3">
      <c r="B891" s="239">
        <v>44803</v>
      </c>
      <c r="C891" s="251">
        <v>1484.58</v>
      </c>
      <c r="D891" s="252" t="s">
        <v>690</v>
      </c>
      <c r="E891">
        <f t="shared" si="20"/>
        <v>67.3</v>
      </c>
    </row>
    <row r="892" spans="2:5" x14ac:dyDescent="0.3">
      <c r="B892" s="239">
        <v>44802</v>
      </c>
      <c r="C892" s="251">
        <v>1453.56</v>
      </c>
      <c r="D892" s="252" t="s">
        <v>689</v>
      </c>
      <c r="E892">
        <f t="shared" si="20"/>
        <v>80.8</v>
      </c>
    </row>
    <row r="893" spans="2:5" x14ac:dyDescent="0.3">
      <c r="B893" s="239">
        <v>44799</v>
      </c>
      <c r="C893" s="251">
        <v>1513.02</v>
      </c>
      <c r="D893" s="252" t="s">
        <v>688</v>
      </c>
      <c r="E893">
        <f t="shared" si="20"/>
        <v>30.8</v>
      </c>
    </row>
    <row r="894" spans="2:5" x14ac:dyDescent="0.3">
      <c r="B894" s="239">
        <v>44798</v>
      </c>
      <c r="C894" s="251">
        <v>1509.64</v>
      </c>
      <c r="D894" s="252" t="s">
        <v>550</v>
      </c>
      <c r="E894">
        <f t="shared" si="20"/>
        <v>43.3</v>
      </c>
    </row>
    <row r="895" spans="2:5" x14ac:dyDescent="0.3">
      <c r="B895" s="239">
        <v>44797</v>
      </c>
      <c r="C895" s="251">
        <v>1528.88</v>
      </c>
      <c r="D895" s="252" t="s">
        <v>687</v>
      </c>
      <c r="E895">
        <f t="shared" si="20"/>
        <v>28.9</v>
      </c>
    </row>
    <row r="896" spans="2:5" x14ac:dyDescent="0.3">
      <c r="B896" s="239">
        <v>44796</v>
      </c>
      <c r="C896" s="251">
        <v>1533.76</v>
      </c>
      <c r="D896" s="252" t="s">
        <v>492</v>
      </c>
      <c r="E896">
        <f t="shared" si="20"/>
        <v>55.5</v>
      </c>
    </row>
    <row r="897" spans="2:5" x14ac:dyDescent="0.3">
      <c r="B897" s="239">
        <v>44795</v>
      </c>
      <c r="C897" s="251">
        <v>1566.82</v>
      </c>
      <c r="D897" s="252" t="s">
        <v>686</v>
      </c>
      <c r="E897">
        <f t="shared" si="20"/>
        <v>39.5</v>
      </c>
    </row>
    <row r="898" spans="2:5" x14ac:dyDescent="0.3">
      <c r="B898" s="239">
        <v>44792</v>
      </c>
      <c r="C898" s="251">
        <v>1588.15</v>
      </c>
      <c r="D898" s="252" t="s">
        <v>529</v>
      </c>
      <c r="E898">
        <f t="shared" si="20"/>
        <v>47.4</v>
      </c>
    </row>
    <row r="899" spans="2:5" x14ac:dyDescent="0.3">
      <c r="B899" s="239">
        <v>44791</v>
      </c>
      <c r="C899" s="251">
        <v>1574.08</v>
      </c>
      <c r="D899" s="252" t="s">
        <v>685</v>
      </c>
      <c r="E899">
        <f t="shared" si="20"/>
        <v>46.4</v>
      </c>
    </row>
    <row r="900" spans="2:5" x14ac:dyDescent="0.3">
      <c r="B900" s="239">
        <v>44790</v>
      </c>
      <c r="C900" s="251">
        <v>1597.25</v>
      </c>
      <c r="D900" s="252" t="s">
        <v>684</v>
      </c>
      <c r="E900">
        <f t="shared" si="20"/>
        <v>40.700000000000003</v>
      </c>
    </row>
    <row r="901" spans="2:5" x14ac:dyDescent="0.3">
      <c r="B901" s="239">
        <v>44789</v>
      </c>
      <c r="C901" s="251">
        <v>1587.5</v>
      </c>
      <c r="D901" s="252" t="s">
        <v>683</v>
      </c>
      <c r="E901">
        <f t="shared" si="20"/>
        <v>30</v>
      </c>
    </row>
    <row r="902" spans="2:5" x14ac:dyDescent="0.3">
      <c r="B902" s="239">
        <v>44785</v>
      </c>
      <c r="C902" s="251">
        <v>1585.17</v>
      </c>
      <c r="D902" s="252" t="s">
        <v>682</v>
      </c>
      <c r="E902">
        <f t="shared" si="20"/>
        <v>35.6</v>
      </c>
    </row>
    <row r="903" spans="2:5" x14ac:dyDescent="0.3">
      <c r="B903" s="239">
        <v>44784</v>
      </c>
      <c r="C903" s="251">
        <v>1610.87</v>
      </c>
      <c r="D903" s="252" t="s">
        <v>681</v>
      </c>
      <c r="E903">
        <f t="shared" si="20"/>
        <v>34.6</v>
      </c>
    </row>
    <row r="904" spans="2:5" x14ac:dyDescent="0.3">
      <c r="B904" s="239">
        <v>44783</v>
      </c>
      <c r="C904" s="251">
        <v>1593.47</v>
      </c>
      <c r="D904" s="252" t="s">
        <v>680</v>
      </c>
      <c r="E904">
        <f t="shared" si="20"/>
        <v>44.2</v>
      </c>
    </row>
    <row r="905" spans="2:5" x14ac:dyDescent="0.3">
      <c r="B905" s="239">
        <v>44781</v>
      </c>
      <c r="C905" s="251">
        <v>1610.32</v>
      </c>
      <c r="D905" s="252" t="s">
        <v>679</v>
      </c>
      <c r="E905">
        <f t="shared" si="20"/>
        <v>37.6</v>
      </c>
    </row>
    <row r="906" spans="2:5" x14ac:dyDescent="0.3">
      <c r="B906" s="239">
        <v>44778</v>
      </c>
      <c r="C906" s="251">
        <v>1607.59</v>
      </c>
      <c r="D906" s="252" t="s">
        <v>582</v>
      </c>
      <c r="E906">
        <f t="shared" si="20"/>
        <v>53.6</v>
      </c>
    </row>
    <row r="907" spans="2:5" x14ac:dyDescent="0.3">
      <c r="B907" s="239">
        <v>44777</v>
      </c>
      <c r="C907" s="251">
        <v>1590.93</v>
      </c>
      <c r="D907" s="252" t="s">
        <v>678</v>
      </c>
      <c r="E907">
        <f t="shared" si="20"/>
        <v>74</v>
      </c>
    </row>
    <row r="908" spans="2:5" x14ac:dyDescent="0.3">
      <c r="B908" s="239">
        <v>44776</v>
      </c>
      <c r="C908" s="251">
        <v>1557.32</v>
      </c>
      <c r="D908" s="252" t="s">
        <v>677</v>
      </c>
      <c r="E908">
        <f t="shared" si="20"/>
        <v>60.1</v>
      </c>
    </row>
    <row r="909" spans="2:5" x14ac:dyDescent="0.3">
      <c r="B909" s="239">
        <v>44775</v>
      </c>
      <c r="C909" s="251">
        <v>1534.95</v>
      </c>
      <c r="D909" s="252" t="s">
        <v>526</v>
      </c>
      <c r="E909">
        <f t="shared" si="20"/>
        <v>43.7</v>
      </c>
    </row>
    <row r="910" spans="2:5" x14ac:dyDescent="0.3">
      <c r="B910" s="239">
        <v>44774</v>
      </c>
      <c r="C910" s="251">
        <v>1542.36</v>
      </c>
      <c r="D910" s="252" t="s">
        <v>676</v>
      </c>
      <c r="E910">
        <f t="shared" si="20"/>
        <v>29.8</v>
      </c>
    </row>
    <row r="911" spans="2:5" x14ac:dyDescent="0.3">
      <c r="B911" s="239">
        <v>44771</v>
      </c>
      <c r="C911" s="251">
        <v>1541.02</v>
      </c>
      <c r="D911" s="252" t="s">
        <v>675</v>
      </c>
      <c r="E911">
        <f t="shared" si="20"/>
        <v>70.099999999999994</v>
      </c>
    </row>
    <row r="912" spans="2:5" x14ac:dyDescent="0.3">
      <c r="B912" s="239">
        <v>44770</v>
      </c>
      <c r="C912" s="251">
        <v>1508.9</v>
      </c>
      <c r="D912" s="252" t="s">
        <v>653</v>
      </c>
      <c r="E912">
        <f t="shared" si="20"/>
        <v>66.400000000000006</v>
      </c>
    </row>
    <row r="913" spans="2:5" x14ac:dyDescent="0.3">
      <c r="B913" s="239">
        <v>44769</v>
      </c>
      <c r="C913" s="251">
        <v>1462.81</v>
      </c>
      <c r="D913" s="252" t="s">
        <v>674</v>
      </c>
      <c r="E913">
        <f t="shared" si="20"/>
        <v>45.2</v>
      </c>
    </row>
    <row r="914" spans="2:5" x14ac:dyDescent="0.3">
      <c r="B914" s="239">
        <v>44768</v>
      </c>
      <c r="C914" s="251">
        <v>1443.02</v>
      </c>
      <c r="D914" s="252" t="s">
        <v>673</v>
      </c>
      <c r="E914">
        <f t="shared" si="20"/>
        <v>72.7</v>
      </c>
    </row>
    <row r="915" spans="2:5" x14ac:dyDescent="0.3">
      <c r="B915" s="239">
        <v>44767</v>
      </c>
      <c r="C915" s="251">
        <v>1495.17</v>
      </c>
      <c r="D915" s="252" t="s">
        <v>580</v>
      </c>
      <c r="E915">
        <f t="shared" si="20"/>
        <v>78.599999999999994</v>
      </c>
    </row>
    <row r="916" spans="2:5" x14ac:dyDescent="0.3">
      <c r="B916" s="239">
        <v>44764</v>
      </c>
      <c r="C916" s="251">
        <v>1497.86</v>
      </c>
      <c r="D916" s="252" t="s">
        <v>672</v>
      </c>
      <c r="E916">
        <f t="shared" si="20"/>
        <v>70.2</v>
      </c>
    </row>
    <row r="917" spans="2:5" x14ac:dyDescent="0.3">
      <c r="B917" s="239">
        <v>44763</v>
      </c>
      <c r="C917" s="251">
        <v>1524.31</v>
      </c>
      <c r="D917" s="252" t="s">
        <v>671</v>
      </c>
      <c r="E917">
        <f t="shared" si="20"/>
        <v>50.1</v>
      </c>
    </row>
    <row r="918" spans="2:5" x14ac:dyDescent="0.3">
      <c r="B918" s="239">
        <v>44762</v>
      </c>
      <c r="C918" s="251">
        <v>1506.81</v>
      </c>
      <c r="D918" s="252" t="s">
        <v>670</v>
      </c>
      <c r="E918">
        <f t="shared" si="20"/>
        <v>50.8</v>
      </c>
    </row>
    <row r="919" spans="2:5" x14ac:dyDescent="0.3">
      <c r="B919" s="239">
        <v>44761</v>
      </c>
      <c r="C919" s="251">
        <v>1475.83</v>
      </c>
      <c r="D919" s="252" t="s">
        <v>669</v>
      </c>
      <c r="E919">
        <f t="shared" ref="E919:E982" si="21">(VALUE(LEFT(D919,LEN(D919)-1)*1000000))/100000</f>
        <v>34.200000000000003</v>
      </c>
    </row>
    <row r="920" spans="2:5" x14ac:dyDescent="0.3">
      <c r="B920" s="239">
        <v>44760</v>
      </c>
      <c r="C920" s="251">
        <v>1481.55</v>
      </c>
      <c r="D920" s="252" t="s">
        <v>668</v>
      </c>
      <c r="E920">
        <f t="shared" si="21"/>
        <v>58.4</v>
      </c>
    </row>
    <row r="921" spans="2:5" x14ac:dyDescent="0.3">
      <c r="B921" s="239">
        <v>44757</v>
      </c>
      <c r="C921" s="251">
        <v>1422.33</v>
      </c>
      <c r="D921" s="252" t="s">
        <v>442</v>
      </c>
      <c r="E921">
        <f t="shared" si="21"/>
        <v>56.2</v>
      </c>
    </row>
    <row r="922" spans="2:5" x14ac:dyDescent="0.3">
      <c r="B922" s="239">
        <v>44756</v>
      </c>
      <c r="C922" s="251">
        <v>1420.84</v>
      </c>
      <c r="D922" s="252" t="s">
        <v>667</v>
      </c>
      <c r="E922">
        <f t="shared" si="21"/>
        <v>61.6</v>
      </c>
    </row>
    <row r="923" spans="2:5" x14ac:dyDescent="0.3">
      <c r="B923" s="239">
        <v>44755</v>
      </c>
      <c r="C923" s="251">
        <v>1436.35</v>
      </c>
      <c r="D923" s="252" t="s">
        <v>585</v>
      </c>
      <c r="E923">
        <f t="shared" si="21"/>
        <v>52.6</v>
      </c>
    </row>
    <row r="924" spans="2:5" x14ac:dyDescent="0.3">
      <c r="B924" s="239">
        <v>44754</v>
      </c>
      <c r="C924" s="251">
        <v>1430.54</v>
      </c>
      <c r="D924" s="252" t="s">
        <v>666</v>
      </c>
      <c r="E924">
        <f t="shared" si="21"/>
        <v>47.1</v>
      </c>
    </row>
    <row r="925" spans="2:5" x14ac:dyDescent="0.3">
      <c r="B925" s="239">
        <v>44753</v>
      </c>
      <c r="C925" s="251">
        <v>1464.89</v>
      </c>
      <c r="D925" s="252" t="s">
        <v>595</v>
      </c>
      <c r="E925">
        <f t="shared" si="21"/>
        <v>47</v>
      </c>
    </row>
    <row r="926" spans="2:5" x14ac:dyDescent="0.3">
      <c r="B926" s="239">
        <v>44750</v>
      </c>
      <c r="C926" s="251">
        <v>1505.96</v>
      </c>
      <c r="D926" s="252" t="s">
        <v>665</v>
      </c>
      <c r="E926">
        <f t="shared" si="21"/>
        <v>36.5</v>
      </c>
    </row>
    <row r="927" spans="2:5" x14ac:dyDescent="0.3">
      <c r="B927" s="239">
        <v>44749</v>
      </c>
      <c r="C927" s="251">
        <v>1490.3</v>
      </c>
      <c r="D927" s="252" t="s">
        <v>664</v>
      </c>
      <c r="E927">
        <f t="shared" si="21"/>
        <v>33.200000000000003</v>
      </c>
    </row>
    <row r="928" spans="2:5" x14ac:dyDescent="0.3">
      <c r="B928" s="239">
        <v>44748</v>
      </c>
      <c r="C928" s="251">
        <v>1483.29</v>
      </c>
      <c r="D928" s="252" t="s">
        <v>663</v>
      </c>
      <c r="E928">
        <f t="shared" si="21"/>
        <v>52.1</v>
      </c>
    </row>
    <row r="929" spans="2:5" x14ac:dyDescent="0.3">
      <c r="B929" s="239">
        <v>44747</v>
      </c>
      <c r="C929" s="251">
        <v>1467.68</v>
      </c>
      <c r="D929" s="252" t="s">
        <v>662</v>
      </c>
      <c r="E929">
        <f t="shared" si="21"/>
        <v>73.8</v>
      </c>
    </row>
    <row r="930" spans="2:5" x14ac:dyDescent="0.3">
      <c r="B930" s="239">
        <v>44746</v>
      </c>
      <c r="C930" s="251">
        <v>1479.66</v>
      </c>
      <c r="D930" s="252" t="s">
        <v>476</v>
      </c>
      <c r="E930">
        <f t="shared" si="21"/>
        <v>48</v>
      </c>
    </row>
    <row r="931" spans="2:5" x14ac:dyDescent="0.3">
      <c r="B931" s="239">
        <v>44743</v>
      </c>
      <c r="C931" s="251">
        <v>1471.11</v>
      </c>
      <c r="D931" s="252" t="s">
        <v>652</v>
      </c>
      <c r="E931">
        <f t="shared" si="21"/>
        <v>46.5</v>
      </c>
    </row>
    <row r="932" spans="2:5" x14ac:dyDescent="0.3">
      <c r="B932" s="239">
        <v>44742</v>
      </c>
      <c r="C932" s="251">
        <v>1453.71</v>
      </c>
      <c r="D932" s="252" t="s">
        <v>661</v>
      </c>
      <c r="E932">
        <f t="shared" si="21"/>
        <v>91.7</v>
      </c>
    </row>
    <row r="933" spans="2:5" x14ac:dyDescent="0.3">
      <c r="B933" s="239">
        <v>44741</v>
      </c>
      <c r="C933" s="251">
        <v>1455.05</v>
      </c>
      <c r="D933" s="252" t="s">
        <v>660</v>
      </c>
      <c r="E933">
        <f t="shared" si="21"/>
        <v>50.6</v>
      </c>
    </row>
    <row r="934" spans="2:5" x14ac:dyDescent="0.3">
      <c r="B934" s="239">
        <v>44740</v>
      </c>
      <c r="C934" s="251">
        <v>1471.85</v>
      </c>
      <c r="D934" s="252" t="s">
        <v>659</v>
      </c>
      <c r="E934">
        <f t="shared" si="21"/>
        <v>44.1</v>
      </c>
    </row>
    <row r="935" spans="2:5" x14ac:dyDescent="0.3">
      <c r="B935" s="239">
        <v>44739</v>
      </c>
      <c r="C935" s="251">
        <v>1466.34</v>
      </c>
      <c r="D935" s="252" t="s">
        <v>658</v>
      </c>
      <c r="E935">
        <f t="shared" si="21"/>
        <v>45.1</v>
      </c>
    </row>
    <row r="936" spans="2:5" x14ac:dyDescent="0.3">
      <c r="B936" s="239">
        <v>44736</v>
      </c>
      <c r="C936" s="251">
        <v>1433.02</v>
      </c>
      <c r="D936" s="252" t="s">
        <v>657</v>
      </c>
      <c r="E936">
        <f t="shared" si="21"/>
        <v>61.1</v>
      </c>
    </row>
    <row r="937" spans="2:5" x14ac:dyDescent="0.3">
      <c r="B937" s="239">
        <v>44735</v>
      </c>
      <c r="C937" s="251">
        <v>1444.31</v>
      </c>
      <c r="D937" s="252" t="s">
        <v>656</v>
      </c>
      <c r="E937">
        <f t="shared" si="21"/>
        <v>62.5</v>
      </c>
    </row>
    <row r="938" spans="2:5" x14ac:dyDescent="0.3">
      <c r="B938" s="239">
        <v>44734</v>
      </c>
      <c r="C938" s="251">
        <v>1429.2</v>
      </c>
      <c r="D938" s="252" t="s">
        <v>656</v>
      </c>
      <c r="E938">
        <f t="shared" si="21"/>
        <v>62.5</v>
      </c>
    </row>
    <row r="939" spans="2:5" x14ac:dyDescent="0.3">
      <c r="B939" s="239">
        <v>44733</v>
      </c>
      <c r="C939" s="251">
        <v>1441.78</v>
      </c>
      <c r="D939" s="252" t="s">
        <v>483</v>
      </c>
      <c r="E939">
        <f t="shared" si="21"/>
        <v>62.7</v>
      </c>
    </row>
    <row r="940" spans="2:5" x14ac:dyDescent="0.3">
      <c r="B940" s="239">
        <v>44732</v>
      </c>
      <c r="C940" s="251">
        <v>1406.22</v>
      </c>
      <c r="D940" s="252" t="s">
        <v>655</v>
      </c>
      <c r="E940">
        <f t="shared" si="21"/>
        <v>46</v>
      </c>
    </row>
    <row r="941" spans="2:5" x14ac:dyDescent="0.3">
      <c r="B941" s="239">
        <v>44729</v>
      </c>
      <c r="C941" s="251">
        <v>1379.53</v>
      </c>
      <c r="D941" s="252" t="s">
        <v>654</v>
      </c>
      <c r="E941">
        <f t="shared" si="21"/>
        <v>96.9</v>
      </c>
    </row>
    <row r="942" spans="2:5" x14ac:dyDescent="0.3">
      <c r="B942" s="239">
        <v>44728</v>
      </c>
      <c r="C942" s="251">
        <v>1389.37</v>
      </c>
      <c r="D942" s="252" t="s">
        <v>653</v>
      </c>
      <c r="E942">
        <f t="shared" si="21"/>
        <v>66.400000000000006</v>
      </c>
    </row>
    <row r="943" spans="2:5" x14ac:dyDescent="0.3">
      <c r="B943" s="239">
        <v>44727</v>
      </c>
      <c r="C943" s="251">
        <v>1414.23</v>
      </c>
      <c r="D943" s="252" t="s">
        <v>652</v>
      </c>
      <c r="E943">
        <f t="shared" si="21"/>
        <v>46.5</v>
      </c>
    </row>
    <row r="944" spans="2:5" x14ac:dyDescent="0.3">
      <c r="B944" s="239">
        <v>44726</v>
      </c>
      <c r="C944" s="251">
        <v>1432.48</v>
      </c>
      <c r="D944" s="252" t="s">
        <v>651</v>
      </c>
      <c r="E944">
        <f t="shared" si="21"/>
        <v>60.9</v>
      </c>
    </row>
    <row r="945" spans="2:5" x14ac:dyDescent="0.3">
      <c r="B945" s="239">
        <v>44725</v>
      </c>
      <c r="C945" s="251">
        <v>1416.52</v>
      </c>
      <c r="D945" s="252" t="s">
        <v>650</v>
      </c>
      <c r="E945">
        <f t="shared" si="21"/>
        <v>69.900000000000006</v>
      </c>
    </row>
    <row r="946" spans="2:5" x14ac:dyDescent="0.3">
      <c r="B946" s="239">
        <v>44722</v>
      </c>
      <c r="C946" s="251">
        <v>1468.52</v>
      </c>
      <c r="D946" s="252" t="s">
        <v>637</v>
      </c>
      <c r="E946">
        <f t="shared" si="21"/>
        <v>65.2</v>
      </c>
    </row>
    <row r="947" spans="2:5" x14ac:dyDescent="0.3">
      <c r="B947" s="239">
        <v>44721</v>
      </c>
      <c r="C947" s="251">
        <v>1506.51</v>
      </c>
      <c r="D947" s="252" t="s">
        <v>649</v>
      </c>
      <c r="E947">
        <f t="shared" si="21"/>
        <v>43.6</v>
      </c>
    </row>
    <row r="948" spans="2:5" x14ac:dyDescent="0.3">
      <c r="B948" s="239">
        <v>44720</v>
      </c>
      <c r="C948" s="251">
        <v>1491.59</v>
      </c>
      <c r="D948" s="252" t="s">
        <v>595</v>
      </c>
      <c r="E948">
        <f t="shared" si="21"/>
        <v>47</v>
      </c>
    </row>
    <row r="949" spans="2:5" x14ac:dyDescent="0.3">
      <c r="B949" s="239">
        <v>44719</v>
      </c>
      <c r="C949" s="251">
        <v>1498.26</v>
      </c>
      <c r="D949" s="252" t="s">
        <v>497</v>
      </c>
      <c r="E949">
        <f t="shared" si="21"/>
        <v>49</v>
      </c>
    </row>
    <row r="950" spans="2:5" x14ac:dyDescent="0.3">
      <c r="B950" s="239">
        <v>44718</v>
      </c>
      <c r="C950" s="251">
        <v>1521.48</v>
      </c>
      <c r="D950" s="252" t="s">
        <v>425</v>
      </c>
      <c r="E950">
        <f t="shared" si="21"/>
        <v>66.2</v>
      </c>
    </row>
    <row r="951" spans="2:5" x14ac:dyDescent="0.3">
      <c r="B951" s="239">
        <v>44715</v>
      </c>
      <c r="C951" s="251">
        <v>1513.17</v>
      </c>
      <c r="D951" s="252" t="s">
        <v>648</v>
      </c>
      <c r="E951">
        <f t="shared" si="21"/>
        <v>94</v>
      </c>
    </row>
    <row r="952" spans="2:5" x14ac:dyDescent="0.3">
      <c r="B952" s="239">
        <v>44714</v>
      </c>
      <c r="C952" s="251">
        <v>1499.55</v>
      </c>
      <c r="D952" s="252" t="s">
        <v>647</v>
      </c>
      <c r="E952">
        <f t="shared" si="21"/>
        <v>72.099999999999994</v>
      </c>
    </row>
    <row r="953" spans="2:5" x14ac:dyDescent="0.3">
      <c r="B953" s="239">
        <v>44713</v>
      </c>
      <c r="C953" s="251">
        <v>1470.26</v>
      </c>
      <c r="D953" s="252" t="s">
        <v>646</v>
      </c>
      <c r="E953">
        <f t="shared" si="21"/>
        <v>87.4</v>
      </c>
    </row>
    <row r="954" spans="2:5" x14ac:dyDescent="0.3">
      <c r="B954" s="239">
        <v>44712</v>
      </c>
      <c r="C954" s="251">
        <v>1495.17</v>
      </c>
      <c r="D954" s="252" t="s">
        <v>645</v>
      </c>
      <c r="E954">
        <f t="shared" si="21"/>
        <v>160.30000000000001</v>
      </c>
    </row>
    <row r="955" spans="2:5" x14ac:dyDescent="0.3">
      <c r="B955" s="239">
        <v>44711</v>
      </c>
      <c r="C955" s="251">
        <v>1518.24</v>
      </c>
      <c r="D955" s="252" t="s">
        <v>644</v>
      </c>
      <c r="E955">
        <f t="shared" si="21"/>
        <v>109</v>
      </c>
    </row>
    <row r="956" spans="2:5" x14ac:dyDescent="0.3">
      <c r="B956" s="239">
        <v>44708</v>
      </c>
      <c r="C956" s="251">
        <v>1453.16</v>
      </c>
      <c r="D956" s="252" t="s">
        <v>520</v>
      </c>
      <c r="E956">
        <f t="shared" si="21"/>
        <v>82.8</v>
      </c>
    </row>
    <row r="957" spans="2:5" x14ac:dyDescent="0.3">
      <c r="B957" s="239">
        <v>44707</v>
      </c>
      <c r="C957" s="251">
        <v>1415.97</v>
      </c>
      <c r="D957" s="252" t="s">
        <v>643</v>
      </c>
      <c r="E957">
        <f t="shared" si="21"/>
        <v>130.4</v>
      </c>
    </row>
    <row r="958" spans="2:5" x14ac:dyDescent="0.3">
      <c r="B958" s="239">
        <v>44706</v>
      </c>
      <c r="C958" s="251">
        <v>1402.55</v>
      </c>
      <c r="D958" s="252" t="s">
        <v>642</v>
      </c>
      <c r="E958">
        <f t="shared" si="21"/>
        <v>96.3</v>
      </c>
    </row>
    <row r="959" spans="2:5" x14ac:dyDescent="0.3">
      <c r="B959" s="239">
        <v>44705</v>
      </c>
      <c r="C959" s="251">
        <v>1432.93</v>
      </c>
      <c r="D959" s="252" t="s">
        <v>641</v>
      </c>
      <c r="E959">
        <f t="shared" si="21"/>
        <v>56.9</v>
      </c>
    </row>
    <row r="960" spans="2:5" x14ac:dyDescent="0.3">
      <c r="B960" s="239">
        <v>44704</v>
      </c>
      <c r="C960" s="251">
        <v>1460.17</v>
      </c>
      <c r="D960" s="252" t="s">
        <v>488</v>
      </c>
      <c r="E960">
        <f t="shared" si="21"/>
        <v>58.9</v>
      </c>
    </row>
    <row r="961" spans="2:5" x14ac:dyDescent="0.3">
      <c r="B961" s="239">
        <v>44701</v>
      </c>
      <c r="C961" s="251">
        <v>1446.99</v>
      </c>
      <c r="D961" s="252" t="s">
        <v>640</v>
      </c>
      <c r="E961">
        <f t="shared" si="21"/>
        <v>104.9</v>
      </c>
    </row>
    <row r="962" spans="2:5" x14ac:dyDescent="0.3">
      <c r="B962" s="239">
        <v>44700</v>
      </c>
      <c r="C962" s="251">
        <v>1419.15</v>
      </c>
      <c r="D962" s="252" t="s">
        <v>639</v>
      </c>
      <c r="E962">
        <f t="shared" si="21"/>
        <v>165.6</v>
      </c>
    </row>
    <row r="963" spans="2:5" x14ac:dyDescent="0.3">
      <c r="B963" s="239">
        <v>44699</v>
      </c>
      <c r="C963" s="251">
        <v>1500.74</v>
      </c>
      <c r="D963" s="252" t="s">
        <v>638</v>
      </c>
      <c r="E963">
        <f t="shared" si="21"/>
        <v>65.900000000000006</v>
      </c>
    </row>
    <row r="964" spans="2:5" x14ac:dyDescent="0.3">
      <c r="B964" s="239">
        <v>44698</v>
      </c>
      <c r="C964" s="251">
        <v>1509.94</v>
      </c>
      <c r="D964" s="252" t="s">
        <v>637</v>
      </c>
      <c r="E964">
        <f t="shared" si="21"/>
        <v>65.2</v>
      </c>
    </row>
    <row r="965" spans="2:5" x14ac:dyDescent="0.3">
      <c r="B965" s="239">
        <v>44697</v>
      </c>
      <c r="C965" s="251">
        <v>1489.1</v>
      </c>
      <c r="D965" s="252" t="s">
        <v>504</v>
      </c>
      <c r="E965">
        <f t="shared" si="21"/>
        <v>61.5</v>
      </c>
    </row>
    <row r="966" spans="2:5" x14ac:dyDescent="0.3">
      <c r="B966" s="239">
        <v>44694</v>
      </c>
      <c r="C966" s="251">
        <v>1504.4</v>
      </c>
      <c r="D966" s="252" t="s">
        <v>636</v>
      </c>
      <c r="E966">
        <f t="shared" si="21"/>
        <v>67.2</v>
      </c>
    </row>
    <row r="967" spans="2:5" x14ac:dyDescent="0.3">
      <c r="B967" s="239">
        <v>44693</v>
      </c>
      <c r="C967" s="251">
        <v>1508.8</v>
      </c>
      <c r="D967" s="252" t="s">
        <v>635</v>
      </c>
      <c r="E967">
        <f t="shared" si="21"/>
        <v>70.3</v>
      </c>
    </row>
    <row r="968" spans="2:5" x14ac:dyDescent="0.3">
      <c r="B968" s="239">
        <v>44692</v>
      </c>
      <c r="C968" s="251">
        <v>1526.75</v>
      </c>
      <c r="D968" s="252" t="s">
        <v>486</v>
      </c>
      <c r="E968">
        <f t="shared" si="21"/>
        <v>78.5</v>
      </c>
    </row>
    <row r="969" spans="2:5" x14ac:dyDescent="0.3">
      <c r="B969" s="239">
        <v>44691</v>
      </c>
      <c r="C969" s="251">
        <v>1553</v>
      </c>
      <c r="D969" s="252" t="s">
        <v>501</v>
      </c>
      <c r="E969">
        <f t="shared" si="21"/>
        <v>62.1</v>
      </c>
    </row>
    <row r="970" spans="2:5" x14ac:dyDescent="0.3">
      <c r="B970" s="239">
        <v>44690</v>
      </c>
      <c r="C970" s="251">
        <v>1570.35</v>
      </c>
      <c r="D970" s="252" t="s">
        <v>510</v>
      </c>
      <c r="E970">
        <f t="shared" si="21"/>
        <v>68.3</v>
      </c>
    </row>
    <row r="971" spans="2:5" x14ac:dyDescent="0.3">
      <c r="B971" s="239">
        <v>44687</v>
      </c>
      <c r="C971" s="251">
        <v>1542.85</v>
      </c>
      <c r="D971" s="252" t="s">
        <v>619</v>
      </c>
      <c r="E971">
        <f t="shared" si="21"/>
        <v>61.7</v>
      </c>
    </row>
    <row r="972" spans="2:5" x14ac:dyDescent="0.3">
      <c r="B972" s="239">
        <v>44686</v>
      </c>
      <c r="C972" s="251">
        <v>1585.15</v>
      </c>
      <c r="D972" s="252" t="s">
        <v>460</v>
      </c>
      <c r="E972">
        <f t="shared" si="21"/>
        <v>61.4</v>
      </c>
    </row>
    <row r="973" spans="2:5" x14ac:dyDescent="0.3">
      <c r="B973" s="239">
        <v>44685</v>
      </c>
      <c r="C973" s="251">
        <v>1535.55</v>
      </c>
      <c r="D973" s="252" t="s">
        <v>634</v>
      </c>
      <c r="E973">
        <f t="shared" si="21"/>
        <v>62.2</v>
      </c>
    </row>
    <row r="974" spans="2:5" x14ac:dyDescent="0.3">
      <c r="B974" s="239">
        <v>44683</v>
      </c>
      <c r="C974" s="251">
        <v>1541</v>
      </c>
      <c r="D974" s="252" t="s">
        <v>633</v>
      </c>
      <c r="E974">
        <f t="shared" si="21"/>
        <v>70.7</v>
      </c>
    </row>
    <row r="975" spans="2:5" x14ac:dyDescent="0.3">
      <c r="B975" s="239">
        <v>44680</v>
      </c>
      <c r="C975" s="251">
        <v>1567.55</v>
      </c>
      <c r="D975" s="252" t="s">
        <v>632</v>
      </c>
      <c r="E975">
        <f t="shared" si="21"/>
        <v>98.3</v>
      </c>
    </row>
    <row r="976" spans="2:5" x14ac:dyDescent="0.3">
      <c r="B976" s="239">
        <v>44679</v>
      </c>
      <c r="C976" s="251">
        <v>1582.6</v>
      </c>
      <c r="D976" s="252" t="s">
        <v>631</v>
      </c>
      <c r="E976">
        <f t="shared" si="21"/>
        <v>92.5</v>
      </c>
    </row>
    <row r="977" spans="2:5" x14ac:dyDescent="0.3">
      <c r="B977" s="239">
        <v>44678</v>
      </c>
      <c r="C977" s="251">
        <v>1552.8</v>
      </c>
      <c r="D977" s="252" t="s">
        <v>630</v>
      </c>
      <c r="E977">
        <f t="shared" si="21"/>
        <v>88.2</v>
      </c>
    </row>
    <row r="978" spans="2:5" x14ac:dyDescent="0.3">
      <c r="B978" s="239">
        <v>44677</v>
      </c>
      <c r="C978" s="251">
        <v>1581</v>
      </c>
      <c r="D978" s="252" t="s">
        <v>568</v>
      </c>
      <c r="E978">
        <f t="shared" si="21"/>
        <v>53.5</v>
      </c>
    </row>
    <row r="979" spans="2:5" x14ac:dyDescent="0.3">
      <c r="B979" s="239">
        <v>44676</v>
      </c>
      <c r="C979" s="251">
        <v>1561.1</v>
      </c>
      <c r="D979" s="252" t="s">
        <v>577</v>
      </c>
      <c r="E979">
        <f t="shared" si="21"/>
        <v>70</v>
      </c>
    </row>
    <row r="980" spans="2:5" x14ac:dyDescent="0.3">
      <c r="B980" s="239">
        <v>44673</v>
      </c>
      <c r="C980" s="251">
        <v>1585.45</v>
      </c>
      <c r="D980" s="252" t="s">
        <v>629</v>
      </c>
      <c r="E980">
        <f t="shared" si="21"/>
        <v>81.300000000000011</v>
      </c>
    </row>
    <row r="981" spans="2:5" x14ac:dyDescent="0.3">
      <c r="B981" s="239">
        <v>44672</v>
      </c>
      <c r="C981" s="251">
        <v>1618.8</v>
      </c>
      <c r="D981" s="252" t="s">
        <v>628</v>
      </c>
      <c r="E981">
        <f t="shared" si="21"/>
        <v>77.7</v>
      </c>
    </row>
    <row r="982" spans="2:5" x14ac:dyDescent="0.3">
      <c r="B982" s="239">
        <v>44671</v>
      </c>
      <c r="C982" s="251">
        <v>1587.7</v>
      </c>
      <c r="D982" s="252" t="s">
        <v>627</v>
      </c>
      <c r="E982">
        <f t="shared" si="21"/>
        <v>106.8</v>
      </c>
    </row>
    <row r="983" spans="2:5" x14ac:dyDescent="0.3">
      <c r="B983" s="239">
        <v>44670</v>
      </c>
      <c r="C983" s="251">
        <v>1562</v>
      </c>
      <c r="D983" s="252" t="s">
        <v>626</v>
      </c>
      <c r="E983">
        <f t="shared" ref="E983:E1046" si="22">(VALUE(LEFT(D983,LEN(D983)-1)*1000000))/100000</f>
        <v>170.4</v>
      </c>
    </row>
    <row r="984" spans="2:5" x14ac:dyDescent="0.3">
      <c r="B984" s="239">
        <v>44669</v>
      </c>
      <c r="C984" s="251">
        <v>1621.4</v>
      </c>
      <c r="D984" s="252" t="s">
        <v>625</v>
      </c>
      <c r="E984">
        <f t="shared" si="22"/>
        <v>305.2</v>
      </c>
    </row>
    <row r="985" spans="2:5" x14ac:dyDescent="0.3">
      <c r="B985" s="239">
        <v>44664</v>
      </c>
      <c r="C985" s="251">
        <v>1748.55</v>
      </c>
      <c r="D985" s="252" t="s">
        <v>624</v>
      </c>
      <c r="E985">
        <f t="shared" si="22"/>
        <v>62.6</v>
      </c>
    </row>
    <row r="986" spans="2:5" x14ac:dyDescent="0.3">
      <c r="B986" s="239">
        <v>44663</v>
      </c>
      <c r="C986" s="251">
        <v>1742.45</v>
      </c>
      <c r="D986" s="252" t="s">
        <v>623</v>
      </c>
      <c r="E986">
        <f t="shared" si="22"/>
        <v>64.599999999999994</v>
      </c>
    </row>
    <row r="987" spans="2:5" x14ac:dyDescent="0.3">
      <c r="B987" s="239">
        <v>44662</v>
      </c>
      <c r="C987" s="251">
        <v>1766.55</v>
      </c>
      <c r="D987" s="252" t="s">
        <v>588</v>
      </c>
      <c r="E987">
        <f t="shared" si="22"/>
        <v>82.5</v>
      </c>
    </row>
    <row r="988" spans="2:5" x14ac:dyDescent="0.3">
      <c r="B988" s="239">
        <v>44659</v>
      </c>
      <c r="C988" s="251">
        <v>1814.6</v>
      </c>
      <c r="D988" s="252" t="s">
        <v>622</v>
      </c>
      <c r="E988">
        <f t="shared" si="22"/>
        <v>51.3</v>
      </c>
    </row>
    <row r="989" spans="2:5" x14ac:dyDescent="0.3">
      <c r="B989" s="239">
        <v>44658</v>
      </c>
      <c r="C989" s="251">
        <v>1811</v>
      </c>
      <c r="D989" s="252" t="s">
        <v>621</v>
      </c>
      <c r="E989">
        <f t="shared" si="22"/>
        <v>58</v>
      </c>
    </row>
    <row r="990" spans="2:5" x14ac:dyDescent="0.3">
      <c r="B990" s="239">
        <v>44657</v>
      </c>
      <c r="C990" s="251">
        <v>1828.85</v>
      </c>
      <c r="D990" s="252" t="s">
        <v>430</v>
      </c>
      <c r="E990">
        <f t="shared" si="22"/>
        <v>54.1</v>
      </c>
    </row>
    <row r="991" spans="2:5" x14ac:dyDescent="0.3">
      <c r="B991" s="239">
        <v>44656</v>
      </c>
      <c r="C991" s="251">
        <v>1861.1</v>
      </c>
      <c r="D991" s="252" t="s">
        <v>620</v>
      </c>
      <c r="E991">
        <f t="shared" si="22"/>
        <v>54.7</v>
      </c>
    </row>
    <row r="992" spans="2:5" x14ac:dyDescent="0.3">
      <c r="B992" s="239">
        <v>44655</v>
      </c>
      <c r="C992" s="251">
        <v>1882.95</v>
      </c>
      <c r="D992" s="252" t="s">
        <v>457</v>
      </c>
      <c r="E992">
        <f t="shared" si="22"/>
        <v>73.599999999999994</v>
      </c>
    </row>
    <row r="993" spans="2:5" x14ac:dyDescent="0.3">
      <c r="B993" s="239">
        <v>44652</v>
      </c>
      <c r="C993" s="251">
        <v>1903.55</v>
      </c>
      <c r="D993" s="252" t="s">
        <v>619</v>
      </c>
      <c r="E993">
        <f t="shared" si="22"/>
        <v>61.7</v>
      </c>
    </row>
    <row r="994" spans="2:5" x14ac:dyDescent="0.3">
      <c r="B994" s="239">
        <v>44651</v>
      </c>
      <c r="C994" s="251">
        <v>1906.85</v>
      </c>
      <c r="D994" s="252" t="s">
        <v>462</v>
      </c>
      <c r="E994">
        <f t="shared" si="22"/>
        <v>54</v>
      </c>
    </row>
    <row r="995" spans="2:5" x14ac:dyDescent="0.3">
      <c r="B995" s="239">
        <v>44650</v>
      </c>
      <c r="C995" s="251">
        <v>1903.95</v>
      </c>
      <c r="D995" s="252" t="s">
        <v>509</v>
      </c>
      <c r="E995">
        <f t="shared" si="22"/>
        <v>78</v>
      </c>
    </row>
    <row r="996" spans="2:5" x14ac:dyDescent="0.3">
      <c r="B996" s="239">
        <v>44649</v>
      </c>
      <c r="C996" s="251">
        <v>1886</v>
      </c>
      <c r="D996" s="252" t="s">
        <v>576</v>
      </c>
      <c r="E996">
        <f t="shared" si="22"/>
        <v>39.200000000000003</v>
      </c>
    </row>
    <row r="997" spans="2:5" x14ac:dyDescent="0.3">
      <c r="B997" s="239">
        <v>44648</v>
      </c>
      <c r="C997" s="251">
        <v>1873.9</v>
      </c>
      <c r="D997" s="252" t="s">
        <v>618</v>
      </c>
      <c r="E997">
        <f t="shared" si="22"/>
        <v>40.1</v>
      </c>
    </row>
    <row r="998" spans="2:5" x14ac:dyDescent="0.3">
      <c r="B998" s="239">
        <v>44645</v>
      </c>
      <c r="C998" s="251">
        <v>1876.55</v>
      </c>
      <c r="D998" s="252" t="s">
        <v>478</v>
      </c>
      <c r="E998">
        <f t="shared" si="22"/>
        <v>34.4</v>
      </c>
    </row>
    <row r="999" spans="2:5" x14ac:dyDescent="0.3">
      <c r="B999" s="239">
        <v>44644</v>
      </c>
      <c r="C999" s="251">
        <v>1886.7</v>
      </c>
      <c r="D999" s="252" t="s">
        <v>571</v>
      </c>
      <c r="E999">
        <f t="shared" si="22"/>
        <v>37.799999999999997</v>
      </c>
    </row>
    <row r="1000" spans="2:5" x14ac:dyDescent="0.3">
      <c r="B1000" s="239">
        <v>44643</v>
      </c>
      <c r="C1000" s="251">
        <v>1872.4</v>
      </c>
      <c r="D1000" s="252" t="s">
        <v>502</v>
      </c>
      <c r="E1000">
        <f t="shared" si="22"/>
        <v>61.9</v>
      </c>
    </row>
    <row r="1001" spans="2:5" x14ac:dyDescent="0.3">
      <c r="B1001" s="239">
        <v>44642</v>
      </c>
      <c r="C1001" s="251">
        <v>1887.4</v>
      </c>
      <c r="D1001" s="252" t="s">
        <v>617</v>
      </c>
      <c r="E1001">
        <f t="shared" si="22"/>
        <v>57.1</v>
      </c>
    </row>
    <row r="1002" spans="2:5" x14ac:dyDescent="0.3">
      <c r="B1002" s="239">
        <v>44641</v>
      </c>
      <c r="C1002" s="251">
        <v>1853.05</v>
      </c>
      <c r="D1002" s="252" t="s">
        <v>616</v>
      </c>
      <c r="E1002">
        <f t="shared" si="22"/>
        <v>83.6</v>
      </c>
    </row>
    <row r="1003" spans="2:5" x14ac:dyDescent="0.3">
      <c r="B1003" s="239">
        <v>44637</v>
      </c>
      <c r="C1003" s="251">
        <v>1854.6</v>
      </c>
      <c r="D1003" s="252" t="s">
        <v>615</v>
      </c>
      <c r="E1003">
        <f t="shared" si="22"/>
        <v>177.3</v>
      </c>
    </row>
    <row r="1004" spans="2:5" x14ac:dyDescent="0.3">
      <c r="B1004" s="239">
        <v>44636</v>
      </c>
      <c r="C1004" s="251">
        <v>1889.4</v>
      </c>
      <c r="D1004" s="252" t="s">
        <v>614</v>
      </c>
      <c r="E1004">
        <f t="shared" si="22"/>
        <v>52.3</v>
      </c>
    </row>
    <row r="1005" spans="2:5" x14ac:dyDescent="0.3">
      <c r="B1005" s="239">
        <v>44635</v>
      </c>
      <c r="C1005" s="251">
        <v>1839.3</v>
      </c>
      <c r="D1005" s="252" t="s">
        <v>613</v>
      </c>
      <c r="E1005">
        <f t="shared" si="22"/>
        <v>71.400000000000006</v>
      </c>
    </row>
    <row r="1006" spans="2:5" x14ac:dyDescent="0.3">
      <c r="B1006" s="239">
        <v>44634</v>
      </c>
      <c r="C1006" s="251">
        <v>1890.7</v>
      </c>
      <c r="D1006" s="252" t="s">
        <v>612</v>
      </c>
      <c r="E1006">
        <f t="shared" si="22"/>
        <v>102.9</v>
      </c>
    </row>
    <row r="1007" spans="2:5" x14ac:dyDescent="0.3">
      <c r="B1007" s="239">
        <v>44631</v>
      </c>
      <c r="C1007" s="251">
        <v>1822</v>
      </c>
      <c r="D1007" s="252" t="s">
        <v>611</v>
      </c>
      <c r="E1007">
        <f t="shared" si="22"/>
        <v>47.6</v>
      </c>
    </row>
    <row r="1008" spans="2:5" x14ac:dyDescent="0.3">
      <c r="B1008" s="239">
        <v>44630</v>
      </c>
      <c r="C1008" s="251">
        <v>1825.9</v>
      </c>
      <c r="D1008" s="252" t="s">
        <v>610</v>
      </c>
      <c r="E1008">
        <f t="shared" si="22"/>
        <v>65.5</v>
      </c>
    </row>
    <row r="1009" spans="2:5" x14ac:dyDescent="0.3">
      <c r="B1009" s="239">
        <v>44629</v>
      </c>
      <c r="C1009" s="251">
        <v>1813.35</v>
      </c>
      <c r="D1009" s="252" t="s">
        <v>609</v>
      </c>
      <c r="E1009">
        <f t="shared" si="22"/>
        <v>101.9</v>
      </c>
    </row>
    <row r="1010" spans="2:5" x14ac:dyDescent="0.3">
      <c r="B1010" s="239">
        <v>44628</v>
      </c>
      <c r="C1010" s="251">
        <v>1778.2</v>
      </c>
      <c r="D1010" s="252" t="s">
        <v>608</v>
      </c>
      <c r="E1010">
        <f t="shared" si="22"/>
        <v>109.8</v>
      </c>
    </row>
    <row r="1011" spans="2:5" x14ac:dyDescent="0.3">
      <c r="B1011" s="239">
        <v>44627</v>
      </c>
      <c r="C1011" s="251">
        <v>1739.85</v>
      </c>
      <c r="D1011" s="252" t="s">
        <v>603</v>
      </c>
      <c r="E1011">
        <f t="shared" si="22"/>
        <v>97.4</v>
      </c>
    </row>
    <row r="1012" spans="2:5" x14ac:dyDescent="0.3">
      <c r="B1012" s="239">
        <v>44624</v>
      </c>
      <c r="C1012" s="251">
        <v>1723.3</v>
      </c>
      <c r="D1012" s="252" t="s">
        <v>607</v>
      </c>
      <c r="E1012">
        <f t="shared" si="22"/>
        <v>90.7</v>
      </c>
    </row>
    <row r="1013" spans="2:5" x14ac:dyDescent="0.3">
      <c r="B1013" s="239">
        <v>44623</v>
      </c>
      <c r="C1013" s="251">
        <v>1720.85</v>
      </c>
      <c r="D1013" s="252" t="s">
        <v>606</v>
      </c>
      <c r="E1013">
        <f t="shared" si="22"/>
        <v>73.400000000000006</v>
      </c>
    </row>
    <row r="1014" spans="2:5" x14ac:dyDescent="0.3">
      <c r="B1014" s="239">
        <v>44622</v>
      </c>
      <c r="C1014" s="251">
        <v>1702.8</v>
      </c>
      <c r="D1014" s="252" t="s">
        <v>605</v>
      </c>
      <c r="E1014">
        <f t="shared" si="22"/>
        <v>67.7</v>
      </c>
    </row>
    <row r="1015" spans="2:5" x14ac:dyDescent="0.3">
      <c r="B1015" s="239">
        <v>44620</v>
      </c>
      <c r="C1015" s="251">
        <v>1715.6</v>
      </c>
      <c r="D1015" s="252" t="s">
        <v>604</v>
      </c>
      <c r="E1015">
        <f t="shared" si="22"/>
        <v>150.80000000000001</v>
      </c>
    </row>
    <row r="1016" spans="2:5" x14ac:dyDescent="0.3">
      <c r="B1016" s="239">
        <v>44617</v>
      </c>
      <c r="C1016" s="251">
        <v>1694.6</v>
      </c>
      <c r="D1016" s="252" t="s">
        <v>603</v>
      </c>
      <c r="E1016">
        <f t="shared" si="22"/>
        <v>97.4</v>
      </c>
    </row>
    <row r="1017" spans="2:5" x14ac:dyDescent="0.3">
      <c r="B1017" s="239">
        <v>44616</v>
      </c>
      <c r="C1017" s="251">
        <v>1678.15</v>
      </c>
      <c r="D1017" s="252" t="s">
        <v>602</v>
      </c>
      <c r="E1017">
        <f t="shared" si="22"/>
        <v>135.9</v>
      </c>
    </row>
    <row r="1018" spans="2:5" x14ac:dyDescent="0.3">
      <c r="B1018" s="239">
        <v>44615</v>
      </c>
      <c r="C1018" s="251">
        <v>1742.85</v>
      </c>
      <c r="D1018" s="252" t="s">
        <v>528</v>
      </c>
      <c r="E1018">
        <f t="shared" si="22"/>
        <v>54.8</v>
      </c>
    </row>
    <row r="1019" spans="2:5" x14ac:dyDescent="0.3">
      <c r="B1019" s="239">
        <v>44614</v>
      </c>
      <c r="C1019" s="251">
        <v>1734.35</v>
      </c>
      <c r="D1019" s="252" t="s">
        <v>601</v>
      </c>
      <c r="E1019">
        <f t="shared" si="22"/>
        <v>88.8</v>
      </c>
    </row>
    <row r="1020" spans="2:5" x14ac:dyDescent="0.3">
      <c r="B1020" s="239">
        <v>44613</v>
      </c>
      <c r="C1020" s="251">
        <v>1730.7</v>
      </c>
      <c r="D1020" s="252" t="s">
        <v>454</v>
      </c>
      <c r="E1020">
        <f t="shared" si="22"/>
        <v>51.2</v>
      </c>
    </row>
    <row r="1021" spans="2:5" x14ac:dyDescent="0.3">
      <c r="B1021" s="239">
        <v>44610</v>
      </c>
      <c r="C1021" s="251">
        <v>1706.95</v>
      </c>
      <c r="D1021" s="252" t="s">
        <v>600</v>
      </c>
      <c r="E1021">
        <f t="shared" si="22"/>
        <v>56</v>
      </c>
    </row>
    <row r="1022" spans="2:5" x14ac:dyDescent="0.3">
      <c r="B1022" s="239">
        <v>44609</v>
      </c>
      <c r="C1022" s="251">
        <v>1724.8</v>
      </c>
      <c r="D1022" s="252" t="s">
        <v>434</v>
      </c>
      <c r="E1022">
        <f t="shared" si="22"/>
        <v>39.4</v>
      </c>
    </row>
    <row r="1023" spans="2:5" x14ac:dyDescent="0.3">
      <c r="B1023" s="239">
        <v>44608</v>
      </c>
      <c r="C1023" s="251">
        <v>1733.3</v>
      </c>
      <c r="D1023" s="252" t="s">
        <v>568</v>
      </c>
      <c r="E1023">
        <f t="shared" si="22"/>
        <v>53.5</v>
      </c>
    </row>
    <row r="1024" spans="2:5" x14ac:dyDescent="0.3">
      <c r="B1024" s="239">
        <v>44607</v>
      </c>
      <c r="C1024" s="251">
        <v>1738.25</v>
      </c>
      <c r="D1024" s="252" t="s">
        <v>517</v>
      </c>
      <c r="E1024">
        <f t="shared" si="22"/>
        <v>46.7</v>
      </c>
    </row>
    <row r="1025" spans="2:5" x14ac:dyDescent="0.3">
      <c r="B1025" s="239">
        <v>44606</v>
      </c>
      <c r="C1025" s="251">
        <v>1682.2</v>
      </c>
      <c r="D1025" s="252" t="s">
        <v>599</v>
      </c>
      <c r="E1025">
        <f t="shared" si="22"/>
        <v>74.599999999999994</v>
      </c>
    </row>
    <row r="1026" spans="2:5" x14ac:dyDescent="0.3">
      <c r="B1026" s="239">
        <v>44603</v>
      </c>
      <c r="C1026" s="251">
        <v>1721.35</v>
      </c>
      <c r="D1026" s="252" t="s">
        <v>598</v>
      </c>
      <c r="E1026">
        <f t="shared" si="22"/>
        <v>75.5</v>
      </c>
    </row>
    <row r="1027" spans="2:5" x14ac:dyDescent="0.3">
      <c r="B1027" s="239">
        <v>44602</v>
      </c>
      <c r="C1027" s="251">
        <v>1769.6</v>
      </c>
      <c r="D1027" s="252" t="s">
        <v>550</v>
      </c>
      <c r="E1027">
        <f t="shared" si="22"/>
        <v>43.3</v>
      </c>
    </row>
    <row r="1028" spans="2:5" x14ac:dyDescent="0.3">
      <c r="B1028" s="239">
        <v>44601</v>
      </c>
      <c r="C1028" s="251">
        <v>1737.3</v>
      </c>
      <c r="D1028" s="252" t="s">
        <v>597</v>
      </c>
      <c r="E1028">
        <f t="shared" si="22"/>
        <v>38.700000000000003</v>
      </c>
    </row>
    <row r="1029" spans="2:5" x14ac:dyDescent="0.3">
      <c r="B1029" s="239">
        <v>44600</v>
      </c>
      <c r="C1029" s="251">
        <v>1717.3</v>
      </c>
      <c r="D1029" s="252" t="s">
        <v>418</v>
      </c>
      <c r="E1029">
        <f t="shared" si="22"/>
        <v>60.5</v>
      </c>
    </row>
    <row r="1030" spans="2:5" x14ac:dyDescent="0.3">
      <c r="B1030" s="239">
        <v>44599</v>
      </c>
      <c r="C1030" s="251">
        <v>1715</v>
      </c>
      <c r="D1030" s="252" t="s">
        <v>596</v>
      </c>
      <c r="E1030">
        <f t="shared" si="22"/>
        <v>43.1</v>
      </c>
    </row>
    <row r="1031" spans="2:5" x14ac:dyDescent="0.3">
      <c r="B1031" s="239">
        <v>44596</v>
      </c>
      <c r="C1031" s="251">
        <v>1741.1</v>
      </c>
      <c r="D1031" s="252" t="s">
        <v>595</v>
      </c>
      <c r="E1031">
        <f t="shared" si="22"/>
        <v>47</v>
      </c>
    </row>
    <row r="1032" spans="2:5" x14ac:dyDescent="0.3">
      <c r="B1032" s="239">
        <v>44595</v>
      </c>
      <c r="C1032" s="251">
        <v>1738.55</v>
      </c>
      <c r="D1032" s="252" t="s">
        <v>519</v>
      </c>
      <c r="E1032">
        <f t="shared" si="22"/>
        <v>38.299999999999997</v>
      </c>
    </row>
    <row r="1033" spans="2:5" x14ac:dyDescent="0.3">
      <c r="B1033" s="239">
        <v>44594</v>
      </c>
      <c r="C1033" s="251">
        <v>1787.1</v>
      </c>
      <c r="D1033" s="252" t="s">
        <v>594</v>
      </c>
      <c r="E1033">
        <f t="shared" si="22"/>
        <v>42.5</v>
      </c>
    </row>
    <row r="1034" spans="2:5" x14ac:dyDescent="0.3">
      <c r="B1034" s="239">
        <v>44593</v>
      </c>
      <c r="C1034" s="251">
        <v>1772.05</v>
      </c>
      <c r="D1034" s="252" t="s">
        <v>454</v>
      </c>
      <c r="E1034">
        <f t="shared" si="22"/>
        <v>51.2</v>
      </c>
    </row>
    <row r="1035" spans="2:5" x14ac:dyDescent="0.3">
      <c r="B1035" s="239">
        <v>44592</v>
      </c>
      <c r="C1035" s="251">
        <v>1736.2</v>
      </c>
      <c r="D1035" s="252" t="s">
        <v>593</v>
      </c>
      <c r="E1035">
        <f t="shared" si="22"/>
        <v>87.9</v>
      </c>
    </row>
    <row r="1036" spans="2:5" x14ac:dyDescent="0.3">
      <c r="B1036" s="239">
        <v>44589</v>
      </c>
      <c r="C1036" s="251">
        <v>1686.2</v>
      </c>
      <c r="D1036" s="252" t="s">
        <v>592</v>
      </c>
      <c r="E1036">
        <f t="shared" si="22"/>
        <v>110</v>
      </c>
    </row>
    <row r="1037" spans="2:5" x14ac:dyDescent="0.3">
      <c r="B1037" s="239">
        <v>44588</v>
      </c>
      <c r="C1037" s="251">
        <v>1678.6</v>
      </c>
      <c r="D1037" s="252" t="s">
        <v>591</v>
      </c>
      <c r="E1037">
        <f t="shared" si="22"/>
        <v>112.3</v>
      </c>
    </row>
    <row r="1038" spans="2:5" x14ac:dyDescent="0.3">
      <c r="B1038" s="239">
        <v>44586</v>
      </c>
      <c r="C1038" s="251">
        <v>1722.15</v>
      </c>
      <c r="D1038" s="252" t="s">
        <v>590</v>
      </c>
      <c r="E1038">
        <f t="shared" si="22"/>
        <v>91.4</v>
      </c>
    </row>
    <row r="1039" spans="2:5" x14ac:dyDescent="0.3">
      <c r="B1039" s="239">
        <v>44585</v>
      </c>
      <c r="C1039" s="251">
        <v>1736.8</v>
      </c>
      <c r="D1039" s="252" t="s">
        <v>589</v>
      </c>
      <c r="E1039">
        <f t="shared" si="22"/>
        <v>71.2</v>
      </c>
    </row>
    <row r="1040" spans="2:5" x14ac:dyDescent="0.3">
      <c r="B1040" s="239">
        <v>44582</v>
      </c>
      <c r="C1040" s="251">
        <v>1785.7</v>
      </c>
      <c r="D1040" s="252" t="s">
        <v>588</v>
      </c>
      <c r="E1040">
        <f t="shared" si="22"/>
        <v>82.5</v>
      </c>
    </row>
    <row r="1041" spans="2:5" x14ac:dyDescent="0.3">
      <c r="B1041" s="239">
        <v>44581</v>
      </c>
      <c r="C1041" s="251">
        <v>1823.7</v>
      </c>
      <c r="D1041" s="252" t="s">
        <v>468</v>
      </c>
      <c r="E1041">
        <f t="shared" si="22"/>
        <v>55.3</v>
      </c>
    </row>
    <row r="1042" spans="2:5" x14ac:dyDescent="0.3">
      <c r="B1042" s="239">
        <v>44580</v>
      </c>
      <c r="C1042" s="251">
        <v>1867.05</v>
      </c>
      <c r="D1042" s="252" t="s">
        <v>587</v>
      </c>
      <c r="E1042">
        <f t="shared" si="22"/>
        <v>57.5</v>
      </c>
    </row>
    <row r="1043" spans="2:5" x14ac:dyDescent="0.3">
      <c r="B1043" s="239">
        <v>44579</v>
      </c>
      <c r="C1043" s="251">
        <v>1920.75</v>
      </c>
      <c r="D1043" s="252" t="s">
        <v>586</v>
      </c>
      <c r="E1043">
        <f t="shared" si="22"/>
        <v>36.9</v>
      </c>
    </row>
    <row r="1044" spans="2:5" x14ac:dyDescent="0.3">
      <c r="B1044" s="239">
        <v>44578</v>
      </c>
      <c r="C1044" s="251">
        <v>1939.5</v>
      </c>
      <c r="D1044" s="252" t="s">
        <v>585</v>
      </c>
      <c r="E1044">
        <f t="shared" si="22"/>
        <v>52.6</v>
      </c>
    </row>
    <row r="1045" spans="2:5" x14ac:dyDescent="0.3">
      <c r="B1045" s="239">
        <v>44575</v>
      </c>
      <c r="C1045" s="251">
        <v>1929.35</v>
      </c>
      <c r="D1045" s="252" t="s">
        <v>584</v>
      </c>
      <c r="E1045">
        <f t="shared" si="22"/>
        <v>76.900000000000006</v>
      </c>
    </row>
    <row r="1046" spans="2:5" x14ac:dyDescent="0.3">
      <c r="B1046" s="239">
        <v>44574</v>
      </c>
      <c r="C1046" s="251">
        <v>1896.8</v>
      </c>
      <c r="D1046" s="252" t="s">
        <v>583</v>
      </c>
      <c r="E1046">
        <f t="shared" si="22"/>
        <v>142.80000000000001</v>
      </c>
    </row>
    <row r="1047" spans="2:5" x14ac:dyDescent="0.3">
      <c r="B1047" s="239">
        <v>44573</v>
      </c>
      <c r="C1047" s="251">
        <v>1877.45</v>
      </c>
      <c r="D1047" s="252" t="s">
        <v>582</v>
      </c>
      <c r="E1047">
        <f t="shared" ref="E1047:E1093" si="23">(VALUE(LEFT(D1047,LEN(D1047)-1)*1000000))/100000</f>
        <v>53.6</v>
      </c>
    </row>
    <row r="1048" spans="2:5" x14ac:dyDescent="0.3">
      <c r="B1048" s="239">
        <v>44572</v>
      </c>
      <c r="C1048" s="251">
        <v>1855.6</v>
      </c>
      <c r="D1048" s="252" t="s">
        <v>581</v>
      </c>
      <c r="E1048">
        <f t="shared" si="23"/>
        <v>51.4</v>
      </c>
    </row>
    <row r="1049" spans="2:5" x14ac:dyDescent="0.3">
      <c r="B1049" s="239">
        <v>44571</v>
      </c>
      <c r="C1049" s="251">
        <v>1850.75</v>
      </c>
      <c r="D1049" s="252" t="s">
        <v>580</v>
      </c>
      <c r="E1049">
        <f t="shared" si="23"/>
        <v>78.599999999999994</v>
      </c>
    </row>
    <row r="1050" spans="2:5" x14ac:dyDescent="0.3">
      <c r="B1050" s="239">
        <v>44568</v>
      </c>
      <c r="C1050" s="251">
        <v>1814.3</v>
      </c>
      <c r="D1050" s="252" t="s">
        <v>579</v>
      </c>
      <c r="E1050">
        <f t="shared" si="23"/>
        <v>48.3</v>
      </c>
    </row>
    <row r="1051" spans="2:5" x14ac:dyDescent="0.3">
      <c r="B1051" s="239">
        <v>44567</v>
      </c>
      <c r="C1051" s="251">
        <v>1817.8</v>
      </c>
      <c r="D1051" s="252" t="s">
        <v>578</v>
      </c>
      <c r="E1051">
        <f t="shared" si="23"/>
        <v>64.5</v>
      </c>
    </row>
    <row r="1052" spans="2:5" x14ac:dyDescent="0.3">
      <c r="B1052" s="239">
        <v>44566</v>
      </c>
      <c r="C1052" s="251">
        <v>1844.65</v>
      </c>
      <c r="D1052" s="252" t="s">
        <v>577</v>
      </c>
      <c r="E1052">
        <f t="shared" si="23"/>
        <v>70</v>
      </c>
    </row>
    <row r="1053" spans="2:5" x14ac:dyDescent="0.3">
      <c r="B1053" s="239">
        <v>44565</v>
      </c>
      <c r="C1053" s="251">
        <v>1899.15</v>
      </c>
      <c r="D1053" s="252" t="s">
        <v>576</v>
      </c>
      <c r="E1053">
        <f t="shared" si="23"/>
        <v>39.200000000000003</v>
      </c>
    </row>
    <row r="1054" spans="2:5" x14ac:dyDescent="0.3">
      <c r="B1054" s="239">
        <v>44564</v>
      </c>
      <c r="C1054" s="251">
        <v>1898.45</v>
      </c>
      <c r="D1054" s="252" t="s">
        <v>477</v>
      </c>
      <c r="E1054">
        <f t="shared" si="23"/>
        <v>33.299999999999997</v>
      </c>
    </row>
    <row r="1055" spans="2:5" x14ac:dyDescent="0.3">
      <c r="B1055" s="239">
        <v>44561</v>
      </c>
      <c r="C1055" s="251">
        <v>1887.75</v>
      </c>
      <c r="D1055" s="252" t="s">
        <v>575</v>
      </c>
      <c r="E1055">
        <f t="shared" si="23"/>
        <v>46.2</v>
      </c>
    </row>
    <row r="1056" spans="2:5" x14ac:dyDescent="0.3">
      <c r="B1056" s="239">
        <v>44560</v>
      </c>
      <c r="C1056" s="251">
        <v>1892.85</v>
      </c>
      <c r="D1056" s="252" t="s">
        <v>513</v>
      </c>
      <c r="E1056">
        <f t="shared" si="23"/>
        <v>45.8</v>
      </c>
    </row>
    <row r="1057" spans="2:5" x14ac:dyDescent="0.3">
      <c r="B1057" s="239">
        <v>44559</v>
      </c>
      <c r="C1057" s="251">
        <v>1885.55</v>
      </c>
      <c r="D1057" s="252" t="s">
        <v>574</v>
      </c>
      <c r="E1057">
        <f t="shared" si="23"/>
        <v>32.4</v>
      </c>
    </row>
    <row r="1058" spans="2:5" x14ac:dyDescent="0.3">
      <c r="B1058" s="239">
        <v>44558</v>
      </c>
      <c r="C1058" s="251">
        <v>1888</v>
      </c>
      <c r="D1058" s="252" t="s">
        <v>573</v>
      </c>
      <c r="E1058">
        <f t="shared" si="23"/>
        <v>33.4</v>
      </c>
    </row>
    <row r="1059" spans="2:5" x14ac:dyDescent="0.3">
      <c r="B1059" s="239">
        <v>44557</v>
      </c>
      <c r="C1059" s="251">
        <v>1866.15</v>
      </c>
      <c r="D1059" s="252" t="s">
        <v>572</v>
      </c>
      <c r="E1059">
        <f t="shared" si="23"/>
        <v>26.5</v>
      </c>
    </row>
    <row r="1060" spans="2:5" x14ac:dyDescent="0.3">
      <c r="B1060" s="239">
        <v>44554</v>
      </c>
      <c r="C1060" s="251">
        <v>1863.5</v>
      </c>
      <c r="D1060" s="252" t="s">
        <v>571</v>
      </c>
      <c r="E1060">
        <f t="shared" si="23"/>
        <v>37.799999999999997</v>
      </c>
    </row>
    <row r="1061" spans="2:5" x14ac:dyDescent="0.3">
      <c r="B1061" s="239">
        <v>44553</v>
      </c>
      <c r="C1061" s="251">
        <v>1857.6</v>
      </c>
      <c r="D1061" s="252" t="s">
        <v>570</v>
      </c>
      <c r="E1061">
        <f t="shared" si="23"/>
        <v>41.1</v>
      </c>
    </row>
    <row r="1062" spans="2:5" x14ac:dyDescent="0.3">
      <c r="B1062" s="239">
        <v>44552</v>
      </c>
      <c r="C1062" s="251">
        <v>1824.7</v>
      </c>
      <c r="D1062" s="252" t="s">
        <v>569</v>
      </c>
      <c r="E1062">
        <f t="shared" si="23"/>
        <v>41.6</v>
      </c>
    </row>
    <row r="1063" spans="2:5" x14ac:dyDescent="0.3">
      <c r="B1063" s="239">
        <v>44551</v>
      </c>
      <c r="C1063" s="251">
        <v>1811.6</v>
      </c>
      <c r="D1063" s="252" t="s">
        <v>568</v>
      </c>
      <c r="E1063">
        <f t="shared" si="23"/>
        <v>53.5</v>
      </c>
    </row>
    <row r="1064" spans="2:5" x14ac:dyDescent="0.3">
      <c r="B1064" s="239">
        <v>44550</v>
      </c>
      <c r="C1064" s="251">
        <v>1798.9</v>
      </c>
      <c r="D1064" s="252" t="s">
        <v>567</v>
      </c>
      <c r="E1064">
        <f t="shared" si="23"/>
        <v>57.7</v>
      </c>
    </row>
    <row r="1065" spans="2:5" x14ac:dyDescent="0.3">
      <c r="B1065" s="239">
        <v>44547</v>
      </c>
      <c r="C1065" s="251">
        <v>1820.85</v>
      </c>
      <c r="D1065" s="252" t="s">
        <v>566</v>
      </c>
      <c r="E1065">
        <f t="shared" si="23"/>
        <v>188.9</v>
      </c>
    </row>
    <row r="1066" spans="2:5" x14ac:dyDescent="0.3">
      <c r="B1066" s="239">
        <v>44546</v>
      </c>
      <c r="C1066" s="251">
        <v>1771.6</v>
      </c>
      <c r="D1066" s="252" t="s">
        <v>553</v>
      </c>
      <c r="E1066">
        <f t="shared" si="23"/>
        <v>44.8</v>
      </c>
    </row>
    <row r="1067" spans="2:5" x14ac:dyDescent="0.3">
      <c r="B1067" s="239">
        <v>44545</v>
      </c>
      <c r="C1067" s="251">
        <v>1734.2</v>
      </c>
      <c r="D1067" s="252" t="s">
        <v>565</v>
      </c>
      <c r="E1067">
        <f t="shared" si="23"/>
        <v>30.5</v>
      </c>
    </row>
    <row r="1068" spans="2:5" x14ac:dyDescent="0.3">
      <c r="B1068" s="239">
        <v>44544</v>
      </c>
      <c r="C1068" s="251">
        <v>1752.15</v>
      </c>
      <c r="D1068" s="252" t="s">
        <v>564</v>
      </c>
      <c r="E1068">
        <f t="shared" si="23"/>
        <v>47.7</v>
      </c>
    </row>
    <row r="1069" spans="2:5" x14ac:dyDescent="0.3">
      <c r="B1069" s="239">
        <v>44543</v>
      </c>
      <c r="C1069" s="251">
        <v>1744.65</v>
      </c>
      <c r="D1069" s="252" t="s">
        <v>563</v>
      </c>
      <c r="E1069">
        <f t="shared" si="23"/>
        <v>40.4</v>
      </c>
    </row>
    <row r="1070" spans="2:5" x14ac:dyDescent="0.3">
      <c r="B1070" s="239">
        <v>44540</v>
      </c>
      <c r="C1070" s="251">
        <v>1759.25</v>
      </c>
      <c r="D1070" s="252" t="s">
        <v>562</v>
      </c>
      <c r="E1070">
        <f t="shared" si="23"/>
        <v>18.2</v>
      </c>
    </row>
    <row r="1071" spans="2:5" x14ac:dyDescent="0.3">
      <c r="B1071" s="239">
        <v>44539</v>
      </c>
      <c r="C1071" s="251">
        <v>1763.45</v>
      </c>
      <c r="D1071" s="252" t="s">
        <v>561</v>
      </c>
      <c r="E1071">
        <f t="shared" si="23"/>
        <v>20.8</v>
      </c>
    </row>
    <row r="1072" spans="2:5" x14ac:dyDescent="0.3">
      <c r="B1072" s="239">
        <v>44538</v>
      </c>
      <c r="C1072" s="251">
        <v>1753.35</v>
      </c>
      <c r="D1072" s="252" t="s">
        <v>560</v>
      </c>
      <c r="E1072">
        <f t="shared" si="23"/>
        <v>30.3</v>
      </c>
    </row>
    <row r="1073" spans="2:5" x14ac:dyDescent="0.3">
      <c r="B1073" s="239">
        <v>44537</v>
      </c>
      <c r="C1073" s="251">
        <v>1711.65</v>
      </c>
      <c r="D1073" s="252" t="s">
        <v>559</v>
      </c>
      <c r="E1073">
        <f t="shared" si="23"/>
        <v>42</v>
      </c>
    </row>
    <row r="1074" spans="2:5" x14ac:dyDescent="0.3">
      <c r="B1074" s="239">
        <v>44536</v>
      </c>
      <c r="C1074" s="251">
        <v>1695.3</v>
      </c>
      <c r="D1074" s="252" t="s">
        <v>558</v>
      </c>
      <c r="E1074">
        <f t="shared" si="23"/>
        <v>39.9</v>
      </c>
    </row>
    <row r="1075" spans="2:5" x14ac:dyDescent="0.3">
      <c r="B1075" s="239">
        <v>44533</v>
      </c>
      <c r="C1075" s="251">
        <v>1735.55</v>
      </c>
      <c r="D1075" s="252" t="s">
        <v>557</v>
      </c>
      <c r="E1075">
        <f t="shared" si="23"/>
        <v>67.5</v>
      </c>
    </row>
    <row r="1076" spans="2:5" x14ac:dyDescent="0.3">
      <c r="B1076" s="239">
        <v>44532</v>
      </c>
      <c r="C1076" s="251">
        <v>1748.25</v>
      </c>
      <c r="D1076" s="252" t="s">
        <v>556</v>
      </c>
      <c r="E1076">
        <f t="shared" si="23"/>
        <v>55.6</v>
      </c>
    </row>
    <row r="1077" spans="2:5" x14ac:dyDescent="0.3">
      <c r="B1077" s="239">
        <v>44531</v>
      </c>
      <c r="C1077" s="251">
        <v>1714.9</v>
      </c>
      <c r="D1077" s="252" t="s">
        <v>555</v>
      </c>
      <c r="E1077">
        <f t="shared" si="23"/>
        <v>51.9</v>
      </c>
    </row>
    <row r="1078" spans="2:5" x14ac:dyDescent="0.3">
      <c r="B1078" s="239">
        <v>44530</v>
      </c>
      <c r="C1078" s="251">
        <v>1712.65</v>
      </c>
      <c r="D1078" s="252" t="s">
        <v>554</v>
      </c>
      <c r="E1078">
        <f t="shared" si="23"/>
        <v>148.1</v>
      </c>
    </row>
    <row r="1079" spans="2:5" x14ac:dyDescent="0.3">
      <c r="B1079" s="239">
        <v>44529</v>
      </c>
      <c r="C1079" s="251">
        <v>1696.35</v>
      </c>
      <c r="D1079" s="252" t="s">
        <v>434</v>
      </c>
      <c r="E1079">
        <f t="shared" si="23"/>
        <v>39.4</v>
      </c>
    </row>
    <row r="1080" spans="2:5" x14ac:dyDescent="0.3">
      <c r="B1080" s="239">
        <v>44526</v>
      </c>
      <c r="C1080" s="251">
        <v>1691.65</v>
      </c>
      <c r="D1080" s="252" t="s">
        <v>444</v>
      </c>
      <c r="E1080">
        <f t="shared" si="23"/>
        <v>44.9</v>
      </c>
    </row>
    <row r="1081" spans="2:5" x14ac:dyDescent="0.3">
      <c r="B1081" s="239">
        <v>44525</v>
      </c>
      <c r="C1081" s="251">
        <v>1722.4</v>
      </c>
      <c r="D1081" s="252" t="s">
        <v>553</v>
      </c>
      <c r="E1081">
        <f t="shared" si="23"/>
        <v>44.8</v>
      </c>
    </row>
    <row r="1082" spans="2:5" x14ac:dyDescent="0.3">
      <c r="B1082" s="239">
        <v>44524</v>
      </c>
      <c r="C1082" s="251">
        <v>1696</v>
      </c>
      <c r="D1082" s="252" t="s">
        <v>552</v>
      </c>
      <c r="E1082">
        <f t="shared" si="23"/>
        <v>73.3</v>
      </c>
    </row>
    <row r="1083" spans="2:5" x14ac:dyDescent="0.3">
      <c r="B1083" s="239">
        <v>44523</v>
      </c>
      <c r="C1083" s="251">
        <v>1736.9</v>
      </c>
      <c r="D1083" s="252" t="s">
        <v>551</v>
      </c>
      <c r="E1083">
        <f t="shared" si="23"/>
        <v>84.4</v>
      </c>
    </row>
    <row r="1084" spans="2:5" x14ac:dyDescent="0.3">
      <c r="B1084" s="239">
        <v>44522</v>
      </c>
      <c r="C1084" s="251">
        <v>1759.4</v>
      </c>
      <c r="D1084" s="252" t="s">
        <v>425</v>
      </c>
      <c r="E1084">
        <f t="shared" si="23"/>
        <v>66.2</v>
      </c>
    </row>
    <row r="1085" spans="2:5" x14ac:dyDescent="0.3">
      <c r="B1085" s="239">
        <v>44518</v>
      </c>
      <c r="C1085" s="251">
        <v>1779.4</v>
      </c>
      <c r="D1085" s="252" t="s">
        <v>550</v>
      </c>
      <c r="E1085">
        <f t="shared" si="23"/>
        <v>43.3</v>
      </c>
    </row>
    <row r="1086" spans="2:5" x14ac:dyDescent="0.3">
      <c r="B1086" s="239">
        <v>44517</v>
      </c>
      <c r="C1086" s="251">
        <v>1787.45</v>
      </c>
      <c r="D1086" s="252" t="s">
        <v>547</v>
      </c>
      <c r="E1086">
        <f t="shared" si="23"/>
        <v>47.3</v>
      </c>
    </row>
    <row r="1087" spans="2:5" x14ac:dyDescent="0.3">
      <c r="B1087" s="239">
        <v>44516</v>
      </c>
      <c r="C1087" s="251">
        <v>1792.3</v>
      </c>
      <c r="D1087" s="252" t="s">
        <v>549</v>
      </c>
      <c r="E1087">
        <f t="shared" si="23"/>
        <v>60.3</v>
      </c>
    </row>
    <row r="1088" spans="2:5" x14ac:dyDescent="0.3">
      <c r="B1088" s="239">
        <v>44515</v>
      </c>
      <c r="C1088" s="251">
        <v>1787.15</v>
      </c>
      <c r="D1088" s="252" t="s">
        <v>548</v>
      </c>
      <c r="E1088">
        <f t="shared" si="23"/>
        <v>43.5</v>
      </c>
    </row>
    <row r="1089" spans="2:5" x14ac:dyDescent="0.3">
      <c r="B1089" s="239">
        <v>44512</v>
      </c>
      <c r="C1089" s="251">
        <v>1780.2</v>
      </c>
      <c r="D1089" s="252" t="s">
        <v>485</v>
      </c>
      <c r="E1089">
        <f t="shared" si="23"/>
        <v>50.7</v>
      </c>
    </row>
    <row r="1090" spans="2:5" x14ac:dyDescent="0.3">
      <c r="B1090" s="239">
        <v>44511</v>
      </c>
      <c r="C1090" s="251">
        <v>1733.3</v>
      </c>
      <c r="D1090" s="252" t="s">
        <v>547</v>
      </c>
      <c r="E1090">
        <f t="shared" si="23"/>
        <v>47.3</v>
      </c>
    </row>
    <row r="1091" spans="2:5" x14ac:dyDescent="0.3">
      <c r="B1091" s="239">
        <v>44510</v>
      </c>
      <c r="C1091" s="251">
        <v>1740.15</v>
      </c>
      <c r="D1091" s="252" t="s">
        <v>546</v>
      </c>
      <c r="E1091">
        <f t="shared" si="23"/>
        <v>47.8</v>
      </c>
    </row>
    <row r="1092" spans="2:5" x14ac:dyDescent="0.3">
      <c r="B1092" s="239">
        <v>44509</v>
      </c>
      <c r="C1092" s="251">
        <v>1742.5</v>
      </c>
      <c r="D1092" s="252" t="s">
        <v>545</v>
      </c>
      <c r="E1092">
        <f t="shared" si="23"/>
        <v>40.199999999999996</v>
      </c>
    </row>
    <row r="1093" spans="2:5" x14ac:dyDescent="0.3">
      <c r="B1093" s="239">
        <v>44508</v>
      </c>
      <c r="C1093" s="251">
        <v>1737.5</v>
      </c>
      <c r="D1093" s="252" t="s">
        <v>544</v>
      </c>
      <c r="E1093">
        <f t="shared" si="23"/>
        <v>52.5</v>
      </c>
    </row>
    <row r="1094" spans="2:5" x14ac:dyDescent="0.3">
      <c r="B1094" s="239">
        <v>44504</v>
      </c>
      <c r="C1094" s="251">
        <v>1708.7</v>
      </c>
      <c r="D1094" s="252" t="s">
        <v>543</v>
      </c>
      <c r="E1094">
        <f>(VALUE(LEFT(D1094,LEN(D1094)-1)*1000))/100000</f>
        <v>4.8341000000000003</v>
      </c>
    </row>
    <row r="1095" spans="2:5" x14ac:dyDescent="0.3">
      <c r="B1095" s="239">
        <v>44503</v>
      </c>
      <c r="C1095" s="251">
        <v>1702.5</v>
      </c>
      <c r="D1095" s="252" t="s">
        <v>542</v>
      </c>
      <c r="E1095">
        <f t="shared" ref="E1095:E1126" si="24">(VALUE(LEFT(D1095,LEN(D1095)-1)*1000000))/100000</f>
        <v>35.299999999999997</v>
      </c>
    </row>
    <row r="1096" spans="2:5" x14ac:dyDescent="0.3">
      <c r="B1096" s="239">
        <v>44502</v>
      </c>
      <c r="C1096" s="251">
        <v>1697.9</v>
      </c>
      <c r="D1096" s="252" t="s">
        <v>541</v>
      </c>
      <c r="E1096">
        <f t="shared" si="24"/>
        <v>34.700000000000003</v>
      </c>
    </row>
    <row r="1097" spans="2:5" x14ac:dyDescent="0.3">
      <c r="B1097" s="239">
        <v>44501</v>
      </c>
      <c r="C1097" s="251">
        <v>1700.05</v>
      </c>
      <c r="D1097" s="252" t="s">
        <v>428</v>
      </c>
      <c r="E1097">
        <f t="shared" si="24"/>
        <v>36.4</v>
      </c>
    </row>
    <row r="1098" spans="2:5" x14ac:dyDescent="0.3">
      <c r="B1098" s="239">
        <v>44498</v>
      </c>
      <c r="C1098" s="251">
        <v>1667.75</v>
      </c>
      <c r="D1098" s="252" t="s">
        <v>416</v>
      </c>
      <c r="E1098">
        <f t="shared" si="24"/>
        <v>58.8</v>
      </c>
    </row>
    <row r="1099" spans="2:5" x14ac:dyDescent="0.3">
      <c r="B1099" s="239">
        <v>44497</v>
      </c>
      <c r="C1099" s="251">
        <v>1703.9</v>
      </c>
      <c r="D1099" s="252" t="s">
        <v>540</v>
      </c>
      <c r="E1099">
        <f t="shared" si="24"/>
        <v>53.3</v>
      </c>
    </row>
    <row r="1100" spans="2:5" x14ac:dyDescent="0.3">
      <c r="B1100" s="239">
        <v>44496</v>
      </c>
      <c r="C1100" s="251">
        <v>1728.95</v>
      </c>
      <c r="D1100" s="252" t="s">
        <v>539</v>
      </c>
      <c r="E1100">
        <f t="shared" si="24"/>
        <v>50.9</v>
      </c>
    </row>
    <row r="1101" spans="2:5" x14ac:dyDescent="0.3">
      <c r="B1101" s="239">
        <v>44495</v>
      </c>
      <c r="C1101" s="251">
        <v>1703.7</v>
      </c>
      <c r="D1101" s="252" t="s">
        <v>538</v>
      </c>
      <c r="E1101">
        <f t="shared" si="24"/>
        <v>58.7</v>
      </c>
    </row>
    <row r="1102" spans="2:5" x14ac:dyDescent="0.3">
      <c r="B1102" s="239">
        <v>44494</v>
      </c>
      <c r="C1102" s="251">
        <v>1707.55</v>
      </c>
      <c r="D1102" s="252" t="s">
        <v>471</v>
      </c>
      <c r="E1102">
        <f t="shared" si="24"/>
        <v>59.1</v>
      </c>
    </row>
    <row r="1103" spans="2:5" x14ac:dyDescent="0.3">
      <c r="B1103" s="239">
        <v>44491</v>
      </c>
      <c r="C1103" s="251">
        <v>1719.8</v>
      </c>
      <c r="D1103" s="252" t="s">
        <v>537</v>
      </c>
      <c r="E1103">
        <f t="shared" si="24"/>
        <v>73.7</v>
      </c>
    </row>
    <row r="1104" spans="2:5" x14ac:dyDescent="0.3">
      <c r="B1104" s="239">
        <v>44490</v>
      </c>
      <c r="C1104" s="251">
        <v>1753.65</v>
      </c>
      <c r="D1104" s="252" t="s">
        <v>536</v>
      </c>
      <c r="E1104">
        <f t="shared" si="24"/>
        <v>87.8</v>
      </c>
    </row>
    <row r="1105" spans="2:5" x14ac:dyDescent="0.3">
      <c r="B1105" s="239">
        <v>44489</v>
      </c>
      <c r="C1105" s="251">
        <v>1802.35</v>
      </c>
      <c r="D1105" s="252" t="s">
        <v>416</v>
      </c>
      <c r="E1105">
        <f t="shared" si="24"/>
        <v>58.8</v>
      </c>
    </row>
    <row r="1106" spans="2:5" x14ac:dyDescent="0.3">
      <c r="B1106" s="239">
        <v>44488</v>
      </c>
      <c r="C1106" s="251">
        <v>1822.15</v>
      </c>
      <c r="D1106" s="252" t="s">
        <v>535</v>
      </c>
      <c r="E1106">
        <f t="shared" si="24"/>
        <v>103.2</v>
      </c>
    </row>
    <row r="1107" spans="2:5" x14ac:dyDescent="0.3">
      <c r="B1107" s="239">
        <v>44487</v>
      </c>
      <c r="C1107" s="251">
        <v>1792.15</v>
      </c>
      <c r="D1107" s="252" t="s">
        <v>534</v>
      </c>
      <c r="E1107">
        <f t="shared" si="24"/>
        <v>134.4</v>
      </c>
    </row>
    <row r="1108" spans="2:5" x14ac:dyDescent="0.3">
      <c r="B1108" s="239">
        <v>44483</v>
      </c>
      <c r="C1108" s="251">
        <v>1715.75</v>
      </c>
      <c r="D1108" s="252" t="s">
        <v>533</v>
      </c>
      <c r="E1108">
        <f t="shared" si="24"/>
        <v>196.6</v>
      </c>
    </row>
    <row r="1109" spans="2:5" x14ac:dyDescent="0.3">
      <c r="B1109" s="239">
        <v>44482</v>
      </c>
      <c r="C1109" s="251">
        <v>1709.2</v>
      </c>
      <c r="D1109" s="252" t="s">
        <v>532</v>
      </c>
      <c r="E1109">
        <f t="shared" si="24"/>
        <v>71</v>
      </c>
    </row>
    <row r="1110" spans="2:5" x14ac:dyDescent="0.3">
      <c r="B1110" s="239">
        <v>44481</v>
      </c>
      <c r="C1110" s="251">
        <v>1685.15</v>
      </c>
      <c r="D1110" s="252" t="s">
        <v>531</v>
      </c>
      <c r="E1110">
        <f t="shared" si="24"/>
        <v>74.400000000000006</v>
      </c>
    </row>
    <row r="1111" spans="2:5" x14ac:dyDescent="0.3">
      <c r="B1111" s="239">
        <v>44480</v>
      </c>
      <c r="C1111" s="251">
        <v>1690.95</v>
      </c>
      <c r="D1111" s="252" t="s">
        <v>530</v>
      </c>
      <c r="E1111">
        <f t="shared" si="24"/>
        <v>88.4</v>
      </c>
    </row>
    <row r="1112" spans="2:5" x14ac:dyDescent="0.3">
      <c r="B1112" s="239">
        <v>44477</v>
      </c>
      <c r="C1112" s="251">
        <v>1723.85</v>
      </c>
      <c r="D1112" s="252" t="s">
        <v>529</v>
      </c>
      <c r="E1112">
        <f t="shared" si="24"/>
        <v>47.4</v>
      </c>
    </row>
    <row r="1113" spans="2:5" x14ac:dyDescent="0.3">
      <c r="B1113" s="239">
        <v>44476</v>
      </c>
      <c r="C1113" s="251">
        <v>1691</v>
      </c>
      <c r="D1113" s="252" t="s">
        <v>528</v>
      </c>
      <c r="E1113">
        <f t="shared" si="24"/>
        <v>54.8</v>
      </c>
    </row>
    <row r="1114" spans="2:5" x14ac:dyDescent="0.3">
      <c r="B1114" s="239">
        <v>44475</v>
      </c>
      <c r="C1114" s="251">
        <v>1673.55</v>
      </c>
      <c r="D1114" s="252" t="s">
        <v>527</v>
      </c>
      <c r="E1114">
        <f t="shared" si="24"/>
        <v>42.7</v>
      </c>
    </row>
    <row r="1115" spans="2:5" x14ac:dyDescent="0.3">
      <c r="B1115" s="239">
        <v>44474</v>
      </c>
      <c r="C1115" s="251">
        <v>1692.8</v>
      </c>
      <c r="D1115" s="252" t="s">
        <v>526</v>
      </c>
      <c r="E1115">
        <f t="shared" si="24"/>
        <v>43.7</v>
      </c>
    </row>
    <row r="1116" spans="2:5" x14ac:dyDescent="0.3">
      <c r="B1116" s="239">
        <v>44473</v>
      </c>
      <c r="C1116" s="251">
        <v>1678.75</v>
      </c>
      <c r="D1116" s="252" t="s">
        <v>525</v>
      </c>
      <c r="E1116">
        <f t="shared" si="24"/>
        <v>29.5</v>
      </c>
    </row>
    <row r="1117" spans="2:5" x14ac:dyDescent="0.3">
      <c r="B1117" s="239">
        <v>44470</v>
      </c>
      <c r="C1117" s="251">
        <v>1665.15</v>
      </c>
      <c r="D1117" s="252" t="s">
        <v>524</v>
      </c>
      <c r="E1117">
        <f t="shared" si="24"/>
        <v>57.3</v>
      </c>
    </row>
    <row r="1118" spans="2:5" x14ac:dyDescent="0.3">
      <c r="B1118" s="239">
        <v>44469</v>
      </c>
      <c r="C1118" s="251">
        <v>1675.2</v>
      </c>
      <c r="D1118" s="252" t="s">
        <v>523</v>
      </c>
      <c r="E1118">
        <f t="shared" si="24"/>
        <v>69.099999999999994</v>
      </c>
    </row>
    <row r="1119" spans="2:5" x14ac:dyDescent="0.3">
      <c r="B1119" s="239">
        <v>44468</v>
      </c>
      <c r="C1119" s="251">
        <v>1692.25</v>
      </c>
      <c r="D1119" s="252" t="s">
        <v>522</v>
      </c>
      <c r="E1119">
        <f t="shared" si="24"/>
        <v>77.900000000000006</v>
      </c>
    </row>
    <row r="1120" spans="2:5" x14ac:dyDescent="0.3">
      <c r="B1120" s="239">
        <v>44467</v>
      </c>
      <c r="C1120" s="251">
        <v>1687.1</v>
      </c>
      <c r="D1120" s="252" t="s">
        <v>507</v>
      </c>
      <c r="E1120">
        <f t="shared" si="24"/>
        <v>65.599999999999994</v>
      </c>
    </row>
    <row r="1121" spans="2:5" x14ac:dyDescent="0.3">
      <c r="B1121" s="239">
        <v>44466</v>
      </c>
      <c r="C1121" s="251">
        <v>1721.15</v>
      </c>
      <c r="D1121" s="252" t="s">
        <v>521</v>
      </c>
      <c r="E1121">
        <f t="shared" si="24"/>
        <v>50.5</v>
      </c>
    </row>
    <row r="1122" spans="2:5" x14ac:dyDescent="0.3">
      <c r="B1122" s="239">
        <v>44463</v>
      </c>
      <c r="C1122" s="251">
        <v>1763.85</v>
      </c>
      <c r="D1122" s="252" t="s">
        <v>520</v>
      </c>
      <c r="E1122">
        <f t="shared" si="24"/>
        <v>82.8</v>
      </c>
    </row>
    <row r="1123" spans="2:5" x14ac:dyDescent="0.3">
      <c r="B1123" s="239">
        <v>44462</v>
      </c>
      <c r="C1123" s="251">
        <v>1742.55</v>
      </c>
      <c r="D1123" s="252" t="s">
        <v>519</v>
      </c>
      <c r="E1123">
        <f t="shared" si="24"/>
        <v>38.299999999999997</v>
      </c>
    </row>
    <row r="1124" spans="2:5" x14ac:dyDescent="0.3">
      <c r="B1124" s="239">
        <v>44461</v>
      </c>
      <c r="C1124" s="251">
        <v>1716.9</v>
      </c>
      <c r="D1124" s="252" t="s">
        <v>518</v>
      </c>
      <c r="E1124">
        <f t="shared" si="24"/>
        <v>45.5</v>
      </c>
    </row>
    <row r="1125" spans="2:5" x14ac:dyDescent="0.3">
      <c r="B1125" s="239">
        <v>44460</v>
      </c>
      <c r="C1125" s="251">
        <v>1718.45</v>
      </c>
      <c r="D1125" s="252" t="s">
        <v>517</v>
      </c>
      <c r="E1125">
        <f t="shared" si="24"/>
        <v>46.7</v>
      </c>
    </row>
    <row r="1126" spans="2:5" x14ac:dyDescent="0.3">
      <c r="B1126" s="239">
        <v>44459</v>
      </c>
      <c r="C1126" s="251">
        <v>1687.85</v>
      </c>
      <c r="D1126" s="252" t="s">
        <v>481</v>
      </c>
      <c r="E1126">
        <f t="shared" si="24"/>
        <v>56.6</v>
      </c>
    </row>
    <row r="1127" spans="2:5" x14ac:dyDescent="0.3">
      <c r="B1127" s="239">
        <v>44456</v>
      </c>
      <c r="C1127" s="251">
        <v>1691.3</v>
      </c>
      <c r="D1127" s="252" t="s">
        <v>516</v>
      </c>
      <c r="E1127">
        <f t="shared" ref="E1127:E1158" si="25">(VALUE(LEFT(D1127,LEN(D1127)-1)*1000000))/100000</f>
        <v>74.5</v>
      </c>
    </row>
    <row r="1128" spans="2:5" x14ac:dyDescent="0.3">
      <c r="B1128" s="239">
        <v>44455</v>
      </c>
      <c r="C1128" s="251">
        <v>1702.25</v>
      </c>
      <c r="D1128" s="252" t="s">
        <v>515</v>
      </c>
      <c r="E1128">
        <f t="shared" si="25"/>
        <v>32.5</v>
      </c>
    </row>
    <row r="1129" spans="2:5" x14ac:dyDescent="0.3">
      <c r="B1129" s="239">
        <v>44454</v>
      </c>
      <c r="C1129" s="251">
        <v>1711.45</v>
      </c>
      <c r="D1129" s="252" t="s">
        <v>474</v>
      </c>
      <c r="E1129">
        <f t="shared" si="25"/>
        <v>40.599999999999994</v>
      </c>
    </row>
    <row r="1130" spans="2:5" x14ac:dyDescent="0.3">
      <c r="B1130" s="239">
        <v>44453</v>
      </c>
      <c r="C1130" s="251">
        <v>1686.15</v>
      </c>
      <c r="D1130" s="252" t="s">
        <v>514</v>
      </c>
      <c r="E1130">
        <f t="shared" si="25"/>
        <v>49.5</v>
      </c>
    </row>
    <row r="1131" spans="2:5" x14ac:dyDescent="0.3">
      <c r="B1131" s="239">
        <v>44452</v>
      </c>
      <c r="C1131" s="251">
        <v>1691.9</v>
      </c>
      <c r="D1131" s="252" t="s">
        <v>490</v>
      </c>
      <c r="E1131">
        <f t="shared" si="25"/>
        <v>46.6</v>
      </c>
    </row>
    <row r="1132" spans="2:5" x14ac:dyDescent="0.3">
      <c r="B1132" s="239">
        <v>44448</v>
      </c>
      <c r="C1132" s="251">
        <v>1691.6</v>
      </c>
      <c r="D1132" s="252" t="s">
        <v>477</v>
      </c>
      <c r="E1132">
        <f t="shared" si="25"/>
        <v>33.299999999999997</v>
      </c>
    </row>
    <row r="1133" spans="2:5" x14ac:dyDescent="0.3">
      <c r="B1133" s="239">
        <v>44447</v>
      </c>
      <c r="C1133" s="251">
        <v>1693.25</v>
      </c>
      <c r="D1133" s="252" t="s">
        <v>513</v>
      </c>
      <c r="E1133">
        <f t="shared" si="25"/>
        <v>45.8</v>
      </c>
    </row>
    <row r="1134" spans="2:5" x14ac:dyDescent="0.3">
      <c r="B1134" s="239">
        <v>44446</v>
      </c>
      <c r="C1134" s="251">
        <v>1706.65</v>
      </c>
      <c r="D1134" s="252" t="s">
        <v>512</v>
      </c>
      <c r="E1134">
        <f t="shared" si="25"/>
        <v>35.200000000000003</v>
      </c>
    </row>
    <row r="1135" spans="2:5" x14ac:dyDescent="0.3">
      <c r="B1135" s="239">
        <v>44445</v>
      </c>
      <c r="C1135" s="251">
        <v>1730.4</v>
      </c>
      <c r="D1135" s="252" t="s">
        <v>429</v>
      </c>
      <c r="E1135">
        <f t="shared" si="25"/>
        <v>48.8</v>
      </c>
    </row>
    <row r="1136" spans="2:5" x14ac:dyDescent="0.3">
      <c r="B1136" s="239">
        <v>44442</v>
      </c>
      <c r="C1136" s="251">
        <v>1700.65</v>
      </c>
      <c r="D1136" s="252" t="s">
        <v>511</v>
      </c>
      <c r="E1136">
        <f t="shared" si="25"/>
        <v>53.4</v>
      </c>
    </row>
    <row r="1137" spans="2:5" x14ac:dyDescent="0.3">
      <c r="B1137" s="239">
        <v>44441</v>
      </c>
      <c r="C1137" s="251">
        <v>1689.1</v>
      </c>
      <c r="D1137" s="252" t="s">
        <v>510</v>
      </c>
      <c r="E1137">
        <f t="shared" si="25"/>
        <v>68.3</v>
      </c>
    </row>
    <row r="1138" spans="2:5" x14ac:dyDescent="0.3">
      <c r="B1138" s="239">
        <v>44440</v>
      </c>
      <c r="C1138" s="251">
        <v>1677.75</v>
      </c>
      <c r="D1138" s="252" t="s">
        <v>509</v>
      </c>
      <c r="E1138">
        <f t="shared" si="25"/>
        <v>78</v>
      </c>
    </row>
    <row r="1139" spans="2:5" x14ac:dyDescent="0.3">
      <c r="B1139" s="239">
        <v>44439</v>
      </c>
      <c r="C1139" s="251">
        <v>1706.45</v>
      </c>
      <c r="D1139" s="252" t="s">
        <v>508</v>
      </c>
      <c r="E1139">
        <f t="shared" si="25"/>
        <v>122.6</v>
      </c>
    </row>
    <row r="1140" spans="2:5" x14ac:dyDescent="0.3">
      <c r="B1140" s="239">
        <v>44438</v>
      </c>
      <c r="C1140" s="251">
        <v>1698.05</v>
      </c>
      <c r="D1140" s="252" t="s">
        <v>507</v>
      </c>
      <c r="E1140">
        <f t="shared" si="25"/>
        <v>65.599999999999994</v>
      </c>
    </row>
    <row r="1141" spans="2:5" x14ac:dyDescent="0.3">
      <c r="B1141" s="239">
        <v>44435</v>
      </c>
      <c r="C1141" s="251">
        <v>1708.8</v>
      </c>
      <c r="D1141" s="252" t="s">
        <v>506</v>
      </c>
      <c r="E1141">
        <f t="shared" si="25"/>
        <v>67</v>
      </c>
    </row>
    <row r="1142" spans="2:5" x14ac:dyDescent="0.3">
      <c r="B1142" s="239">
        <v>44434</v>
      </c>
      <c r="C1142" s="251">
        <v>1727.7</v>
      </c>
      <c r="D1142" s="252" t="s">
        <v>505</v>
      </c>
      <c r="E1142">
        <f t="shared" si="25"/>
        <v>53</v>
      </c>
    </row>
    <row r="1143" spans="2:5" x14ac:dyDescent="0.3">
      <c r="B1143" s="239">
        <v>44433</v>
      </c>
      <c r="C1143" s="251">
        <v>1735.55</v>
      </c>
      <c r="D1143" s="252" t="s">
        <v>504</v>
      </c>
      <c r="E1143">
        <f t="shared" si="25"/>
        <v>61.5</v>
      </c>
    </row>
    <row r="1144" spans="2:5" x14ac:dyDescent="0.3">
      <c r="B1144" s="239">
        <v>44432</v>
      </c>
      <c r="C1144" s="251">
        <v>1720.85</v>
      </c>
      <c r="D1144" s="252" t="s">
        <v>503</v>
      </c>
      <c r="E1144">
        <f t="shared" si="25"/>
        <v>76</v>
      </c>
    </row>
    <row r="1145" spans="2:5" x14ac:dyDescent="0.3">
      <c r="B1145" s="239">
        <v>44431</v>
      </c>
      <c r="C1145" s="251">
        <v>1738.75</v>
      </c>
      <c r="D1145" s="252" t="s">
        <v>502</v>
      </c>
      <c r="E1145">
        <f t="shared" si="25"/>
        <v>61.9</v>
      </c>
    </row>
    <row r="1146" spans="2:5" x14ac:dyDescent="0.3">
      <c r="B1146" s="239">
        <v>44428</v>
      </c>
      <c r="C1146" s="251">
        <v>1732.95</v>
      </c>
      <c r="D1146" s="252" t="s">
        <v>501</v>
      </c>
      <c r="E1146">
        <f t="shared" si="25"/>
        <v>62.1</v>
      </c>
    </row>
    <row r="1147" spans="2:5" x14ac:dyDescent="0.3">
      <c r="B1147" s="239">
        <v>44426</v>
      </c>
      <c r="C1147" s="251">
        <v>1733.45</v>
      </c>
      <c r="D1147" s="252" t="s">
        <v>500</v>
      </c>
      <c r="E1147">
        <f t="shared" si="25"/>
        <v>66.900000000000006</v>
      </c>
    </row>
    <row r="1148" spans="2:5" x14ac:dyDescent="0.3">
      <c r="B1148" s="239">
        <v>44425</v>
      </c>
      <c r="C1148" s="251">
        <v>1741.65</v>
      </c>
      <c r="D1148" s="252" t="s">
        <v>499</v>
      </c>
      <c r="E1148">
        <f t="shared" si="25"/>
        <v>95.1</v>
      </c>
    </row>
    <row r="1149" spans="2:5" x14ac:dyDescent="0.3">
      <c r="B1149" s="239">
        <v>44424</v>
      </c>
      <c r="C1149" s="251">
        <v>1704.4</v>
      </c>
      <c r="D1149" s="252" t="s">
        <v>432</v>
      </c>
      <c r="E1149">
        <f t="shared" si="25"/>
        <v>45.6</v>
      </c>
    </row>
    <row r="1150" spans="2:5" x14ac:dyDescent="0.3">
      <c r="B1150" s="239">
        <v>44421</v>
      </c>
      <c r="C1150" s="251">
        <v>1712.2</v>
      </c>
      <c r="D1150" s="252" t="s">
        <v>498</v>
      </c>
      <c r="E1150">
        <f t="shared" si="25"/>
        <v>56.1</v>
      </c>
    </row>
    <row r="1151" spans="2:5" x14ac:dyDescent="0.3">
      <c r="B1151" s="239">
        <v>44420</v>
      </c>
      <c r="C1151" s="251">
        <v>1689.6</v>
      </c>
      <c r="D1151" s="252" t="s">
        <v>481</v>
      </c>
      <c r="E1151">
        <f t="shared" si="25"/>
        <v>56.6</v>
      </c>
    </row>
    <row r="1152" spans="2:5" x14ac:dyDescent="0.3">
      <c r="B1152" s="239">
        <v>44419</v>
      </c>
      <c r="C1152" s="251">
        <v>1677.55</v>
      </c>
      <c r="D1152" s="252" t="s">
        <v>497</v>
      </c>
      <c r="E1152">
        <f t="shared" si="25"/>
        <v>49</v>
      </c>
    </row>
    <row r="1153" spans="2:5" x14ac:dyDescent="0.3">
      <c r="B1153" s="239">
        <v>44418</v>
      </c>
      <c r="C1153" s="251">
        <v>1677.25</v>
      </c>
      <c r="D1153" s="252" t="s">
        <v>448</v>
      </c>
      <c r="E1153">
        <f t="shared" si="25"/>
        <v>68.5</v>
      </c>
    </row>
    <row r="1154" spans="2:5" x14ac:dyDescent="0.3">
      <c r="B1154" s="239">
        <v>44417</v>
      </c>
      <c r="C1154" s="251">
        <v>1663.3</v>
      </c>
      <c r="D1154" s="252" t="s">
        <v>441</v>
      </c>
      <c r="E1154">
        <f t="shared" si="25"/>
        <v>50.2</v>
      </c>
    </row>
    <row r="1155" spans="2:5" x14ac:dyDescent="0.3">
      <c r="B1155" s="239">
        <v>44414</v>
      </c>
      <c r="C1155" s="251">
        <v>1650.2</v>
      </c>
      <c r="D1155" s="252" t="s">
        <v>496</v>
      </c>
      <c r="E1155">
        <f t="shared" si="25"/>
        <v>37.5</v>
      </c>
    </row>
    <row r="1156" spans="2:5" x14ac:dyDescent="0.3">
      <c r="B1156" s="239">
        <v>44413</v>
      </c>
      <c r="C1156" s="251">
        <v>1653.55</v>
      </c>
      <c r="D1156" s="252" t="s">
        <v>495</v>
      </c>
      <c r="E1156">
        <f t="shared" si="25"/>
        <v>54.2</v>
      </c>
    </row>
    <row r="1157" spans="2:5" x14ac:dyDescent="0.3">
      <c r="B1157" s="239">
        <v>44412</v>
      </c>
      <c r="C1157" s="251">
        <v>1649.25</v>
      </c>
      <c r="D1157" s="252" t="s">
        <v>494</v>
      </c>
      <c r="E1157">
        <f t="shared" si="25"/>
        <v>67.400000000000006</v>
      </c>
    </row>
    <row r="1158" spans="2:5" x14ac:dyDescent="0.3">
      <c r="B1158" s="239">
        <v>44411</v>
      </c>
      <c r="C1158" s="251">
        <v>1655.2</v>
      </c>
      <c r="D1158" s="252" t="s">
        <v>493</v>
      </c>
      <c r="E1158">
        <f t="shared" si="25"/>
        <v>55.1</v>
      </c>
    </row>
    <row r="1159" spans="2:5" x14ac:dyDescent="0.3">
      <c r="B1159" s="239">
        <v>44410</v>
      </c>
      <c r="C1159" s="251">
        <v>1631.55</v>
      </c>
      <c r="D1159" s="252" t="s">
        <v>492</v>
      </c>
      <c r="E1159">
        <f t="shared" ref="E1159:E1190" si="26">(VALUE(LEFT(D1159,LEN(D1159)-1)*1000000))/100000</f>
        <v>55.5</v>
      </c>
    </row>
    <row r="1160" spans="2:5" x14ac:dyDescent="0.3">
      <c r="B1160" s="239">
        <v>44407</v>
      </c>
      <c r="C1160" s="251">
        <v>1610.5</v>
      </c>
      <c r="D1160" s="252" t="s">
        <v>491</v>
      </c>
      <c r="E1160">
        <f t="shared" si="26"/>
        <v>62.3</v>
      </c>
    </row>
    <row r="1161" spans="2:5" x14ac:dyDescent="0.3">
      <c r="B1161" s="239">
        <v>44406</v>
      </c>
      <c r="C1161" s="251">
        <v>1617</v>
      </c>
      <c r="D1161" s="252" t="s">
        <v>490</v>
      </c>
      <c r="E1161">
        <f t="shared" si="26"/>
        <v>46.6</v>
      </c>
    </row>
    <row r="1162" spans="2:5" x14ac:dyDescent="0.3">
      <c r="B1162" s="239">
        <v>44405</v>
      </c>
      <c r="C1162" s="251">
        <v>1605.6</v>
      </c>
      <c r="D1162" s="252" t="s">
        <v>489</v>
      </c>
      <c r="E1162">
        <f t="shared" si="26"/>
        <v>46.9</v>
      </c>
    </row>
    <row r="1163" spans="2:5" x14ac:dyDescent="0.3">
      <c r="B1163" s="239">
        <v>44404</v>
      </c>
      <c r="C1163" s="251">
        <v>1602.55</v>
      </c>
      <c r="D1163" s="252" t="s">
        <v>488</v>
      </c>
      <c r="E1163">
        <f t="shared" si="26"/>
        <v>58.9</v>
      </c>
    </row>
    <row r="1164" spans="2:5" x14ac:dyDescent="0.3">
      <c r="B1164" s="239">
        <v>44403</v>
      </c>
      <c r="C1164" s="251">
        <v>1603.9</v>
      </c>
      <c r="D1164" s="252" t="s">
        <v>479</v>
      </c>
      <c r="E1164">
        <f t="shared" si="26"/>
        <v>45.9</v>
      </c>
    </row>
    <row r="1165" spans="2:5" x14ac:dyDescent="0.3">
      <c r="B1165" s="239">
        <v>44400</v>
      </c>
      <c r="C1165" s="251">
        <v>1590.45</v>
      </c>
      <c r="D1165" s="252" t="s">
        <v>487</v>
      </c>
      <c r="E1165">
        <f t="shared" si="26"/>
        <v>41.8</v>
      </c>
    </row>
    <row r="1166" spans="2:5" x14ac:dyDescent="0.3">
      <c r="B1166" s="239">
        <v>44399</v>
      </c>
      <c r="C1166" s="251">
        <v>1590.2</v>
      </c>
      <c r="D1166" s="252" t="s">
        <v>486</v>
      </c>
      <c r="E1166">
        <f t="shared" si="26"/>
        <v>78.5</v>
      </c>
    </row>
    <row r="1167" spans="2:5" x14ac:dyDescent="0.3">
      <c r="B1167" s="239">
        <v>44397</v>
      </c>
      <c r="C1167" s="251">
        <v>1550.05</v>
      </c>
      <c r="D1167" s="252" t="s">
        <v>485</v>
      </c>
      <c r="E1167">
        <f t="shared" si="26"/>
        <v>50.7</v>
      </c>
    </row>
    <row r="1168" spans="2:5" x14ac:dyDescent="0.3">
      <c r="B1168" s="239">
        <v>44396</v>
      </c>
      <c r="C1168" s="251">
        <v>1541.7</v>
      </c>
      <c r="D1168" s="252" t="s">
        <v>484</v>
      </c>
      <c r="E1168">
        <f t="shared" si="26"/>
        <v>56.7</v>
      </c>
    </row>
    <row r="1169" spans="2:5" x14ac:dyDescent="0.3">
      <c r="B1169" s="239">
        <v>44393</v>
      </c>
      <c r="C1169" s="251">
        <v>1555.45</v>
      </c>
      <c r="D1169" s="252" t="s">
        <v>483</v>
      </c>
      <c r="E1169">
        <f t="shared" si="26"/>
        <v>62.7</v>
      </c>
    </row>
    <row r="1170" spans="2:5" x14ac:dyDescent="0.3">
      <c r="B1170" s="239">
        <v>44392</v>
      </c>
      <c r="C1170" s="251">
        <v>1580.8</v>
      </c>
      <c r="D1170" s="252" t="s">
        <v>482</v>
      </c>
      <c r="E1170">
        <f t="shared" si="26"/>
        <v>100.2</v>
      </c>
    </row>
    <row r="1171" spans="2:5" x14ac:dyDescent="0.3">
      <c r="B1171" s="239">
        <v>44391</v>
      </c>
      <c r="C1171" s="251">
        <v>1576.9</v>
      </c>
      <c r="D1171" s="252" t="s">
        <v>481</v>
      </c>
      <c r="E1171">
        <f t="shared" si="26"/>
        <v>56.6</v>
      </c>
    </row>
    <row r="1172" spans="2:5" x14ac:dyDescent="0.3">
      <c r="B1172" s="239">
        <v>44390</v>
      </c>
      <c r="C1172" s="251">
        <v>1544.95</v>
      </c>
      <c r="D1172" s="252" t="s">
        <v>480</v>
      </c>
      <c r="E1172">
        <f t="shared" si="26"/>
        <v>44.6</v>
      </c>
    </row>
    <row r="1173" spans="2:5" x14ac:dyDescent="0.3">
      <c r="B1173" s="239">
        <v>44389</v>
      </c>
      <c r="C1173" s="251">
        <v>1547.85</v>
      </c>
      <c r="D1173" s="252" t="s">
        <v>479</v>
      </c>
      <c r="E1173">
        <f t="shared" si="26"/>
        <v>45.9</v>
      </c>
    </row>
    <row r="1174" spans="2:5" x14ac:dyDescent="0.3">
      <c r="B1174" s="239">
        <v>44386</v>
      </c>
      <c r="C1174" s="251">
        <v>1562.9</v>
      </c>
      <c r="D1174" s="252" t="s">
        <v>478</v>
      </c>
      <c r="E1174">
        <f t="shared" si="26"/>
        <v>34.4</v>
      </c>
    </row>
    <row r="1175" spans="2:5" x14ac:dyDescent="0.3">
      <c r="B1175" s="239">
        <v>44385</v>
      </c>
      <c r="C1175" s="251">
        <v>1560.75</v>
      </c>
      <c r="D1175" s="252" t="s">
        <v>477</v>
      </c>
      <c r="E1175">
        <f t="shared" si="26"/>
        <v>33.299999999999997</v>
      </c>
    </row>
    <row r="1176" spans="2:5" x14ac:dyDescent="0.3">
      <c r="B1176" s="239">
        <v>44384</v>
      </c>
      <c r="C1176" s="251">
        <v>1564.6</v>
      </c>
      <c r="D1176" s="252" t="s">
        <v>476</v>
      </c>
      <c r="E1176">
        <f t="shared" si="26"/>
        <v>48</v>
      </c>
    </row>
    <row r="1177" spans="2:5" x14ac:dyDescent="0.3">
      <c r="B1177" s="239">
        <v>44383</v>
      </c>
      <c r="C1177" s="251">
        <v>1562.2</v>
      </c>
      <c r="D1177" s="252" t="s">
        <v>475</v>
      </c>
      <c r="E1177">
        <f t="shared" si="26"/>
        <v>40.9</v>
      </c>
    </row>
    <row r="1178" spans="2:5" x14ac:dyDescent="0.3">
      <c r="B1178" s="239">
        <v>44382</v>
      </c>
      <c r="C1178" s="251">
        <v>1578.95</v>
      </c>
      <c r="D1178" s="252" t="s">
        <v>474</v>
      </c>
      <c r="E1178">
        <f t="shared" si="26"/>
        <v>40.599999999999994</v>
      </c>
    </row>
    <row r="1179" spans="2:5" x14ac:dyDescent="0.3">
      <c r="B1179" s="239">
        <v>44379</v>
      </c>
      <c r="C1179" s="251">
        <v>1567.8</v>
      </c>
      <c r="D1179" s="252" t="s">
        <v>473</v>
      </c>
      <c r="E1179">
        <f t="shared" si="26"/>
        <v>51.7</v>
      </c>
    </row>
    <row r="1180" spans="2:5" x14ac:dyDescent="0.3">
      <c r="B1180" s="239">
        <v>44378</v>
      </c>
      <c r="C1180" s="251">
        <v>1560.4</v>
      </c>
      <c r="D1180" s="252" t="s">
        <v>435</v>
      </c>
      <c r="E1180">
        <f t="shared" si="26"/>
        <v>48.1</v>
      </c>
    </row>
    <row r="1181" spans="2:5" x14ac:dyDescent="0.3">
      <c r="B1181" s="239">
        <v>44377</v>
      </c>
      <c r="C1181" s="251">
        <v>1580.8</v>
      </c>
      <c r="D1181" s="252" t="s">
        <v>472</v>
      </c>
      <c r="E1181">
        <f t="shared" si="26"/>
        <v>60.6</v>
      </c>
    </row>
    <row r="1182" spans="2:5" x14ac:dyDescent="0.3">
      <c r="B1182" s="239">
        <v>44376</v>
      </c>
      <c r="C1182" s="251">
        <v>1563.05</v>
      </c>
      <c r="D1182" s="252" t="s">
        <v>471</v>
      </c>
      <c r="E1182">
        <f t="shared" si="26"/>
        <v>59.1</v>
      </c>
    </row>
    <row r="1183" spans="2:5" x14ac:dyDescent="0.3">
      <c r="B1183" s="239">
        <v>44375</v>
      </c>
      <c r="C1183" s="251">
        <v>1571.8</v>
      </c>
      <c r="D1183" s="252" t="s">
        <v>441</v>
      </c>
      <c r="E1183">
        <f t="shared" si="26"/>
        <v>50.2</v>
      </c>
    </row>
    <row r="1184" spans="2:5" x14ac:dyDescent="0.3">
      <c r="B1184" s="239">
        <v>44372</v>
      </c>
      <c r="C1184" s="251">
        <v>1574.2</v>
      </c>
      <c r="D1184" s="252" t="s">
        <v>470</v>
      </c>
      <c r="E1184">
        <f t="shared" si="26"/>
        <v>97.8</v>
      </c>
    </row>
    <row r="1185" spans="2:5" x14ac:dyDescent="0.3">
      <c r="B1185" s="239">
        <v>44371</v>
      </c>
      <c r="C1185" s="251">
        <v>1559.2</v>
      </c>
      <c r="D1185" s="252" t="s">
        <v>469</v>
      </c>
      <c r="E1185">
        <f t="shared" si="26"/>
        <v>107.9</v>
      </c>
    </row>
    <row r="1186" spans="2:5" x14ac:dyDescent="0.3">
      <c r="B1186" s="239">
        <v>44370</v>
      </c>
      <c r="C1186" s="251">
        <v>1503.15</v>
      </c>
      <c r="D1186" s="252" t="s">
        <v>468</v>
      </c>
      <c r="E1186">
        <f t="shared" si="26"/>
        <v>55.3</v>
      </c>
    </row>
    <row r="1187" spans="2:5" x14ac:dyDescent="0.3">
      <c r="B1187" s="239">
        <v>44369</v>
      </c>
      <c r="C1187" s="251">
        <v>1511.85</v>
      </c>
      <c r="D1187" s="252" t="s">
        <v>467</v>
      </c>
      <c r="E1187">
        <f t="shared" si="26"/>
        <v>64.3</v>
      </c>
    </row>
    <row r="1188" spans="2:5" x14ac:dyDescent="0.3">
      <c r="B1188" s="239">
        <v>44368</v>
      </c>
      <c r="C1188" s="251">
        <v>1500.3</v>
      </c>
      <c r="D1188" s="252" t="s">
        <v>466</v>
      </c>
      <c r="E1188">
        <f t="shared" si="26"/>
        <v>54.5</v>
      </c>
    </row>
    <row r="1189" spans="2:5" x14ac:dyDescent="0.3">
      <c r="B1189" s="239">
        <v>44365</v>
      </c>
      <c r="C1189" s="251">
        <v>1503.3</v>
      </c>
      <c r="D1189" s="252" t="s">
        <v>465</v>
      </c>
      <c r="E1189">
        <f t="shared" si="26"/>
        <v>135.30000000000001</v>
      </c>
    </row>
    <row r="1190" spans="2:5" x14ac:dyDescent="0.3">
      <c r="B1190" s="239">
        <v>44364</v>
      </c>
      <c r="C1190" s="251">
        <v>1495.3</v>
      </c>
      <c r="D1190" s="252" t="s">
        <v>464</v>
      </c>
      <c r="E1190">
        <f t="shared" si="26"/>
        <v>76.8</v>
      </c>
    </row>
    <row r="1191" spans="2:5" x14ac:dyDescent="0.3">
      <c r="B1191" s="239">
        <v>44363</v>
      </c>
      <c r="C1191" s="251">
        <v>1480.6</v>
      </c>
      <c r="D1191" s="252" t="s">
        <v>463</v>
      </c>
      <c r="E1191">
        <f t="shared" ref="E1191:E1222" si="27">(VALUE(LEFT(D1191,LEN(D1191)-1)*1000000))/100000</f>
        <v>76.599999999999994</v>
      </c>
    </row>
    <row r="1192" spans="2:5" x14ac:dyDescent="0.3">
      <c r="B1192" s="239">
        <v>44362</v>
      </c>
      <c r="C1192" s="251">
        <v>1473.9</v>
      </c>
      <c r="D1192" s="252" t="s">
        <v>462</v>
      </c>
      <c r="E1192">
        <f t="shared" si="27"/>
        <v>54</v>
      </c>
    </row>
    <row r="1193" spans="2:5" x14ac:dyDescent="0.3">
      <c r="B1193" s="239">
        <v>44361</v>
      </c>
      <c r="C1193" s="251">
        <v>1461.8</v>
      </c>
      <c r="D1193" s="252" t="s">
        <v>461</v>
      </c>
      <c r="E1193">
        <f t="shared" si="27"/>
        <v>71.3</v>
      </c>
    </row>
    <row r="1194" spans="2:5" x14ac:dyDescent="0.3">
      <c r="B1194" s="239">
        <v>44358</v>
      </c>
      <c r="C1194" s="251">
        <v>1446.9</v>
      </c>
      <c r="D1194" s="252" t="s">
        <v>460</v>
      </c>
      <c r="E1194">
        <f t="shared" si="27"/>
        <v>61.4</v>
      </c>
    </row>
    <row r="1195" spans="2:5" x14ac:dyDescent="0.3">
      <c r="B1195" s="239">
        <v>44357</v>
      </c>
      <c r="C1195" s="251">
        <v>1424.3</v>
      </c>
      <c r="D1195" s="252" t="s">
        <v>459</v>
      </c>
      <c r="E1195">
        <f t="shared" si="27"/>
        <v>35</v>
      </c>
    </row>
    <row r="1196" spans="2:5" x14ac:dyDescent="0.3">
      <c r="B1196" s="239">
        <v>44356</v>
      </c>
      <c r="C1196" s="251">
        <v>1415.3</v>
      </c>
      <c r="D1196" s="252" t="s">
        <v>458</v>
      </c>
      <c r="E1196">
        <f t="shared" si="27"/>
        <v>53.9</v>
      </c>
    </row>
    <row r="1197" spans="2:5" x14ac:dyDescent="0.3">
      <c r="B1197" s="239">
        <v>44355</v>
      </c>
      <c r="C1197" s="251">
        <v>1412.95</v>
      </c>
      <c r="D1197" s="252" t="s">
        <v>457</v>
      </c>
      <c r="E1197">
        <f t="shared" si="27"/>
        <v>73.599999999999994</v>
      </c>
    </row>
    <row r="1198" spans="2:5" x14ac:dyDescent="0.3">
      <c r="B1198" s="239">
        <v>44354</v>
      </c>
      <c r="C1198" s="251">
        <v>1389.65</v>
      </c>
      <c r="D1198" s="252" t="s">
        <v>456</v>
      </c>
      <c r="E1198">
        <f t="shared" si="27"/>
        <v>51.5</v>
      </c>
    </row>
    <row r="1199" spans="2:5" x14ac:dyDescent="0.3">
      <c r="B1199" s="239">
        <v>44351</v>
      </c>
      <c r="C1199" s="251">
        <v>1385.65</v>
      </c>
      <c r="D1199" s="252" t="s">
        <v>455</v>
      </c>
      <c r="E1199">
        <f t="shared" si="27"/>
        <v>41.900000000000006</v>
      </c>
    </row>
    <row r="1200" spans="2:5" x14ac:dyDescent="0.3">
      <c r="B1200" s="239">
        <v>44350</v>
      </c>
      <c r="C1200" s="251">
        <v>1389.65</v>
      </c>
      <c r="D1200" s="252" t="s">
        <v>454</v>
      </c>
      <c r="E1200">
        <f t="shared" si="27"/>
        <v>51.2</v>
      </c>
    </row>
    <row r="1201" spans="2:5" x14ac:dyDescent="0.3">
      <c r="B1201" s="239">
        <v>44349</v>
      </c>
      <c r="C1201" s="251">
        <v>1378.65</v>
      </c>
      <c r="D1201" s="252" t="s">
        <v>453</v>
      </c>
      <c r="E1201">
        <f t="shared" si="27"/>
        <v>92.7</v>
      </c>
    </row>
    <row r="1202" spans="2:5" x14ac:dyDescent="0.3">
      <c r="B1202" s="239">
        <v>44348</v>
      </c>
      <c r="C1202" s="251">
        <v>1387.2</v>
      </c>
      <c r="D1202" s="252" t="s">
        <v>452</v>
      </c>
      <c r="E1202">
        <f t="shared" si="27"/>
        <v>47.9</v>
      </c>
    </row>
    <row r="1203" spans="2:5" x14ac:dyDescent="0.3">
      <c r="B1203" s="239">
        <v>44347</v>
      </c>
      <c r="C1203" s="251">
        <v>1393.75</v>
      </c>
      <c r="D1203" s="252" t="s">
        <v>451</v>
      </c>
      <c r="E1203">
        <f t="shared" si="27"/>
        <v>44.3</v>
      </c>
    </row>
    <row r="1204" spans="2:5" x14ac:dyDescent="0.3">
      <c r="B1204" s="239">
        <v>44344</v>
      </c>
      <c r="C1204" s="251">
        <v>1405.05</v>
      </c>
      <c r="D1204" s="252" t="s">
        <v>450</v>
      </c>
      <c r="E1204">
        <f t="shared" si="27"/>
        <v>42.6</v>
      </c>
    </row>
    <row r="1205" spans="2:5" x14ac:dyDescent="0.3">
      <c r="B1205" s="239">
        <v>44343</v>
      </c>
      <c r="C1205" s="251">
        <v>1402.25</v>
      </c>
      <c r="D1205" s="252" t="s">
        <v>449</v>
      </c>
      <c r="E1205">
        <f t="shared" si="27"/>
        <v>153.69999999999999</v>
      </c>
    </row>
    <row r="1206" spans="2:5" x14ac:dyDescent="0.3">
      <c r="B1206" s="239">
        <v>44342</v>
      </c>
      <c r="C1206" s="251">
        <v>1397.25</v>
      </c>
      <c r="D1206" s="252" t="s">
        <v>448</v>
      </c>
      <c r="E1206">
        <f t="shared" si="27"/>
        <v>68.5</v>
      </c>
    </row>
    <row r="1207" spans="2:5" x14ac:dyDescent="0.3">
      <c r="B1207" s="239">
        <v>44341</v>
      </c>
      <c r="C1207" s="251">
        <v>1361.6</v>
      </c>
      <c r="D1207" s="252" t="s">
        <v>447</v>
      </c>
      <c r="E1207">
        <f t="shared" si="27"/>
        <v>40.999999999999993</v>
      </c>
    </row>
    <row r="1208" spans="2:5" x14ac:dyDescent="0.3">
      <c r="B1208" s="239">
        <v>44340</v>
      </c>
      <c r="C1208" s="251">
        <v>1348.05</v>
      </c>
      <c r="D1208" s="252" t="s">
        <v>446</v>
      </c>
      <c r="E1208">
        <f t="shared" si="27"/>
        <v>42.3</v>
      </c>
    </row>
    <row r="1209" spans="2:5" x14ac:dyDescent="0.3">
      <c r="B1209" s="239">
        <v>44337</v>
      </c>
      <c r="C1209" s="251">
        <v>1354.5</v>
      </c>
      <c r="D1209" s="252" t="s">
        <v>445</v>
      </c>
      <c r="E1209">
        <f t="shared" si="27"/>
        <v>49.7</v>
      </c>
    </row>
    <row r="1210" spans="2:5" x14ac:dyDescent="0.3">
      <c r="B1210" s="239">
        <v>44336</v>
      </c>
      <c r="C1210" s="251">
        <v>1339.3</v>
      </c>
      <c r="D1210" s="252" t="s">
        <v>444</v>
      </c>
      <c r="E1210">
        <f t="shared" si="27"/>
        <v>44.9</v>
      </c>
    </row>
    <row r="1211" spans="2:5" x14ac:dyDescent="0.3">
      <c r="B1211" s="239">
        <v>44335</v>
      </c>
      <c r="C1211" s="251">
        <v>1337</v>
      </c>
      <c r="D1211" s="252" t="s">
        <v>443</v>
      </c>
      <c r="E1211">
        <f t="shared" si="27"/>
        <v>44.4</v>
      </c>
    </row>
    <row r="1212" spans="2:5" x14ac:dyDescent="0.3">
      <c r="B1212" s="239">
        <v>44334</v>
      </c>
      <c r="C1212" s="251">
        <v>1340</v>
      </c>
      <c r="D1212" s="252" t="s">
        <v>442</v>
      </c>
      <c r="E1212">
        <f t="shared" si="27"/>
        <v>56.2</v>
      </c>
    </row>
    <row r="1213" spans="2:5" x14ac:dyDescent="0.3">
      <c r="B1213" s="239">
        <v>44333</v>
      </c>
      <c r="C1213" s="251">
        <v>1329.4</v>
      </c>
      <c r="D1213" s="252" t="s">
        <v>441</v>
      </c>
      <c r="E1213">
        <f t="shared" si="27"/>
        <v>50.2</v>
      </c>
    </row>
    <row r="1214" spans="2:5" x14ac:dyDescent="0.3">
      <c r="B1214" s="239">
        <v>44330</v>
      </c>
      <c r="C1214" s="251">
        <v>1316.4</v>
      </c>
      <c r="D1214" s="252" t="s">
        <v>440</v>
      </c>
      <c r="E1214">
        <f t="shared" si="27"/>
        <v>48.2</v>
      </c>
    </row>
    <row r="1215" spans="2:5" x14ac:dyDescent="0.3">
      <c r="B1215" s="239">
        <v>44328</v>
      </c>
      <c r="C1215" s="251">
        <v>1327</v>
      </c>
      <c r="D1215" s="252" t="s">
        <v>439</v>
      </c>
      <c r="E1215">
        <f t="shared" si="27"/>
        <v>52.4</v>
      </c>
    </row>
    <row r="1216" spans="2:5" x14ac:dyDescent="0.3">
      <c r="B1216" s="239">
        <v>44327</v>
      </c>
      <c r="C1216" s="251">
        <v>1330.65</v>
      </c>
      <c r="D1216" s="252" t="s">
        <v>438</v>
      </c>
      <c r="E1216">
        <f t="shared" si="27"/>
        <v>64.2</v>
      </c>
    </row>
    <row r="1217" spans="2:5" x14ac:dyDescent="0.3">
      <c r="B1217" s="239">
        <v>44326</v>
      </c>
      <c r="C1217" s="251">
        <v>1339.55</v>
      </c>
      <c r="D1217" s="252" t="s">
        <v>437</v>
      </c>
      <c r="E1217">
        <f t="shared" si="27"/>
        <v>72</v>
      </c>
    </row>
    <row r="1218" spans="2:5" x14ac:dyDescent="0.3">
      <c r="B1218" s="239">
        <v>44323</v>
      </c>
      <c r="C1218" s="251">
        <v>1352.55</v>
      </c>
      <c r="D1218" s="252" t="s">
        <v>436</v>
      </c>
      <c r="E1218">
        <f t="shared" si="27"/>
        <v>49.9</v>
      </c>
    </row>
    <row r="1219" spans="2:5" x14ac:dyDescent="0.3">
      <c r="B1219" s="239">
        <v>44322</v>
      </c>
      <c r="C1219" s="251">
        <v>1361.6</v>
      </c>
      <c r="D1219" s="252" t="s">
        <v>435</v>
      </c>
      <c r="E1219">
        <f t="shared" si="27"/>
        <v>48.1</v>
      </c>
    </row>
    <row r="1220" spans="2:5" x14ac:dyDescent="0.3">
      <c r="B1220" s="239">
        <v>44321</v>
      </c>
      <c r="C1220" s="251">
        <v>1341.5</v>
      </c>
      <c r="D1220" s="252" t="s">
        <v>434</v>
      </c>
      <c r="E1220">
        <f t="shared" si="27"/>
        <v>39.4</v>
      </c>
    </row>
    <row r="1221" spans="2:5" x14ac:dyDescent="0.3">
      <c r="B1221" s="239">
        <v>44320</v>
      </c>
      <c r="C1221" s="251">
        <v>1329.4</v>
      </c>
      <c r="D1221" s="252" t="s">
        <v>433</v>
      </c>
      <c r="E1221">
        <f t="shared" si="27"/>
        <v>48.9</v>
      </c>
    </row>
    <row r="1222" spans="2:5" x14ac:dyDescent="0.3">
      <c r="B1222" s="239">
        <v>44319</v>
      </c>
      <c r="C1222" s="251">
        <v>1352.05</v>
      </c>
      <c r="D1222" s="252" t="s">
        <v>432</v>
      </c>
      <c r="E1222">
        <f t="shared" si="27"/>
        <v>45.6</v>
      </c>
    </row>
    <row r="1223" spans="2:5" x14ac:dyDescent="0.3">
      <c r="B1223" s="239">
        <v>44316</v>
      </c>
      <c r="C1223" s="251">
        <v>1354.35</v>
      </c>
      <c r="D1223" s="252" t="s">
        <v>431</v>
      </c>
      <c r="E1223">
        <f t="shared" ref="E1223:E1241" si="28">(VALUE(LEFT(D1223,LEN(D1223)-1)*1000000))/100000</f>
        <v>83.5</v>
      </c>
    </row>
    <row r="1224" spans="2:5" x14ac:dyDescent="0.3">
      <c r="B1224" s="239">
        <v>44315</v>
      </c>
      <c r="C1224" s="251">
        <v>1356.35</v>
      </c>
      <c r="D1224" s="252" t="s">
        <v>430</v>
      </c>
      <c r="E1224">
        <f t="shared" si="28"/>
        <v>54.1</v>
      </c>
    </row>
    <row r="1225" spans="2:5" x14ac:dyDescent="0.3">
      <c r="B1225" s="239">
        <v>44314</v>
      </c>
      <c r="C1225" s="251">
        <v>1356</v>
      </c>
      <c r="D1225" s="252" t="s">
        <v>429</v>
      </c>
      <c r="E1225">
        <f t="shared" si="28"/>
        <v>48.8</v>
      </c>
    </row>
    <row r="1226" spans="2:5" x14ac:dyDescent="0.3">
      <c r="B1226" s="239">
        <v>44313</v>
      </c>
      <c r="C1226" s="251">
        <v>1348.5</v>
      </c>
      <c r="D1226" s="252" t="s">
        <v>428</v>
      </c>
      <c r="E1226">
        <f t="shared" si="28"/>
        <v>36.4</v>
      </c>
    </row>
    <row r="1227" spans="2:5" x14ac:dyDescent="0.3">
      <c r="B1227" s="239">
        <v>44312</v>
      </c>
      <c r="C1227" s="251">
        <v>1343.55</v>
      </c>
      <c r="D1227" s="252" t="s">
        <v>427</v>
      </c>
      <c r="E1227">
        <f t="shared" si="28"/>
        <v>70.900000000000006</v>
      </c>
    </row>
    <row r="1228" spans="2:5" x14ac:dyDescent="0.3">
      <c r="B1228" s="239">
        <v>44309</v>
      </c>
      <c r="C1228" s="251">
        <v>1333.8</v>
      </c>
      <c r="D1228" s="252" t="s">
        <v>426</v>
      </c>
      <c r="E1228">
        <f t="shared" si="28"/>
        <v>73.2</v>
      </c>
    </row>
    <row r="1229" spans="2:5" x14ac:dyDescent="0.3">
      <c r="B1229" s="239">
        <v>44308</v>
      </c>
      <c r="C1229" s="251">
        <v>1351.1</v>
      </c>
      <c r="D1229" s="252" t="s">
        <v>425</v>
      </c>
      <c r="E1229">
        <f t="shared" si="28"/>
        <v>66.2</v>
      </c>
    </row>
    <row r="1230" spans="2:5" x14ac:dyDescent="0.3">
      <c r="B1230" s="239">
        <v>44306</v>
      </c>
      <c r="C1230" s="251">
        <v>1351.35</v>
      </c>
      <c r="D1230" s="252" t="s">
        <v>424</v>
      </c>
      <c r="E1230">
        <f t="shared" si="28"/>
        <v>85.6</v>
      </c>
    </row>
    <row r="1231" spans="2:5" x14ac:dyDescent="0.3">
      <c r="B1231" s="239">
        <v>44305</v>
      </c>
      <c r="C1231" s="251">
        <v>1362.55</v>
      </c>
      <c r="D1231" s="252" t="s">
        <v>423</v>
      </c>
      <c r="E1231">
        <f t="shared" si="28"/>
        <v>125.1</v>
      </c>
    </row>
    <row r="1232" spans="2:5" x14ac:dyDescent="0.3">
      <c r="B1232" s="239">
        <v>44302</v>
      </c>
      <c r="C1232" s="251">
        <v>1353.75</v>
      </c>
      <c r="D1232" s="252" t="s">
        <v>422</v>
      </c>
      <c r="E1232">
        <f t="shared" si="28"/>
        <v>108.8</v>
      </c>
    </row>
    <row r="1233" spans="2:5" x14ac:dyDescent="0.3">
      <c r="B1233" s="239">
        <v>44301</v>
      </c>
      <c r="C1233" s="251">
        <v>1360.75</v>
      </c>
      <c r="D1233" s="252" t="s">
        <v>421</v>
      </c>
      <c r="E1233">
        <f t="shared" si="28"/>
        <v>253.4</v>
      </c>
    </row>
    <row r="1234" spans="2:5" x14ac:dyDescent="0.3">
      <c r="B1234" s="239">
        <v>44299</v>
      </c>
      <c r="C1234" s="251">
        <v>1397.15</v>
      </c>
      <c r="D1234" s="252" t="s">
        <v>420</v>
      </c>
      <c r="E1234">
        <f t="shared" si="28"/>
        <v>148.6</v>
      </c>
    </row>
    <row r="1235" spans="2:5" x14ac:dyDescent="0.3">
      <c r="B1235" s="239">
        <v>44298</v>
      </c>
      <c r="C1235" s="251">
        <v>1425.75</v>
      </c>
      <c r="D1235" s="252" t="s">
        <v>419</v>
      </c>
      <c r="E1235">
        <f t="shared" si="28"/>
        <v>203.8</v>
      </c>
    </row>
    <row r="1236" spans="2:5" x14ac:dyDescent="0.3">
      <c r="B1236" s="239">
        <v>44295</v>
      </c>
      <c r="C1236" s="251">
        <v>1441.05</v>
      </c>
      <c r="D1236" s="252" t="s">
        <v>418</v>
      </c>
      <c r="E1236">
        <f t="shared" si="28"/>
        <v>60.5</v>
      </c>
    </row>
    <row r="1237" spans="2:5" x14ac:dyDescent="0.3">
      <c r="B1237" s="239">
        <v>44294</v>
      </c>
      <c r="C1237" s="251">
        <v>1439.85</v>
      </c>
      <c r="D1237" s="252" t="s">
        <v>417</v>
      </c>
      <c r="E1237">
        <f t="shared" si="28"/>
        <v>56.5</v>
      </c>
    </row>
    <row r="1238" spans="2:5" x14ac:dyDescent="0.3">
      <c r="B1238" s="239">
        <v>44293</v>
      </c>
      <c r="C1238" s="251">
        <v>1430.2</v>
      </c>
      <c r="D1238" s="252" t="s">
        <v>416</v>
      </c>
      <c r="E1238">
        <f t="shared" si="28"/>
        <v>58.8</v>
      </c>
    </row>
    <row r="1239" spans="2:5" x14ac:dyDescent="0.3">
      <c r="B1239" s="239">
        <v>44292</v>
      </c>
      <c r="C1239" s="251">
        <v>1411.05</v>
      </c>
      <c r="D1239" s="252" t="s">
        <v>415</v>
      </c>
      <c r="E1239">
        <f t="shared" si="28"/>
        <v>57.9</v>
      </c>
    </row>
    <row r="1240" spans="2:5" x14ac:dyDescent="0.3">
      <c r="B1240" s="239">
        <v>44291</v>
      </c>
      <c r="C1240" s="251">
        <v>1409.9</v>
      </c>
      <c r="D1240" s="252" t="s">
        <v>414</v>
      </c>
      <c r="E1240">
        <f t="shared" si="28"/>
        <v>94.8</v>
      </c>
    </row>
    <row r="1241" spans="2:5" x14ac:dyDescent="0.3">
      <c r="B1241" s="239">
        <v>44287</v>
      </c>
      <c r="C1241" s="251">
        <v>1385.2</v>
      </c>
      <c r="D1241" s="252" t="s">
        <v>413</v>
      </c>
      <c r="E1241">
        <f t="shared" si="28"/>
        <v>56.8</v>
      </c>
    </row>
  </sheetData>
  <autoFilter ref="B2:E1241" xr:uid="{987E19BA-134A-4CCC-8C8A-225C0059D568}"/>
  <pageMargins left="0.7" right="0.7" top="0.75" bottom="0.75" header="0.3" footer="0.3"/>
  <pageSetup scale="10" orientation="portrait" r:id="rId1"/>
  <rowBreaks count="1" manualBreakCount="1">
    <brk id="47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14</vt:i4>
      </vt:variant>
    </vt:vector>
  </HeadingPairs>
  <TitlesOfParts>
    <vt:vector size="38" baseType="lpstr">
      <vt:lpstr>Coverpage</vt:lpstr>
      <vt:lpstr>Index</vt:lpstr>
      <vt:lpstr>One Pager</vt:lpstr>
      <vt:lpstr> Financials&gt;</vt:lpstr>
      <vt:lpstr>Historical FS</vt:lpstr>
      <vt:lpstr>Ratio Analysis</vt:lpstr>
      <vt:lpstr>Common size </vt:lpstr>
      <vt:lpstr>Forcasting</vt:lpstr>
      <vt:lpstr>Rm</vt:lpstr>
      <vt:lpstr>WACC</vt:lpstr>
      <vt:lpstr>Intrinsic value</vt:lpstr>
      <vt:lpstr>DCF</vt:lpstr>
      <vt:lpstr>Comps_Val.</vt:lpstr>
      <vt:lpstr>VAR</vt:lpstr>
      <vt:lpstr>Football Field</vt:lpstr>
      <vt:lpstr>Dupont</vt:lpstr>
      <vt:lpstr>Altman's Z score</vt:lpstr>
      <vt:lpstr>Data&gt;</vt:lpstr>
      <vt:lpstr>Data Sheet</vt:lpstr>
      <vt:lpstr>P&amp;L</vt:lpstr>
      <vt:lpstr>Raw CF</vt:lpstr>
      <vt:lpstr>Raw BS</vt:lpstr>
      <vt:lpstr>Raw Comp_val.</vt:lpstr>
      <vt:lpstr>share Price</vt:lpstr>
      <vt:lpstr>'Altman''s Z score'!Print_Area</vt:lpstr>
      <vt:lpstr>'Common size '!Print_Area</vt:lpstr>
      <vt:lpstr>Comps_Val.!Print_Area</vt:lpstr>
      <vt:lpstr>Dupont!Print_Area</vt:lpstr>
      <vt:lpstr>'Football Field'!Print_Area</vt:lpstr>
      <vt:lpstr>'Historical FS'!Print_Area</vt:lpstr>
      <vt:lpstr>Index!Print_Area</vt:lpstr>
      <vt:lpstr>'Intrinsic value'!Print_Area</vt:lpstr>
      <vt:lpstr>'One Pager'!Print_Area</vt:lpstr>
      <vt:lpstr>'Ratio Analysis'!Print_Area</vt:lpstr>
      <vt:lpstr>Rm!Print_Area</vt:lpstr>
      <vt:lpstr>'share Price'!Print_Area</vt:lpstr>
      <vt:lpstr>VAR!Print_Area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dc:creator>
  <cp:lastModifiedBy>Daksh .</cp:lastModifiedBy>
  <cp:lastPrinted>2026-04-05T13:42:01Z</cp:lastPrinted>
  <dcterms:created xsi:type="dcterms:W3CDTF">2012-08-17T09:55:37Z</dcterms:created>
  <dcterms:modified xsi:type="dcterms:W3CDTF">2026-04-10T16:38:22Z</dcterms:modified>
</cp:coreProperties>
</file>